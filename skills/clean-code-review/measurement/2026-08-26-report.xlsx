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rchon-search" sheetId="2" state="visible" r:id="rId2"/>
    <sheet name="moonset" sheetId="3" state="visible" r:id="rId3"/>
    <sheet name="financialwell" sheetId="4" state="visible" r:id="rId4"/>
    <sheet name="dddd" sheetId="5" state="visible" r:id="rId5"/>
    <sheet name="udemy-top-down-shooter" sheetId="6" state="visible" r:id="rId6"/>
    <sheet name="Files" sheetId="7" state="visible" r:id="rId7"/>
    <sheet name="Method" sheetId="8" state="visible" r:id="rId8"/>
    <sheet name="data_hits" sheetId="9" state="visible" r:id="rId9"/>
    <sheet name="data_adj" sheetId="10" state="visible" r:id="rId10"/>
    <sheet name="data_ll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hits:archon-search</t>
        </is>
      </c>
      <c r="E1" s="1" t="inlineStr">
        <is>
          <t>hits:moonset</t>
        </is>
      </c>
      <c r="F1" s="1" t="inlineStr">
        <is>
          <t>hits:financialwell</t>
        </is>
      </c>
      <c r="G1" s="1" t="inlineStr">
        <is>
          <t>hits:dddd</t>
        </is>
      </c>
      <c r="H1" s="1" t="inlineStr">
        <is>
          <t>hits:udemy-top-down-shooter</t>
        </is>
      </c>
      <c r="I1" s="1" t="inlineStr">
        <is>
          <t>hits total</t>
        </is>
      </c>
      <c r="J1" s="1" t="inlineStr">
        <is>
          <t>adjudicated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precision %</t>
        </is>
      </c>
      <c r="N1" s="1" t="inlineStr">
        <is>
          <t>LLM-only found</t>
        </is>
      </c>
      <c r="O1" s="1" t="inlineStr">
        <is>
          <t>overlap w/ script</t>
        </is>
      </c>
      <c r="P1" s="1" t="inlineStr">
        <is>
          <t>script misses</t>
        </is>
      </c>
      <c r="Q1" s="1" t="inlineStr">
        <is>
          <t>script coverage %</t>
        </is>
      </c>
      <c r="R1" s="1" t="inlineStr">
        <is>
          <t>est. true hits</t>
        </is>
      </c>
    </row>
    <row r="2">
      <c r="A2" t="inlineStr">
        <is>
          <t>arch-02</t>
        </is>
      </c>
      <c r="B2" t="inlineStr">
        <is>
          <t>Major</t>
        </is>
      </c>
      <c r="C2" t="inlineStr">
        <is>
          <t>Use Case Depending on Framework Type</t>
        </is>
      </c>
      <c r="D2">
        <f>COUNTIFS(data_hits!$A:$A,"archon-search",data_hits!$C:$C,$A2)</f>
        <v/>
      </c>
      <c r="E2">
        <f>COUNTIFS(data_hits!$A:$A,"moonset",data_hits!$C:$C,$A2)</f>
        <v/>
      </c>
      <c r="F2">
        <f>COUNTIFS(data_hits!$A:$A,"financialwell",data_hits!$C:$C,$A2)</f>
        <v/>
      </c>
      <c r="G2">
        <f>COUNTIFS(data_hits!$A:$A,"dddd",data_hits!$C:$C,$A2)</f>
        <v/>
      </c>
      <c r="H2">
        <f>COUNTIFS(data_hits!$A:$A,"udemy-top-down-shooter",data_hits!$C:$C,$A2)</f>
        <v/>
      </c>
      <c r="I2">
        <f>SUM(D2:H2)</f>
        <v/>
      </c>
      <c r="J2">
        <f>K2+L2</f>
        <v/>
      </c>
      <c r="K2">
        <f>COUNTIFS(data_adj!$C:$C,$A2,data_adj!$E:$E,"TP")</f>
        <v/>
      </c>
      <c r="L2">
        <f>COUNTIFS(data_adj!$C:$C,$A2,data_adj!$E:$E,"FP")</f>
        <v/>
      </c>
      <c r="M2">
        <f>IF(J2=0,"",ROUND(100*K2/J2,1))</f>
        <v/>
      </c>
      <c r="N2">
        <f>COUNTIFS(data_llm!$C:$C,$A2)</f>
        <v/>
      </c>
      <c r="O2">
        <f>COUNTIFS(data_llm!$C:$C,$A2,data_llm!$F:$F,TRUE)</f>
        <v/>
      </c>
      <c r="P2">
        <f>N2-O2</f>
        <v/>
      </c>
      <c r="Q2">
        <f>IF(N2=0,"",ROUND(100*O2/N2,1))</f>
        <v/>
      </c>
      <c r="R2">
        <f>IF(J2=0,"",ROUND(I2*K2/J2,0))</f>
        <v/>
      </c>
    </row>
    <row r="3">
      <c r="A3" t="inlineStr">
        <is>
          <t>arch-03</t>
        </is>
      </c>
      <c r="B3" t="inlineStr">
        <is>
          <t>Major</t>
        </is>
      </c>
      <c r="C3" t="inlineStr">
        <is>
          <t>Domain Entity with ORM Annotations</t>
        </is>
      </c>
      <c r="D3">
        <f>COUNTIFS(data_hits!$A:$A,"archon-search",data_hits!$C:$C,$A3)</f>
        <v/>
      </c>
      <c r="E3">
        <f>COUNTIFS(data_hits!$A:$A,"moonset",data_hits!$C:$C,$A3)</f>
        <v/>
      </c>
      <c r="F3">
        <f>COUNTIFS(data_hits!$A:$A,"financialwell",data_hits!$C:$C,$A3)</f>
        <v/>
      </c>
      <c r="G3">
        <f>COUNTIFS(data_hits!$A:$A,"dddd",data_hits!$C:$C,$A3)</f>
        <v/>
      </c>
      <c r="H3">
        <f>COUNTIFS(data_hits!$A:$A,"udemy-top-down-shooter",data_hits!$C:$C,$A3)</f>
        <v/>
      </c>
      <c r="I3">
        <f>SUM(D3:H3)</f>
        <v/>
      </c>
      <c r="J3">
        <f>K3+L3</f>
        <v/>
      </c>
      <c r="K3">
        <f>COUNTIFS(data_adj!$C:$C,$A3,data_adj!$E:$E,"TP")</f>
        <v/>
      </c>
      <c r="L3">
        <f>COUNTIFS(data_adj!$C:$C,$A3,data_adj!$E:$E,"FP")</f>
        <v/>
      </c>
      <c r="M3">
        <f>IF(J3=0,"",ROUND(100*K3/J3,1))</f>
        <v/>
      </c>
      <c r="N3">
        <f>COUNTIFS(data_llm!$C:$C,$A3)</f>
        <v/>
      </c>
      <c r="O3">
        <f>COUNTIFS(data_llm!$C:$C,$A3,data_llm!$F:$F,TRUE)</f>
        <v/>
      </c>
      <c r="P3">
        <f>N3-O3</f>
        <v/>
      </c>
      <c r="Q3">
        <f>IF(N3=0,"",ROUND(100*O3/N3,1))</f>
        <v/>
      </c>
      <c r="R3">
        <f>IF(J3=0,"",ROUND(I3*K3/J3,0))</f>
        <v/>
      </c>
    </row>
    <row r="4">
      <c r="A4" t="inlineStr">
        <is>
          <t>arch-05</t>
        </is>
      </c>
      <c r="B4" t="inlineStr">
        <is>
          <t>Major</t>
        </is>
      </c>
      <c r="C4" t="inlineStr">
        <is>
          <t>Infrastructure Exception Leaking</t>
        </is>
      </c>
      <c r="D4">
        <f>COUNTIFS(data_hits!$A:$A,"archon-search",data_hits!$C:$C,$A4)</f>
        <v/>
      </c>
      <c r="E4">
        <f>COUNTIFS(data_hits!$A:$A,"moonset",data_hits!$C:$C,$A4)</f>
        <v/>
      </c>
      <c r="F4">
        <f>COUNTIFS(data_hits!$A:$A,"financialwell",data_hits!$C:$C,$A4)</f>
        <v/>
      </c>
      <c r="G4">
        <f>COUNTIFS(data_hits!$A:$A,"dddd",data_hits!$C:$C,$A4)</f>
        <v/>
      </c>
      <c r="H4">
        <f>COUNTIFS(data_hits!$A:$A,"udemy-top-down-shooter",data_hits!$C:$C,$A4)</f>
        <v/>
      </c>
      <c r="I4">
        <f>SUM(D4:H4)</f>
        <v/>
      </c>
      <c r="J4">
        <f>K4+L4</f>
        <v/>
      </c>
      <c r="K4">
        <f>COUNTIFS(data_adj!$C:$C,$A4,data_adj!$E:$E,"TP")</f>
        <v/>
      </c>
      <c r="L4">
        <f>COUNTIFS(data_adj!$C:$C,$A4,data_adj!$E:$E,"FP")</f>
        <v/>
      </c>
      <c r="M4">
        <f>IF(J4=0,"",ROUND(100*K4/J4,1))</f>
        <v/>
      </c>
      <c r="N4">
        <f>COUNTIFS(data_llm!$C:$C,$A4)</f>
        <v/>
      </c>
      <c r="O4">
        <f>COUNTIFS(data_llm!$C:$C,$A4,data_llm!$F:$F,TRUE)</f>
        <v/>
      </c>
      <c r="P4">
        <f>N4-O4</f>
        <v/>
      </c>
      <c r="Q4">
        <f>IF(N4=0,"",ROUND(100*O4/N4,1))</f>
        <v/>
      </c>
      <c r="R4">
        <f>IF(J4=0,"",ROUND(I4*K4/J4,0))</f>
        <v/>
      </c>
    </row>
    <row r="5">
      <c r="A5" t="inlineStr">
        <is>
          <t>arch-08</t>
        </is>
      </c>
      <c r="B5" t="inlineStr">
        <is>
          <t>Major</t>
        </is>
      </c>
      <c r="C5" t="inlineStr">
        <is>
          <t>Service Locator / Magic Container</t>
        </is>
      </c>
      <c r="D5">
        <f>COUNTIFS(data_hits!$A:$A,"archon-search",data_hits!$C:$C,$A5)</f>
        <v/>
      </c>
      <c r="E5">
        <f>COUNTIFS(data_hits!$A:$A,"moonset",data_hits!$C:$C,$A5)</f>
        <v/>
      </c>
      <c r="F5">
        <f>COUNTIFS(data_hits!$A:$A,"financialwell",data_hits!$C:$C,$A5)</f>
        <v/>
      </c>
      <c r="G5">
        <f>COUNTIFS(data_hits!$A:$A,"dddd",data_hits!$C:$C,$A5)</f>
        <v/>
      </c>
      <c r="H5">
        <f>COUNTIFS(data_hits!$A:$A,"udemy-top-down-shooter",data_hits!$C:$C,$A5)</f>
        <v/>
      </c>
      <c r="I5">
        <f>SUM(D5:H5)</f>
        <v/>
      </c>
      <c r="J5">
        <f>K5+L5</f>
        <v/>
      </c>
      <c r="K5">
        <f>COUNTIFS(data_adj!$C:$C,$A5,data_adj!$E:$E,"TP")</f>
        <v/>
      </c>
      <c r="L5">
        <f>COUNTIFS(data_adj!$C:$C,$A5,data_adj!$E:$E,"FP")</f>
        <v/>
      </c>
      <c r="M5">
        <f>IF(J5=0,"",ROUND(100*K5/J5,1))</f>
        <v/>
      </c>
      <c r="N5">
        <f>COUNTIFS(data_llm!$C:$C,$A5)</f>
        <v/>
      </c>
      <c r="O5">
        <f>COUNTIFS(data_llm!$C:$C,$A5,data_llm!$F:$F,TRUE)</f>
        <v/>
      </c>
      <c r="P5">
        <f>N5-O5</f>
        <v/>
      </c>
      <c r="Q5">
        <f>IF(N5=0,"",ROUND(100*O5/N5,1))</f>
        <v/>
      </c>
      <c r="R5">
        <f>IF(J5=0,"",ROUND(I5*K5/J5,0))</f>
        <v/>
      </c>
    </row>
    <row r="6">
      <c r="A6" t="inlineStr">
        <is>
          <t>arch-09</t>
        </is>
      </c>
      <c r="B6" t="inlineStr">
        <is>
          <t>Moderate</t>
        </is>
      </c>
      <c r="C6" t="inlineStr">
        <is>
          <t>Environment-Specific Branching in Business Logic</t>
        </is>
      </c>
      <c r="D6">
        <f>COUNTIFS(data_hits!$A:$A,"archon-search",data_hits!$C:$C,$A6)</f>
        <v/>
      </c>
      <c r="E6">
        <f>COUNTIFS(data_hits!$A:$A,"moonset",data_hits!$C:$C,$A6)</f>
        <v/>
      </c>
      <c r="F6">
        <f>COUNTIFS(data_hits!$A:$A,"financialwell",data_hits!$C:$C,$A6)</f>
        <v/>
      </c>
      <c r="G6">
        <f>COUNTIFS(data_hits!$A:$A,"dddd",data_hits!$C:$C,$A6)</f>
        <v/>
      </c>
      <c r="H6">
        <f>COUNTIFS(data_hits!$A:$A,"udemy-top-down-shooter",data_hits!$C:$C,$A6)</f>
        <v/>
      </c>
      <c r="I6">
        <f>SUM(D6:H6)</f>
        <v/>
      </c>
      <c r="J6">
        <f>K6+L6</f>
        <v/>
      </c>
      <c r="K6">
        <f>COUNTIFS(data_adj!$C:$C,$A6,data_adj!$E:$E,"TP")</f>
        <v/>
      </c>
      <c r="L6">
        <f>COUNTIFS(data_adj!$C:$C,$A6,data_adj!$E:$E,"FP")</f>
        <v/>
      </c>
      <c r="M6">
        <f>IF(J6=0,"",ROUND(100*K6/J6,1))</f>
        <v/>
      </c>
      <c r="N6">
        <f>COUNTIFS(data_llm!$C:$C,$A6)</f>
        <v/>
      </c>
      <c r="O6">
        <f>COUNTIFS(data_llm!$C:$C,$A6,data_llm!$F:$F,TRUE)</f>
        <v/>
      </c>
      <c r="P6">
        <f>N6-O6</f>
        <v/>
      </c>
      <c r="Q6">
        <f>IF(N6=0,"",ROUND(100*O6/N6,1))</f>
        <v/>
      </c>
      <c r="R6">
        <f>IF(J6=0,"",ROUND(I6*K6/J6,0))</f>
        <v/>
      </c>
    </row>
    <row r="7">
      <c r="A7" t="inlineStr">
        <is>
          <t>arch-11</t>
        </is>
      </c>
      <c r="B7" t="inlineStr">
        <is>
          <t>Moderate</t>
        </is>
      </c>
      <c r="C7" t="inlineStr">
        <is>
          <t>Environment Address Hardcoded in Code</t>
        </is>
      </c>
      <c r="D7">
        <f>COUNTIFS(data_hits!$A:$A,"archon-search",data_hits!$C:$C,$A7)</f>
        <v/>
      </c>
      <c r="E7">
        <f>COUNTIFS(data_hits!$A:$A,"moonset",data_hits!$C:$C,$A7)</f>
        <v/>
      </c>
      <c r="F7">
        <f>COUNTIFS(data_hits!$A:$A,"financialwell",data_hits!$C:$C,$A7)</f>
        <v/>
      </c>
      <c r="G7">
        <f>COUNTIFS(data_hits!$A:$A,"dddd",data_hits!$C:$C,$A7)</f>
        <v/>
      </c>
      <c r="H7">
        <f>COUNTIFS(data_hits!$A:$A,"udemy-top-down-shooter",data_hits!$C:$C,$A7)</f>
        <v/>
      </c>
      <c r="I7">
        <f>SUM(D7:H7)</f>
        <v/>
      </c>
      <c r="J7">
        <f>K7+L7</f>
        <v/>
      </c>
      <c r="K7">
        <f>COUNTIFS(data_adj!$C:$C,$A7,data_adj!$E:$E,"TP")</f>
        <v/>
      </c>
      <c r="L7">
        <f>COUNTIFS(data_adj!$C:$C,$A7,data_adj!$E:$E,"FP")</f>
        <v/>
      </c>
      <c r="M7">
        <f>IF(J7=0,"",ROUND(100*K7/J7,1))</f>
        <v/>
      </c>
      <c r="N7">
        <f>COUNTIFS(data_llm!$C:$C,$A7)</f>
        <v/>
      </c>
      <c r="O7">
        <f>COUNTIFS(data_llm!$C:$C,$A7,data_llm!$F:$F,TRUE)</f>
        <v/>
      </c>
      <c r="P7">
        <f>N7-O7</f>
        <v/>
      </c>
      <c r="Q7">
        <f>IF(N7=0,"",ROUND(100*O7/N7,1))</f>
        <v/>
      </c>
      <c r="R7">
        <f>IF(J7=0,"",ROUND(I7*K7/J7,0))</f>
        <v/>
      </c>
    </row>
    <row r="8">
      <c r="A8" t="inlineStr">
        <is>
          <t>arch-12</t>
        </is>
      </c>
      <c r="B8" t="inlineStr">
        <is>
          <t>Major</t>
        </is>
      </c>
      <c r="C8" t="inlineStr">
        <is>
          <t>Cache Key Lifecycle Mismatch</t>
        </is>
      </c>
      <c r="D8">
        <f>COUNTIFS(data_hits!$A:$A,"archon-search",data_hits!$C:$C,$A8)</f>
        <v/>
      </c>
      <c r="E8">
        <f>COUNTIFS(data_hits!$A:$A,"moonset",data_hits!$C:$C,$A8)</f>
        <v/>
      </c>
      <c r="F8">
        <f>COUNTIFS(data_hits!$A:$A,"financialwell",data_hits!$C:$C,$A8)</f>
        <v/>
      </c>
      <c r="G8">
        <f>COUNTIFS(data_hits!$A:$A,"dddd",data_hits!$C:$C,$A8)</f>
        <v/>
      </c>
      <c r="H8">
        <f>COUNTIFS(data_hits!$A:$A,"udemy-top-down-shooter",data_hits!$C:$C,$A8)</f>
        <v/>
      </c>
      <c r="I8">
        <f>SUM(D8:H8)</f>
        <v/>
      </c>
      <c r="J8">
        <f>K8+L8</f>
        <v/>
      </c>
      <c r="K8">
        <f>COUNTIFS(data_adj!$C:$C,$A8,data_adj!$E:$E,"TP")</f>
        <v/>
      </c>
      <c r="L8">
        <f>COUNTIFS(data_adj!$C:$C,$A8,data_adj!$E:$E,"FP")</f>
        <v/>
      </c>
      <c r="M8">
        <f>IF(J8=0,"",ROUND(100*K8/J8,1))</f>
        <v/>
      </c>
      <c r="N8">
        <f>COUNTIFS(data_llm!$C:$C,$A8)</f>
        <v/>
      </c>
      <c r="O8">
        <f>COUNTIFS(data_llm!$C:$C,$A8,data_llm!$F:$F,TRUE)</f>
        <v/>
      </c>
      <c r="P8">
        <f>N8-O8</f>
        <v/>
      </c>
      <c r="Q8">
        <f>IF(N8=0,"",ROUND(100*O8/N8,1))</f>
        <v/>
      </c>
      <c r="R8">
        <f>IF(J8=0,"",ROUND(I8*K8/J8,0))</f>
        <v/>
      </c>
    </row>
    <row r="9">
      <c r="A9" t="inlineStr">
        <is>
          <t>clarity-06</t>
        </is>
      </c>
      <c r="B9" t="inlineStr">
        <is>
          <t>Minor</t>
        </is>
      </c>
      <c r="C9" t="inlineStr">
        <is>
          <t>Noise Words in Names</t>
        </is>
      </c>
      <c r="D9">
        <f>COUNTIFS(data_hits!$A:$A,"archon-search",data_hits!$C:$C,$A9)</f>
        <v/>
      </c>
      <c r="E9">
        <f>COUNTIFS(data_hits!$A:$A,"moonset",data_hits!$C:$C,$A9)</f>
        <v/>
      </c>
      <c r="F9">
        <f>COUNTIFS(data_hits!$A:$A,"financialwell",data_hits!$C:$C,$A9)</f>
        <v/>
      </c>
      <c r="G9">
        <f>COUNTIFS(data_hits!$A:$A,"dddd",data_hits!$C:$C,$A9)</f>
        <v/>
      </c>
      <c r="H9">
        <f>COUNTIFS(data_hits!$A:$A,"udemy-top-down-shooter",data_hits!$C:$C,$A9)</f>
        <v/>
      </c>
      <c r="I9">
        <f>SUM(D9:H9)</f>
        <v/>
      </c>
      <c r="J9">
        <f>K9+L9</f>
        <v/>
      </c>
      <c r="K9">
        <f>COUNTIFS(data_adj!$C:$C,$A9,data_adj!$E:$E,"TP")</f>
        <v/>
      </c>
      <c r="L9">
        <f>COUNTIFS(data_adj!$C:$C,$A9,data_adj!$E:$E,"FP")</f>
        <v/>
      </c>
      <c r="M9">
        <f>IF(J9=0,"",ROUND(100*K9/J9,1))</f>
        <v/>
      </c>
      <c r="N9">
        <f>COUNTIFS(data_llm!$C:$C,$A9)</f>
        <v/>
      </c>
      <c r="O9">
        <f>COUNTIFS(data_llm!$C:$C,$A9,data_llm!$F:$F,TRUE)</f>
        <v/>
      </c>
      <c r="P9">
        <f>N9-O9</f>
        <v/>
      </c>
      <c r="Q9">
        <f>IF(N9=0,"",ROUND(100*O9/N9,1))</f>
        <v/>
      </c>
      <c r="R9">
        <f>IF(J9=0,"",ROUND(I9*K9/J9,0))</f>
        <v/>
      </c>
    </row>
    <row r="10">
      <c r="A10" t="inlineStr">
        <is>
          <t>clarity-09</t>
        </is>
      </c>
      <c r="B10" t="inlineStr">
        <is>
          <t>Moderate</t>
        </is>
      </c>
      <c r="C10" t="inlineStr">
        <is>
          <t>Complex Boolean Conditions Not Extracted</t>
        </is>
      </c>
      <c r="D10">
        <f>COUNTIFS(data_hits!$A:$A,"archon-search",data_hits!$C:$C,$A10)</f>
        <v/>
      </c>
      <c r="E10">
        <f>COUNTIFS(data_hits!$A:$A,"moonset",data_hits!$C:$C,$A10)</f>
        <v/>
      </c>
      <c r="F10">
        <f>COUNTIFS(data_hits!$A:$A,"financialwell",data_hits!$C:$C,$A10)</f>
        <v/>
      </c>
      <c r="G10">
        <f>COUNTIFS(data_hits!$A:$A,"dddd",data_hits!$C:$C,$A10)</f>
        <v/>
      </c>
      <c r="H10">
        <f>COUNTIFS(data_hits!$A:$A,"udemy-top-down-shooter",data_hits!$C:$C,$A10)</f>
        <v/>
      </c>
      <c r="I10">
        <f>SUM(D10:H10)</f>
        <v/>
      </c>
      <c r="J10">
        <f>K10+L10</f>
        <v/>
      </c>
      <c r="K10">
        <f>COUNTIFS(data_adj!$C:$C,$A10,data_adj!$E:$E,"TP")</f>
        <v/>
      </c>
      <c r="L10">
        <f>COUNTIFS(data_adj!$C:$C,$A10,data_adj!$E:$E,"FP")</f>
        <v/>
      </c>
      <c r="M10">
        <f>IF(J10=0,"",ROUND(100*K10/J10,1))</f>
        <v/>
      </c>
      <c r="N10">
        <f>COUNTIFS(data_llm!$C:$C,$A10)</f>
        <v/>
      </c>
      <c r="O10">
        <f>COUNTIFS(data_llm!$C:$C,$A10,data_llm!$F:$F,TRUE)</f>
        <v/>
      </c>
      <c r="P10">
        <f>N10-O10</f>
        <v/>
      </c>
      <c r="Q10">
        <f>IF(N10=0,"",ROUND(100*O10/N10,1))</f>
        <v/>
      </c>
      <c r="R10">
        <f>IF(J10=0,"",ROUND(I10*K10/J10,0))</f>
        <v/>
      </c>
    </row>
    <row r="11">
      <c r="A11" t="inlineStr">
        <is>
          <t>clarity-16</t>
        </is>
      </c>
      <c r="B11" t="inlineStr">
        <is>
          <t>Major</t>
        </is>
      </c>
      <c r="C11" t="inlineStr">
        <is>
          <t>Cyclomatic Complexity</t>
        </is>
      </c>
      <c r="D11">
        <f>COUNTIFS(data_hits!$A:$A,"archon-search",data_hits!$C:$C,$A11)</f>
        <v/>
      </c>
      <c r="E11">
        <f>COUNTIFS(data_hits!$A:$A,"moonset",data_hits!$C:$C,$A11)</f>
        <v/>
      </c>
      <c r="F11">
        <f>COUNTIFS(data_hits!$A:$A,"financialwell",data_hits!$C:$C,$A11)</f>
        <v/>
      </c>
      <c r="G11">
        <f>COUNTIFS(data_hits!$A:$A,"dddd",data_hits!$C:$C,$A11)</f>
        <v/>
      </c>
      <c r="H11">
        <f>COUNTIFS(data_hits!$A:$A,"udemy-top-down-shooter",data_hits!$C:$C,$A11)</f>
        <v/>
      </c>
      <c r="I11">
        <f>SUM(D11:H11)</f>
        <v/>
      </c>
      <c r="J11">
        <f>K11+L11</f>
        <v/>
      </c>
      <c r="K11">
        <f>COUNTIFS(data_adj!$C:$C,$A11,data_adj!$E:$E,"TP")</f>
        <v/>
      </c>
      <c r="L11">
        <f>COUNTIFS(data_adj!$C:$C,$A11,data_adj!$E:$E,"FP")</f>
        <v/>
      </c>
      <c r="M11">
        <f>IF(J11=0,"",ROUND(100*K11/J11,1))</f>
        <v/>
      </c>
      <c r="N11">
        <f>COUNTIFS(data_llm!$C:$C,$A11)</f>
        <v/>
      </c>
      <c r="O11">
        <f>COUNTIFS(data_llm!$C:$C,$A11,data_llm!$F:$F,TRUE)</f>
        <v/>
      </c>
      <c r="P11">
        <f>N11-O11</f>
        <v/>
      </c>
      <c r="Q11">
        <f>IF(N11=0,"",ROUND(100*O11/N11,1))</f>
        <v/>
      </c>
      <c r="R11">
        <f>IF(J11=0,"",ROUND(I11*K11/J11,0))</f>
        <v/>
      </c>
    </row>
    <row r="12">
      <c r="A12" t="inlineStr">
        <is>
          <t>clarity-17</t>
        </is>
      </c>
      <c r="B12" t="inlineStr">
        <is>
          <t>Moderate</t>
        </is>
      </c>
      <c r="C12" t="inlineStr">
        <is>
          <t>Function Length</t>
        </is>
      </c>
      <c r="D12">
        <f>COUNTIFS(data_hits!$A:$A,"archon-search",data_hits!$C:$C,$A12)</f>
        <v/>
      </c>
      <c r="E12">
        <f>COUNTIFS(data_hits!$A:$A,"moonset",data_hits!$C:$C,$A12)</f>
        <v/>
      </c>
      <c r="F12">
        <f>COUNTIFS(data_hits!$A:$A,"financialwell",data_hits!$C:$C,$A12)</f>
        <v/>
      </c>
      <c r="G12">
        <f>COUNTIFS(data_hits!$A:$A,"dddd",data_hits!$C:$C,$A12)</f>
        <v/>
      </c>
      <c r="H12">
        <f>COUNTIFS(data_hits!$A:$A,"udemy-top-down-shooter",data_hits!$C:$C,$A12)</f>
        <v/>
      </c>
      <c r="I12">
        <f>SUM(D12:H12)</f>
        <v/>
      </c>
      <c r="J12">
        <f>K12+L12</f>
        <v/>
      </c>
      <c r="K12">
        <f>COUNTIFS(data_adj!$C:$C,$A12,data_adj!$E:$E,"TP")</f>
        <v/>
      </c>
      <c r="L12">
        <f>COUNTIFS(data_adj!$C:$C,$A12,data_adj!$E:$E,"FP")</f>
        <v/>
      </c>
      <c r="M12">
        <f>IF(J12=0,"",ROUND(100*K12/J12,1))</f>
        <v/>
      </c>
      <c r="N12">
        <f>COUNTIFS(data_llm!$C:$C,$A12)</f>
        <v/>
      </c>
      <c r="O12">
        <f>COUNTIFS(data_llm!$C:$C,$A12,data_llm!$F:$F,TRUE)</f>
        <v/>
      </c>
      <c r="P12">
        <f>N12-O12</f>
        <v/>
      </c>
      <c r="Q12">
        <f>IF(N12=0,"",ROUND(100*O12/N12,1))</f>
        <v/>
      </c>
      <c r="R12">
        <f>IF(J12=0,"",ROUND(I12*K12/J12,0))</f>
        <v/>
      </c>
    </row>
    <row r="13">
      <c r="A13" t="inlineStr">
        <is>
          <t>ddd-01</t>
        </is>
      </c>
      <c r="B13" t="inlineStr">
        <is>
          <t>Major</t>
        </is>
      </c>
      <c r="C13" t="inlineStr">
        <is>
          <t>Value Object Mutability</t>
        </is>
      </c>
      <c r="D13">
        <f>COUNTIFS(data_hits!$A:$A,"archon-search",data_hits!$C:$C,$A13)</f>
        <v/>
      </c>
      <c r="E13">
        <f>COUNTIFS(data_hits!$A:$A,"moonset",data_hits!$C:$C,$A13)</f>
        <v/>
      </c>
      <c r="F13">
        <f>COUNTIFS(data_hits!$A:$A,"financialwell",data_hits!$C:$C,$A13)</f>
        <v/>
      </c>
      <c r="G13">
        <f>COUNTIFS(data_hits!$A:$A,"dddd",data_hits!$C:$C,$A13)</f>
        <v/>
      </c>
      <c r="H13">
        <f>COUNTIFS(data_hits!$A:$A,"udemy-top-down-shooter",data_hits!$C:$C,$A13)</f>
        <v/>
      </c>
      <c r="I13">
        <f>SUM(D13:H13)</f>
        <v/>
      </c>
      <c r="J13">
        <f>K13+L13</f>
        <v/>
      </c>
      <c r="K13">
        <f>COUNTIFS(data_adj!$C:$C,$A13,data_adj!$E:$E,"TP")</f>
        <v/>
      </c>
      <c r="L13">
        <f>COUNTIFS(data_adj!$C:$C,$A13,data_adj!$E:$E,"FP")</f>
        <v/>
      </c>
      <c r="M13">
        <f>IF(J13=0,"",ROUND(100*K13/J13,1))</f>
        <v/>
      </c>
      <c r="N13">
        <f>COUNTIFS(data_llm!$C:$C,$A13)</f>
        <v/>
      </c>
      <c r="O13">
        <f>COUNTIFS(data_llm!$C:$C,$A13,data_llm!$F:$F,TRUE)</f>
        <v/>
      </c>
      <c r="P13">
        <f>N13-O13</f>
        <v/>
      </c>
      <c r="Q13">
        <f>IF(N13=0,"",ROUND(100*O13/N13,1))</f>
        <v/>
      </c>
      <c r="R13">
        <f>IF(J13=0,"",ROUND(I13*K13/J13,0))</f>
        <v/>
      </c>
    </row>
    <row r="14">
      <c r="A14" t="inlineStr">
        <is>
          <t>ddd-06</t>
        </is>
      </c>
      <c r="B14" t="inlineStr">
        <is>
          <t>Major</t>
        </is>
      </c>
      <c r="C14" t="inlineStr">
        <is>
          <t>Bounded Context Coupling</t>
        </is>
      </c>
      <c r="D14">
        <f>COUNTIFS(data_hits!$A:$A,"archon-search",data_hits!$C:$C,$A14)</f>
        <v/>
      </c>
      <c r="E14">
        <f>COUNTIFS(data_hits!$A:$A,"moonset",data_hits!$C:$C,$A14)</f>
        <v/>
      </c>
      <c r="F14">
        <f>COUNTIFS(data_hits!$A:$A,"financialwell",data_hits!$C:$C,$A14)</f>
        <v/>
      </c>
      <c r="G14">
        <f>COUNTIFS(data_hits!$A:$A,"dddd",data_hits!$C:$C,$A14)</f>
        <v/>
      </c>
      <c r="H14">
        <f>COUNTIFS(data_hits!$A:$A,"udemy-top-down-shooter",data_hits!$C:$C,$A14)</f>
        <v/>
      </c>
      <c r="I14">
        <f>SUM(D14:H14)</f>
        <v/>
      </c>
      <c r="J14">
        <f>K14+L14</f>
        <v/>
      </c>
      <c r="K14">
        <f>COUNTIFS(data_adj!$C:$C,$A14,data_adj!$E:$E,"TP")</f>
        <v/>
      </c>
      <c r="L14">
        <f>COUNTIFS(data_adj!$C:$C,$A14,data_adj!$E:$E,"FP")</f>
        <v/>
      </c>
      <c r="M14">
        <f>IF(J14=0,"",ROUND(100*K14/J14,1))</f>
        <v/>
      </c>
      <c r="N14">
        <f>COUNTIFS(data_llm!$C:$C,$A14)</f>
        <v/>
      </c>
      <c r="O14">
        <f>COUNTIFS(data_llm!$C:$C,$A14,data_llm!$F:$F,TRUE)</f>
        <v/>
      </c>
      <c r="P14">
        <f>N14-O14</f>
        <v/>
      </c>
      <c r="Q14">
        <f>IF(N14=0,"",ROUND(100*O14/N14,1))</f>
        <v/>
      </c>
      <c r="R14">
        <f>IF(J14=0,"",ROUND(I14*K14/J14,0))</f>
        <v/>
      </c>
    </row>
    <row r="15">
      <c r="A15" t="inlineStr">
        <is>
          <t>ddd-07</t>
        </is>
      </c>
      <c r="B15" t="inlineStr">
        <is>
          <t>Major</t>
        </is>
      </c>
      <c r="C15" t="inlineStr">
        <is>
          <t>Mutable Collection Leaked from Aggregate</t>
        </is>
      </c>
      <c r="D15">
        <f>COUNTIFS(data_hits!$A:$A,"archon-search",data_hits!$C:$C,$A15)</f>
        <v/>
      </c>
      <c r="E15">
        <f>COUNTIFS(data_hits!$A:$A,"moonset",data_hits!$C:$C,$A15)</f>
        <v/>
      </c>
      <c r="F15">
        <f>COUNTIFS(data_hits!$A:$A,"financialwell",data_hits!$C:$C,$A15)</f>
        <v/>
      </c>
      <c r="G15">
        <f>COUNTIFS(data_hits!$A:$A,"dddd",data_hits!$C:$C,$A15)</f>
        <v/>
      </c>
      <c r="H15">
        <f>COUNTIFS(data_hits!$A:$A,"udemy-top-down-shooter",data_hits!$C:$C,$A15)</f>
        <v/>
      </c>
      <c r="I15">
        <f>SUM(D15:H15)</f>
        <v/>
      </c>
      <c r="J15">
        <f>K15+L15</f>
        <v/>
      </c>
      <c r="K15">
        <f>COUNTIFS(data_adj!$C:$C,$A15,data_adj!$E:$E,"TP")</f>
        <v/>
      </c>
      <c r="L15">
        <f>COUNTIFS(data_adj!$C:$C,$A15,data_adj!$E:$E,"FP")</f>
        <v/>
      </c>
      <c r="M15">
        <f>IF(J15=0,"",ROUND(100*K15/J15,1))</f>
        <v/>
      </c>
      <c r="N15">
        <f>COUNTIFS(data_llm!$C:$C,$A15)</f>
        <v/>
      </c>
      <c r="O15">
        <f>COUNTIFS(data_llm!$C:$C,$A15,data_llm!$F:$F,TRUE)</f>
        <v/>
      </c>
      <c r="P15">
        <f>N15-O15</f>
        <v/>
      </c>
      <c r="Q15">
        <f>IF(N15=0,"",ROUND(100*O15/N15,1))</f>
        <v/>
      </c>
      <c r="R15">
        <f>IF(J15=0,"",ROUND(I15*K15/J15,0))</f>
        <v/>
      </c>
    </row>
    <row r="16">
      <c r="A16" t="inlineStr">
        <is>
          <t>safety-01</t>
        </is>
      </c>
      <c r="B16" t="inlineStr">
        <is>
          <t>Critical</t>
        </is>
      </c>
      <c r="C16" t="inlineStr">
        <is>
          <t>Resource Leak</t>
        </is>
      </c>
      <c r="D16">
        <f>COUNTIFS(data_hits!$A:$A,"archon-search",data_hits!$C:$C,$A16)</f>
        <v/>
      </c>
      <c r="E16">
        <f>COUNTIFS(data_hits!$A:$A,"moonset",data_hits!$C:$C,$A16)</f>
        <v/>
      </c>
      <c r="F16">
        <f>COUNTIFS(data_hits!$A:$A,"financialwell",data_hits!$C:$C,$A16)</f>
        <v/>
      </c>
      <c r="G16">
        <f>COUNTIFS(data_hits!$A:$A,"dddd",data_hits!$C:$C,$A16)</f>
        <v/>
      </c>
      <c r="H16">
        <f>COUNTIFS(data_hits!$A:$A,"udemy-top-down-shooter",data_hits!$C:$C,$A16)</f>
        <v/>
      </c>
      <c r="I16">
        <f>SUM(D16:H16)</f>
        <v/>
      </c>
      <c r="J16">
        <f>K16+L16</f>
        <v/>
      </c>
      <c r="K16">
        <f>COUNTIFS(data_adj!$C:$C,$A16,data_adj!$E:$E,"TP")</f>
        <v/>
      </c>
      <c r="L16">
        <f>COUNTIFS(data_adj!$C:$C,$A16,data_adj!$E:$E,"FP")</f>
        <v/>
      </c>
      <c r="M16">
        <f>IF(J16=0,"",ROUND(100*K16/J16,1))</f>
        <v/>
      </c>
      <c r="N16">
        <f>COUNTIFS(data_llm!$C:$C,$A16)</f>
        <v/>
      </c>
      <c r="O16">
        <f>COUNTIFS(data_llm!$C:$C,$A16,data_llm!$F:$F,TRUE)</f>
        <v/>
      </c>
      <c r="P16">
        <f>N16-O16</f>
        <v/>
      </c>
      <c r="Q16">
        <f>IF(N16=0,"",ROUND(100*O16/N16,1))</f>
        <v/>
      </c>
      <c r="R16">
        <f>IF(J16=0,"",ROUND(I16*K16/J16,0))</f>
        <v/>
      </c>
    </row>
    <row r="17">
      <c r="A17" t="inlineStr">
        <is>
          <t>safety-02</t>
        </is>
      </c>
      <c r="B17" t="inlineStr">
        <is>
          <t>Critical</t>
        </is>
      </c>
      <c r="C17" t="inlineStr">
        <is>
          <t>Unsafe Null Dereference / Force Unwrap</t>
        </is>
      </c>
      <c r="D17">
        <f>COUNTIFS(data_hits!$A:$A,"archon-search",data_hits!$C:$C,$A17)</f>
        <v/>
      </c>
      <c r="E17">
        <f>COUNTIFS(data_hits!$A:$A,"moonset",data_hits!$C:$C,$A17)</f>
        <v/>
      </c>
      <c r="F17">
        <f>COUNTIFS(data_hits!$A:$A,"financialwell",data_hits!$C:$C,$A17)</f>
        <v/>
      </c>
      <c r="G17">
        <f>COUNTIFS(data_hits!$A:$A,"dddd",data_hits!$C:$C,$A17)</f>
        <v/>
      </c>
      <c r="H17">
        <f>COUNTIFS(data_hits!$A:$A,"udemy-top-down-shooter",data_hits!$C:$C,$A17)</f>
        <v/>
      </c>
      <c r="I17">
        <f>SUM(D17:H17)</f>
        <v/>
      </c>
      <c r="J17">
        <f>K17+L17</f>
        <v/>
      </c>
      <c r="K17">
        <f>COUNTIFS(data_adj!$C:$C,$A17,data_adj!$E:$E,"TP")</f>
        <v/>
      </c>
      <c r="L17">
        <f>COUNTIFS(data_adj!$C:$C,$A17,data_adj!$E:$E,"FP")</f>
        <v/>
      </c>
      <c r="M17">
        <f>IF(J17=0,"",ROUND(100*K17/J17,1))</f>
        <v/>
      </c>
      <c r="N17">
        <f>COUNTIFS(data_llm!$C:$C,$A17)</f>
        <v/>
      </c>
      <c r="O17">
        <f>COUNTIFS(data_llm!$C:$C,$A17,data_llm!$F:$F,TRUE)</f>
        <v/>
      </c>
      <c r="P17">
        <f>N17-O17</f>
        <v/>
      </c>
      <c r="Q17">
        <f>IF(N17=0,"",ROUND(100*O17/N17,1))</f>
        <v/>
      </c>
      <c r="R17">
        <f>IF(J17=0,"",ROUND(I17*K17/J17,0))</f>
        <v/>
      </c>
    </row>
    <row r="18">
      <c r="A18" t="inlineStr">
        <is>
          <t>safety-03</t>
        </is>
      </c>
      <c r="B18" t="inlineStr">
        <is>
          <t>Major</t>
        </is>
      </c>
      <c r="C18" t="inlineStr">
        <is>
          <t>Fire-and-Forget Async Without Error Handling</t>
        </is>
      </c>
      <c r="D18">
        <f>COUNTIFS(data_hits!$A:$A,"archon-search",data_hits!$C:$C,$A18)</f>
        <v/>
      </c>
      <c r="E18">
        <f>COUNTIFS(data_hits!$A:$A,"moonset",data_hits!$C:$C,$A18)</f>
        <v/>
      </c>
      <c r="F18">
        <f>COUNTIFS(data_hits!$A:$A,"financialwell",data_hits!$C:$C,$A18)</f>
        <v/>
      </c>
      <c r="G18">
        <f>COUNTIFS(data_hits!$A:$A,"dddd",data_hits!$C:$C,$A18)</f>
        <v/>
      </c>
      <c r="H18">
        <f>COUNTIFS(data_hits!$A:$A,"udemy-top-down-shooter",data_hits!$C:$C,$A18)</f>
        <v/>
      </c>
      <c r="I18">
        <f>SUM(D18:H18)</f>
        <v/>
      </c>
      <c r="J18">
        <f>K18+L18</f>
        <v/>
      </c>
      <c r="K18">
        <f>COUNTIFS(data_adj!$C:$C,$A18,data_adj!$E:$E,"TP")</f>
        <v/>
      </c>
      <c r="L18">
        <f>COUNTIFS(data_adj!$C:$C,$A18,data_adj!$E:$E,"FP")</f>
        <v/>
      </c>
      <c r="M18">
        <f>IF(J18=0,"",ROUND(100*K18/J18,1))</f>
        <v/>
      </c>
      <c r="N18">
        <f>COUNTIFS(data_llm!$C:$C,$A18)</f>
        <v/>
      </c>
      <c r="O18">
        <f>COUNTIFS(data_llm!$C:$C,$A18,data_llm!$F:$F,TRUE)</f>
        <v/>
      </c>
      <c r="P18">
        <f>N18-O18</f>
        <v/>
      </c>
      <c r="Q18">
        <f>IF(N18=0,"",ROUND(100*O18/N18,1))</f>
        <v/>
      </c>
      <c r="R18">
        <f>IF(J18=0,"",ROUND(I18*K18/J18,0))</f>
        <v/>
      </c>
    </row>
    <row r="19">
      <c r="A19" t="inlineStr">
        <is>
          <t>safety-05</t>
        </is>
      </c>
      <c r="B19" t="inlineStr">
        <is>
          <t>Critical</t>
        </is>
      </c>
      <c r="C19" t="inlineStr">
        <is>
          <t>Check-Then-Act Race Condition</t>
        </is>
      </c>
      <c r="D19">
        <f>COUNTIFS(data_hits!$A:$A,"archon-search",data_hits!$C:$C,$A19)</f>
        <v/>
      </c>
      <c r="E19">
        <f>COUNTIFS(data_hits!$A:$A,"moonset",data_hits!$C:$C,$A19)</f>
        <v/>
      </c>
      <c r="F19">
        <f>COUNTIFS(data_hits!$A:$A,"financialwell",data_hits!$C:$C,$A19)</f>
        <v/>
      </c>
      <c r="G19">
        <f>COUNTIFS(data_hits!$A:$A,"dddd",data_hits!$C:$C,$A19)</f>
        <v/>
      </c>
      <c r="H19">
        <f>COUNTIFS(data_hits!$A:$A,"udemy-top-down-shooter",data_hits!$C:$C,$A19)</f>
        <v/>
      </c>
      <c r="I19">
        <f>SUM(D19:H19)</f>
        <v/>
      </c>
      <c r="J19">
        <f>K19+L19</f>
        <v/>
      </c>
      <c r="K19">
        <f>COUNTIFS(data_adj!$C:$C,$A19,data_adj!$E:$E,"TP")</f>
        <v/>
      </c>
      <c r="L19">
        <f>COUNTIFS(data_adj!$C:$C,$A19,data_adj!$E:$E,"FP")</f>
        <v/>
      </c>
      <c r="M19">
        <f>IF(J19=0,"",ROUND(100*K19/J19,1))</f>
        <v/>
      </c>
      <c r="N19">
        <f>COUNTIFS(data_llm!$C:$C,$A19)</f>
        <v/>
      </c>
      <c r="O19">
        <f>COUNTIFS(data_llm!$C:$C,$A19,data_llm!$F:$F,TRUE)</f>
        <v/>
      </c>
      <c r="P19">
        <f>N19-O19</f>
        <v/>
      </c>
      <c r="Q19">
        <f>IF(N19=0,"",ROUND(100*O19/N19,1))</f>
        <v/>
      </c>
      <c r="R19">
        <f>IF(J19=0,"",ROUND(I19*K19/J19,0))</f>
        <v/>
      </c>
    </row>
    <row r="20">
      <c r="A20" t="inlineStr">
        <is>
          <t>safety-06</t>
        </is>
      </c>
      <c r="B20" t="inlineStr">
        <is>
          <t>Major</t>
        </is>
      </c>
      <c r="C20" t="inlineStr">
        <is>
          <t>Blocking I/O in Async Context</t>
        </is>
      </c>
      <c r="D20">
        <f>COUNTIFS(data_hits!$A:$A,"archon-search",data_hits!$C:$C,$A20)</f>
        <v/>
      </c>
      <c r="E20">
        <f>COUNTIFS(data_hits!$A:$A,"moonset",data_hits!$C:$C,$A20)</f>
        <v/>
      </c>
      <c r="F20">
        <f>COUNTIFS(data_hits!$A:$A,"financialwell",data_hits!$C:$C,$A20)</f>
        <v/>
      </c>
      <c r="G20">
        <f>COUNTIFS(data_hits!$A:$A,"dddd",data_hits!$C:$C,$A20)</f>
        <v/>
      </c>
      <c r="H20">
        <f>COUNTIFS(data_hits!$A:$A,"udemy-top-down-shooter",data_hits!$C:$C,$A20)</f>
        <v/>
      </c>
      <c r="I20">
        <f>SUM(D20:H20)</f>
        <v/>
      </c>
      <c r="J20">
        <f>K20+L20</f>
        <v/>
      </c>
      <c r="K20">
        <f>COUNTIFS(data_adj!$C:$C,$A20,data_adj!$E:$E,"TP")</f>
        <v/>
      </c>
      <c r="L20">
        <f>COUNTIFS(data_adj!$C:$C,$A20,data_adj!$E:$E,"FP")</f>
        <v/>
      </c>
      <c r="M20">
        <f>IF(J20=0,"",ROUND(100*K20/J20,1))</f>
        <v/>
      </c>
      <c r="N20">
        <f>COUNTIFS(data_llm!$C:$C,$A20)</f>
        <v/>
      </c>
      <c r="O20">
        <f>COUNTIFS(data_llm!$C:$C,$A20,data_llm!$F:$F,TRUE)</f>
        <v/>
      </c>
      <c r="P20">
        <f>N20-O20</f>
        <v/>
      </c>
      <c r="Q20">
        <f>IF(N20=0,"",ROUND(100*O20/N20,1))</f>
        <v/>
      </c>
      <c r="R20">
        <f>IF(J20=0,"",ROUND(I20*K20/J20,0))</f>
        <v/>
      </c>
    </row>
    <row r="21">
      <c r="A21" t="inlineStr">
        <is>
          <t>safety-07</t>
        </is>
      </c>
      <c r="B21" t="inlineStr">
        <is>
          <t>Moderate</t>
        </is>
      </c>
      <c r="C21" t="inlineStr">
        <is>
          <t>Suppressed Compiler/Linter Warnings</t>
        </is>
      </c>
      <c r="D21">
        <f>COUNTIFS(data_hits!$A:$A,"archon-search",data_hits!$C:$C,$A21)</f>
        <v/>
      </c>
      <c r="E21">
        <f>COUNTIFS(data_hits!$A:$A,"moonset",data_hits!$C:$C,$A21)</f>
        <v/>
      </c>
      <c r="F21">
        <f>COUNTIFS(data_hits!$A:$A,"financialwell",data_hits!$C:$C,$A21)</f>
        <v/>
      </c>
      <c r="G21">
        <f>COUNTIFS(data_hits!$A:$A,"dddd",data_hits!$C:$C,$A21)</f>
        <v/>
      </c>
      <c r="H21">
        <f>COUNTIFS(data_hits!$A:$A,"udemy-top-down-shooter",data_hits!$C:$C,$A21)</f>
        <v/>
      </c>
      <c r="I21">
        <f>SUM(D21:H21)</f>
        <v/>
      </c>
      <c r="J21">
        <f>K21+L21</f>
        <v/>
      </c>
      <c r="K21">
        <f>COUNTIFS(data_adj!$C:$C,$A21,data_adj!$E:$E,"TP")</f>
        <v/>
      </c>
      <c r="L21">
        <f>COUNTIFS(data_adj!$C:$C,$A21,data_adj!$E:$E,"FP")</f>
        <v/>
      </c>
      <c r="M21">
        <f>IF(J21=0,"",ROUND(100*K21/J21,1))</f>
        <v/>
      </c>
      <c r="N21">
        <f>COUNTIFS(data_llm!$C:$C,$A21)</f>
        <v/>
      </c>
      <c r="O21">
        <f>COUNTIFS(data_llm!$C:$C,$A21,data_llm!$F:$F,TRUE)</f>
        <v/>
      </c>
      <c r="P21">
        <f>N21-O21</f>
        <v/>
      </c>
      <c r="Q21">
        <f>IF(N21=0,"",ROUND(100*O21/N21,1))</f>
        <v/>
      </c>
      <c r="R21">
        <f>IF(J21=0,"",ROUND(I21*K21/J21,0))</f>
        <v/>
      </c>
    </row>
    <row r="22">
      <c r="A22" t="inlineStr">
        <is>
          <t>safety-08</t>
        </is>
      </c>
      <c r="B22" t="inlineStr">
        <is>
          <t>Major</t>
        </is>
      </c>
      <c r="C22" t="inlineStr">
        <is>
          <t>External Call Without Timeout or Cancellation</t>
        </is>
      </c>
      <c r="D22">
        <f>COUNTIFS(data_hits!$A:$A,"archon-search",data_hits!$C:$C,$A22)</f>
        <v/>
      </c>
      <c r="E22">
        <f>COUNTIFS(data_hits!$A:$A,"moonset",data_hits!$C:$C,$A22)</f>
        <v/>
      </c>
      <c r="F22">
        <f>COUNTIFS(data_hits!$A:$A,"financialwell",data_hits!$C:$C,$A22)</f>
        <v/>
      </c>
      <c r="G22">
        <f>COUNTIFS(data_hits!$A:$A,"dddd",data_hits!$C:$C,$A22)</f>
        <v/>
      </c>
      <c r="H22">
        <f>COUNTIFS(data_hits!$A:$A,"udemy-top-down-shooter",data_hits!$C:$C,$A22)</f>
        <v/>
      </c>
      <c r="I22">
        <f>SUM(D22:H22)</f>
        <v/>
      </c>
      <c r="J22">
        <f>K22+L22</f>
        <v/>
      </c>
      <c r="K22">
        <f>COUNTIFS(data_adj!$C:$C,$A22,data_adj!$E:$E,"TP")</f>
        <v/>
      </c>
      <c r="L22">
        <f>COUNTIFS(data_adj!$C:$C,$A22,data_adj!$E:$E,"FP")</f>
        <v/>
      </c>
      <c r="M22">
        <f>IF(J22=0,"",ROUND(100*K22/J22,1))</f>
        <v/>
      </c>
      <c r="N22">
        <f>COUNTIFS(data_llm!$C:$C,$A22)</f>
        <v/>
      </c>
      <c r="O22">
        <f>COUNTIFS(data_llm!$C:$C,$A22,data_llm!$F:$F,TRUE)</f>
        <v/>
      </c>
      <c r="P22">
        <f>N22-O22</f>
        <v/>
      </c>
      <c r="Q22">
        <f>IF(N22=0,"",ROUND(100*O22/N22,1))</f>
        <v/>
      </c>
      <c r="R22">
        <f>IF(J22=0,"",ROUND(I22*K22/J22,0))</f>
        <v/>
      </c>
    </row>
    <row r="23">
      <c r="A23" t="inlineStr">
        <is>
          <t>safety-09</t>
        </is>
      </c>
      <c r="B23" t="inlineStr">
        <is>
          <t>Critical</t>
        </is>
      </c>
      <c r="C23" t="inlineStr">
        <is>
          <t>Fire-and-Forget Async Method Declaration</t>
        </is>
      </c>
      <c r="D23">
        <f>COUNTIFS(data_hits!$A:$A,"archon-search",data_hits!$C:$C,$A23)</f>
        <v/>
      </c>
      <c r="E23">
        <f>COUNTIFS(data_hits!$A:$A,"moonset",data_hits!$C:$C,$A23)</f>
        <v/>
      </c>
      <c r="F23">
        <f>COUNTIFS(data_hits!$A:$A,"financialwell",data_hits!$C:$C,$A23)</f>
        <v/>
      </c>
      <c r="G23">
        <f>COUNTIFS(data_hits!$A:$A,"dddd",data_hits!$C:$C,$A23)</f>
        <v/>
      </c>
      <c r="H23">
        <f>COUNTIFS(data_hits!$A:$A,"udemy-top-down-shooter",data_hits!$C:$C,$A23)</f>
        <v/>
      </c>
      <c r="I23">
        <f>SUM(D23:H23)</f>
        <v/>
      </c>
      <c r="J23">
        <f>K23+L23</f>
        <v/>
      </c>
      <c r="K23">
        <f>COUNTIFS(data_adj!$C:$C,$A23,data_adj!$E:$E,"TP")</f>
        <v/>
      </c>
      <c r="L23">
        <f>COUNTIFS(data_adj!$C:$C,$A23,data_adj!$E:$E,"FP")</f>
        <v/>
      </c>
      <c r="M23">
        <f>IF(J23=0,"",ROUND(100*K23/J23,1))</f>
        <v/>
      </c>
      <c r="N23">
        <f>COUNTIFS(data_llm!$C:$C,$A23)</f>
        <v/>
      </c>
      <c r="O23">
        <f>COUNTIFS(data_llm!$C:$C,$A23,data_llm!$F:$F,TRUE)</f>
        <v/>
      </c>
      <c r="P23">
        <f>N23-O23</f>
        <v/>
      </c>
      <c r="Q23">
        <f>IF(N23=0,"",ROUND(100*O23/N23,1))</f>
        <v/>
      </c>
      <c r="R23">
        <f>IF(J23=0,"",ROUND(I23*K23/J23,0))</f>
        <v/>
      </c>
    </row>
    <row r="24">
      <c r="A24" t="inlineStr">
        <is>
          <t>safety-10</t>
        </is>
      </c>
      <c r="B24" t="inlineStr">
        <is>
          <t>Major</t>
        </is>
      </c>
      <c r="C24" t="inlineStr">
        <is>
          <t>Exception Cause Discarded on Rethrow</t>
        </is>
      </c>
      <c r="D24">
        <f>COUNTIFS(data_hits!$A:$A,"archon-search",data_hits!$C:$C,$A24)</f>
        <v/>
      </c>
      <c r="E24">
        <f>COUNTIFS(data_hits!$A:$A,"moonset",data_hits!$C:$C,$A24)</f>
        <v/>
      </c>
      <c r="F24">
        <f>COUNTIFS(data_hits!$A:$A,"financialwell",data_hits!$C:$C,$A24)</f>
        <v/>
      </c>
      <c r="G24">
        <f>COUNTIFS(data_hits!$A:$A,"dddd",data_hits!$C:$C,$A24)</f>
        <v/>
      </c>
      <c r="H24">
        <f>COUNTIFS(data_hits!$A:$A,"udemy-top-down-shooter",data_hits!$C:$C,$A24)</f>
        <v/>
      </c>
      <c r="I24">
        <f>SUM(D24:H24)</f>
        <v/>
      </c>
      <c r="J24">
        <f>K24+L24</f>
        <v/>
      </c>
      <c r="K24">
        <f>COUNTIFS(data_adj!$C:$C,$A24,data_adj!$E:$E,"TP")</f>
        <v/>
      </c>
      <c r="L24">
        <f>COUNTIFS(data_adj!$C:$C,$A24,data_adj!$E:$E,"FP")</f>
        <v/>
      </c>
      <c r="M24">
        <f>IF(J24=0,"",ROUND(100*K24/J24,1))</f>
        <v/>
      </c>
      <c r="N24">
        <f>COUNTIFS(data_llm!$C:$C,$A24)</f>
        <v/>
      </c>
      <c r="O24">
        <f>COUNTIFS(data_llm!$C:$C,$A24,data_llm!$F:$F,TRUE)</f>
        <v/>
      </c>
      <c r="P24">
        <f>N24-O24</f>
        <v/>
      </c>
      <c r="Q24">
        <f>IF(N24=0,"",ROUND(100*O24/N24,1))</f>
        <v/>
      </c>
      <c r="R24">
        <f>IF(J24=0,"",ROUND(I24*K24/J24,0))</f>
        <v/>
      </c>
    </row>
    <row r="25">
      <c r="A25" t="inlineStr">
        <is>
          <t>safety-11</t>
        </is>
      </c>
      <c r="B25" t="inlineStr">
        <is>
          <t>Major</t>
        </is>
      </c>
      <c r="C25" t="inlineStr">
        <is>
          <t>Unabstracted Clock, Randomness, or Identifier in Production Code</t>
        </is>
      </c>
      <c r="D25">
        <f>COUNTIFS(data_hits!$A:$A,"archon-search",data_hits!$C:$C,$A25)</f>
        <v/>
      </c>
      <c r="E25">
        <f>COUNTIFS(data_hits!$A:$A,"moonset",data_hits!$C:$C,$A25)</f>
        <v/>
      </c>
      <c r="F25">
        <f>COUNTIFS(data_hits!$A:$A,"financialwell",data_hits!$C:$C,$A25)</f>
        <v/>
      </c>
      <c r="G25">
        <f>COUNTIFS(data_hits!$A:$A,"dddd",data_hits!$C:$C,$A25)</f>
        <v/>
      </c>
      <c r="H25">
        <f>COUNTIFS(data_hits!$A:$A,"udemy-top-down-shooter",data_hits!$C:$C,$A25)</f>
        <v/>
      </c>
      <c r="I25">
        <f>SUM(D25:H25)</f>
        <v/>
      </c>
      <c r="J25">
        <f>K25+L25</f>
        <v/>
      </c>
      <c r="K25">
        <f>COUNTIFS(data_adj!$C:$C,$A25,data_adj!$E:$E,"TP")</f>
        <v/>
      </c>
      <c r="L25">
        <f>COUNTIFS(data_adj!$C:$C,$A25,data_adj!$E:$E,"FP")</f>
        <v/>
      </c>
      <c r="M25">
        <f>IF(J25=0,"",ROUND(100*K25/J25,1))</f>
        <v/>
      </c>
      <c r="N25">
        <f>COUNTIFS(data_llm!$C:$C,$A25)</f>
        <v/>
      </c>
      <c r="O25">
        <f>COUNTIFS(data_llm!$C:$C,$A25,data_llm!$F:$F,TRUE)</f>
        <v/>
      </c>
      <c r="P25">
        <f>N25-O25</f>
        <v/>
      </c>
      <c r="Q25">
        <f>IF(N25=0,"",ROUND(100*O25/N25,1))</f>
        <v/>
      </c>
      <c r="R25">
        <f>IF(J25=0,"",ROUND(I25*K25/J25,0))</f>
        <v/>
      </c>
    </row>
    <row r="26">
      <c r="A26" t="inlineStr">
        <is>
          <t>safety-12</t>
        </is>
      </c>
      <c r="B26" t="inlineStr">
        <is>
          <t>Major</t>
        </is>
      </c>
      <c r="C26" t="inlineStr">
        <is>
          <t>Mutable Default Parameter Value</t>
        </is>
      </c>
      <c r="D26">
        <f>COUNTIFS(data_hits!$A:$A,"archon-search",data_hits!$C:$C,$A26)</f>
        <v/>
      </c>
      <c r="E26">
        <f>COUNTIFS(data_hits!$A:$A,"moonset",data_hits!$C:$C,$A26)</f>
        <v/>
      </c>
      <c r="F26">
        <f>COUNTIFS(data_hits!$A:$A,"financialwell",data_hits!$C:$C,$A26)</f>
        <v/>
      </c>
      <c r="G26">
        <f>COUNTIFS(data_hits!$A:$A,"dddd",data_hits!$C:$C,$A26)</f>
        <v/>
      </c>
      <c r="H26">
        <f>COUNTIFS(data_hits!$A:$A,"udemy-top-down-shooter",data_hits!$C:$C,$A26)</f>
        <v/>
      </c>
      <c r="I26">
        <f>SUM(D26:H26)</f>
        <v/>
      </c>
      <c r="J26">
        <f>K26+L26</f>
        <v/>
      </c>
      <c r="K26">
        <f>COUNTIFS(data_adj!$C:$C,$A26,data_adj!$E:$E,"TP")</f>
        <v/>
      </c>
      <c r="L26">
        <f>COUNTIFS(data_adj!$C:$C,$A26,data_adj!$E:$E,"FP")</f>
        <v/>
      </c>
      <c r="M26">
        <f>IF(J26=0,"",ROUND(100*K26/J26,1))</f>
        <v/>
      </c>
      <c r="N26">
        <f>COUNTIFS(data_llm!$C:$C,$A26)</f>
        <v/>
      </c>
      <c r="O26">
        <f>COUNTIFS(data_llm!$C:$C,$A26,data_llm!$F:$F,TRUE)</f>
        <v/>
      </c>
      <c r="P26">
        <f>N26-O26</f>
        <v/>
      </c>
      <c r="Q26">
        <f>IF(N26=0,"",ROUND(100*O26/N26,1))</f>
        <v/>
      </c>
      <c r="R26">
        <f>IF(J26=0,"",ROUND(I26*K26/J26,0))</f>
        <v/>
      </c>
    </row>
    <row r="27">
      <c r="A27" t="inlineStr">
        <is>
          <t>safety-13</t>
        </is>
      </c>
      <c r="B27" t="inlineStr">
        <is>
          <t>Major</t>
        </is>
      </c>
      <c r="C27" t="inlineStr">
        <is>
          <t>Assertion Used as Production Validation</t>
        </is>
      </c>
      <c r="D27">
        <f>COUNTIFS(data_hits!$A:$A,"archon-search",data_hits!$C:$C,$A27)</f>
        <v/>
      </c>
      <c r="E27">
        <f>COUNTIFS(data_hits!$A:$A,"moonset",data_hits!$C:$C,$A27)</f>
        <v/>
      </c>
      <c r="F27">
        <f>COUNTIFS(data_hits!$A:$A,"financialwell",data_hits!$C:$C,$A27)</f>
        <v/>
      </c>
      <c r="G27">
        <f>COUNTIFS(data_hits!$A:$A,"dddd",data_hits!$C:$C,$A27)</f>
        <v/>
      </c>
      <c r="H27">
        <f>COUNTIFS(data_hits!$A:$A,"udemy-top-down-shooter",data_hits!$C:$C,$A27)</f>
        <v/>
      </c>
      <c r="I27">
        <f>SUM(D27:H27)</f>
        <v/>
      </c>
      <c r="J27">
        <f>K27+L27</f>
        <v/>
      </c>
      <c r="K27">
        <f>COUNTIFS(data_adj!$C:$C,$A27,data_adj!$E:$E,"TP")</f>
        <v/>
      </c>
      <c r="L27">
        <f>COUNTIFS(data_adj!$C:$C,$A27,data_adj!$E:$E,"FP")</f>
        <v/>
      </c>
      <c r="M27">
        <f>IF(J27=0,"",ROUND(100*K27/J27,1))</f>
        <v/>
      </c>
      <c r="N27">
        <f>COUNTIFS(data_llm!$C:$C,$A27)</f>
        <v/>
      </c>
      <c r="O27">
        <f>COUNTIFS(data_llm!$C:$C,$A27,data_llm!$F:$F,TRUE)</f>
        <v/>
      </c>
      <c r="P27">
        <f>N27-O27</f>
        <v/>
      </c>
      <c r="Q27">
        <f>IF(N27=0,"",ROUND(100*O27/N27,1))</f>
        <v/>
      </c>
      <c r="R27">
        <f>IF(J27=0,"",ROUND(I27*K27/J27,0))</f>
        <v/>
      </c>
    </row>
    <row r="28">
      <c r="A28" t="inlineStr">
        <is>
          <t>safety-14</t>
        </is>
      </c>
      <c r="B28" t="inlineStr">
        <is>
          <t>Critical</t>
        </is>
      </c>
      <c r="C28" t="inlineStr">
        <is>
          <t>Hardcoded Credential</t>
        </is>
      </c>
      <c r="D28">
        <f>COUNTIFS(data_hits!$A:$A,"archon-search",data_hits!$C:$C,$A28)</f>
        <v/>
      </c>
      <c r="E28">
        <f>COUNTIFS(data_hits!$A:$A,"moonset",data_hits!$C:$C,$A28)</f>
        <v/>
      </c>
      <c r="F28">
        <f>COUNTIFS(data_hits!$A:$A,"financialwell",data_hits!$C:$C,$A28)</f>
        <v/>
      </c>
      <c r="G28">
        <f>COUNTIFS(data_hits!$A:$A,"dddd",data_hits!$C:$C,$A28)</f>
        <v/>
      </c>
      <c r="H28">
        <f>COUNTIFS(data_hits!$A:$A,"udemy-top-down-shooter",data_hits!$C:$C,$A28)</f>
        <v/>
      </c>
      <c r="I28">
        <f>SUM(D28:H28)</f>
        <v/>
      </c>
      <c r="J28">
        <f>K28+L28</f>
        <v/>
      </c>
      <c r="K28">
        <f>COUNTIFS(data_adj!$C:$C,$A28,data_adj!$E:$E,"TP")</f>
        <v/>
      </c>
      <c r="L28">
        <f>COUNTIFS(data_adj!$C:$C,$A28,data_adj!$E:$E,"FP")</f>
        <v/>
      </c>
      <c r="M28">
        <f>IF(J28=0,"",ROUND(100*K28/J28,1))</f>
        <v/>
      </c>
      <c r="N28">
        <f>COUNTIFS(data_llm!$C:$C,$A28)</f>
        <v/>
      </c>
      <c r="O28">
        <f>COUNTIFS(data_llm!$C:$C,$A28,data_llm!$F:$F,TRUE)</f>
        <v/>
      </c>
      <c r="P28">
        <f>N28-O28</f>
        <v/>
      </c>
      <c r="Q28">
        <f>IF(N28=0,"",ROUND(100*O28/N28,1))</f>
        <v/>
      </c>
      <c r="R28">
        <f>IF(J28=0,"",ROUND(I28*K28/J28,0))</f>
        <v/>
      </c>
    </row>
    <row r="29">
      <c r="A29" t="inlineStr">
        <is>
          <t>safety-15</t>
        </is>
      </c>
      <c r="B29" t="inlineStr">
        <is>
          <t>Critical</t>
        </is>
      </c>
      <c r="C29" t="inlineStr">
        <is>
          <t>Query Built by String Concatenation</t>
        </is>
      </c>
      <c r="D29">
        <f>COUNTIFS(data_hits!$A:$A,"archon-search",data_hits!$C:$C,$A29)</f>
        <v/>
      </c>
      <c r="E29">
        <f>COUNTIFS(data_hits!$A:$A,"moonset",data_hits!$C:$C,$A29)</f>
        <v/>
      </c>
      <c r="F29">
        <f>COUNTIFS(data_hits!$A:$A,"financialwell",data_hits!$C:$C,$A29)</f>
        <v/>
      </c>
      <c r="G29">
        <f>COUNTIFS(data_hits!$A:$A,"dddd",data_hits!$C:$C,$A29)</f>
        <v/>
      </c>
      <c r="H29">
        <f>COUNTIFS(data_hits!$A:$A,"udemy-top-down-shooter",data_hits!$C:$C,$A29)</f>
        <v/>
      </c>
      <c r="I29">
        <f>SUM(D29:H29)</f>
        <v/>
      </c>
      <c r="J29">
        <f>K29+L29</f>
        <v/>
      </c>
      <c r="K29">
        <f>COUNTIFS(data_adj!$C:$C,$A29,data_adj!$E:$E,"TP")</f>
        <v/>
      </c>
      <c r="L29">
        <f>COUNTIFS(data_adj!$C:$C,$A29,data_adj!$E:$E,"FP")</f>
        <v/>
      </c>
      <c r="M29">
        <f>IF(J29=0,"",ROUND(100*K29/J29,1))</f>
        <v/>
      </c>
      <c r="N29">
        <f>COUNTIFS(data_llm!$C:$C,$A29)</f>
        <v/>
      </c>
      <c r="O29">
        <f>COUNTIFS(data_llm!$C:$C,$A29,data_llm!$F:$F,TRUE)</f>
        <v/>
      </c>
      <c r="P29">
        <f>N29-O29</f>
        <v/>
      </c>
      <c r="Q29">
        <f>IF(N29=0,"",ROUND(100*O29/N29,1))</f>
        <v/>
      </c>
      <c r="R29">
        <f>IF(J29=0,"",ROUND(I29*K29/J29,0))</f>
        <v/>
      </c>
    </row>
    <row r="30">
      <c r="A30" t="inlineStr">
        <is>
          <t>safety-16</t>
        </is>
      </c>
      <c r="B30" t="inlineStr">
        <is>
          <t>Major</t>
        </is>
      </c>
      <c r="C30" t="inlineStr">
        <is>
          <t>Money Held in a Binary Floating-Point Type</t>
        </is>
      </c>
      <c r="D30">
        <f>COUNTIFS(data_hits!$A:$A,"archon-search",data_hits!$C:$C,$A30)</f>
        <v/>
      </c>
      <c r="E30">
        <f>COUNTIFS(data_hits!$A:$A,"moonset",data_hits!$C:$C,$A30)</f>
        <v/>
      </c>
      <c r="F30">
        <f>COUNTIFS(data_hits!$A:$A,"financialwell",data_hits!$C:$C,$A30)</f>
        <v/>
      </c>
      <c r="G30">
        <f>COUNTIFS(data_hits!$A:$A,"dddd",data_hits!$C:$C,$A30)</f>
        <v/>
      </c>
      <c r="H30">
        <f>COUNTIFS(data_hits!$A:$A,"udemy-top-down-shooter",data_hits!$C:$C,$A30)</f>
        <v/>
      </c>
      <c r="I30">
        <f>SUM(D30:H30)</f>
        <v/>
      </c>
      <c r="J30">
        <f>K30+L30</f>
        <v/>
      </c>
      <c r="K30">
        <f>COUNTIFS(data_adj!$C:$C,$A30,data_adj!$E:$E,"TP")</f>
        <v/>
      </c>
      <c r="L30">
        <f>COUNTIFS(data_adj!$C:$C,$A30,data_adj!$E:$E,"FP")</f>
        <v/>
      </c>
      <c r="M30">
        <f>IF(J30=0,"",ROUND(100*K30/J30,1))</f>
        <v/>
      </c>
      <c r="N30">
        <f>COUNTIFS(data_llm!$C:$C,$A30)</f>
        <v/>
      </c>
      <c r="O30">
        <f>COUNTIFS(data_llm!$C:$C,$A30,data_llm!$F:$F,TRUE)</f>
        <v/>
      </c>
      <c r="P30">
        <f>N30-O30</f>
        <v/>
      </c>
      <c r="Q30">
        <f>IF(N30=0,"",ROUND(100*O30/N30,1))</f>
        <v/>
      </c>
      <c r="R30">
        <f>IF(J30=0,"",ROUND(I30*K30/J30,0))</f>
        <v/>
      </c>
    </row>
    <row r="31">
      <c r="A31" t="inlineStr">
        <is>
          <t>safety-17</t>
        </is>
      </c>
      <c r="B31" t="inlineStr">
        <is>
          <t>Critical</t>
        </is>
      </c>
      <c r="C31" t="inlineStr">
        <is>
          <t>Weak or Broken Cryptographic Primitive</t>
        </is>
      </c>
      <c r="D31">
        <f>COUNTIFS(data_hits!$A:$A,"archon-search",data_hits!$C:$C,$A31)</f>
        <v/>
      </c>
      <c r="E31">
        <f>COUNTIFS(data_hits!$A:$A,"moonset",data_hits!$C:$C,$A31)</f>
        <v/>
      </c>
      <c r="F31">
        <f>COUNTIFS(data_hits!$A:$A,"financialwell",data_hits!$C:$C,$A31)</f>
        <v/>
      </c>
      <c r="G31">
        <f>COUNTIFS(data_hits!$A:$A,"dddd",data_hits!$C:$C,$A31)</f>
        <v/>
      </c>
      <c r="H31">
        <f>COUNTIFS(data_hits!$A:$A,"udemy-top-down-shooter",data_hits!$C:$C,$A31)</f>
        <v/>
      </c>
      <c r="I31">
        <f>SUM(D31:H31)</f>
        <v/>
      </c>
      <c r="J31">
        <f>K31+L31</f>
        <v/>
      </c>
      <c r="K31">
        <f>COUNTIFS(data_adj!$C:$C,$A31,data_adj!$E:$E,"TP")</f>
        <v/>
      </c>
      <c r="L31">
        <f>COUNTIFS(data_adj!$C:$C,$A31,data_adj!$E:$E,"FP")</f>
        <v/>
      </c>
      <c r="M31">
        <f>IF(J31=0,"",ROUND(100*K31/J31,1))</f>
        <v/>
      </c>
      <c r="N31">
        <f>COUNTIFS(data_llm!$C:$C,$A31)</f>
        <v/>
      </c>
      <c r="O31">
        <f>COUNTIFS(data_llm!$C:$C,$A31,data_llm!$F:$F,TRUE)</f>
        <v/>
      </c>
      <c r="P31">
        <f>N31-O31</f>
        <v/>
      </c>
      <c r="Q31">
        <f>IF(N31=0,"",ROUND(100*O31/N31,1))</f>
        <v/>
      </c>
      <c r="R31">
        <f>IF(J31=0,"",ROUND(I31*K31/J31,0))</f>
        <v/>
      </c>
    </row>
    <row r="32">
      <c r="A32" t="inlineStr">
        <is>
          <t>safety-18</t>
        </is>
      </c>
      <c r="B32" t="inlineStr">
        <is>
          <t>Critical</t>
        </is>
      </c>
      <c r="C32" t="inlineStr">
        <is>
          <t>TLS or Certificate Verification Disabled</t>
        </is>
      </c>
      <c r="D32">
        <f>COUNTIFS(data_hits!$A:$A,"archon-search",data_hits!$C:$C,$A32)</f>
        <v/>
      </c>
      <c r="E32">
        <f>COUNTIFS(data_hits!$A:$A,"moonset",data_hits!$C:$C,$A32)</f>
        <v/>
      </c>
      <c r="F32">
        <f>COUNTIFS(data_hits!$A:$A,"financialwell",data_hits!$C:$C,$A32)</f>
        <v/>
      </c>
      <c r="G32">
        <f>COUNTIFS(data_hits!$A:$A,"dddd",data_hits!$C:$C,$A32)</f>
        <v/>
      </c>
      <c r="H32">
        <f>COUNTIFS(data_hits!$A:$A,"udemy-top-down-shooter",data_hits!$C:$C,$A32)</f>
        <v/>
      </c>
      <c r="I32">
        <f>SUM(D32:H32)</f>
        <v/>
      </c>
      <c r="J32">
        <f>K32+L32</f>
        <v/>
      </c>
      <c r="K32">
        <f>COUNTIFS(data_adj!$C:$C,$A32,data_adj!$E:$E,"TP")</f>
        <v/>
      </c>
      <c r="L32">
        <f>COUNTIFS(data_adj!$C:$C,$A32,data_adj!$E:$E,"FP")</f>
        <v/>
      </c>
      <c r="M32">
        <f>IF(J32=0,"",ROUND(100*K32/J32,1))</f>
        <v/>
      </c>
      <c r="N32">
        <f>COUNTIFS(data_llm!$C:$C,$A32)</f>
        <v/>
      </c>
      <c r="O32">
        <f>COUNTIFS(data_llm!$C:$C,$A32,data_llm!$F:$F,TRUE)</f>
        <v/>
      </c>
      <c r="P32">
        <f>N32-O32</f>
        <v/>
      </c>
      <c r="Q32">
        <f>IF(N32=0,"",ROUND(100*O32/N32,1))</f>
        <v/>
      </c>
      <c r="R32">
        <f>IF(J32=0,"",ROUND(I32*K32/J32,0))</f>
        <v/>
      </c>
    </row>
    <row r="33">
      <c r="A33" t="inlineStr">
        <is>
          <t>safety-19</t>
        </is>
      </c>
      <c r="B33" t="inlineStr">
        <is>
          <t>Critical</t>
        </is>
      </c>
      <c r="C33" t="inlineStr">
        <is>
          <t>OS Command or Code Injection Surface</t>
        </is>
      </c>
      <c r="D33">
        <f>COUNTIFS(data_hits!$A:$A,"archon-search",data_hits!$C:$C,$A33)</f>
        <v/>
      </c>
      <c r="E33">
        <f>COUNTIFS(data_hits!$A:$A,"moonset",data_hits!$C:$C,$A33)</f>
        <v/>
      </c>
      <c r="F33">
        <f>COUNTIFS(data_hits!$A:$A,"financialwell",data_hits!$C:$C,$A33)</f>
        <v/>
      </c>
      <c r="G33">
        <f>COUNTIFS(data_hits!$A:$A,"dddd",data_hits!$C:$C,$A33)</f>
        <v/>
      </c>
      <c r="H33">
        <f>COUNTIFS(data_hits!$A:$A,"udemy-top-down-shooter",data_hits!$C:$C,$A33)</f>
        <v/>
      </c>
      <c r="I33">
        <f>SUM(D33:H33)</f>
        <v/>
      </c>
      <c r="J33">
        <f>K33+L33</f>
        <v/>
      </c>
      <c r="K33">
        <f>COUNTIFS(data_adj!$C:$C,$A33,data_adj!$E:$E,"TP")</f>
        <v/>
      </c>
      <c r="L33">
        <f>COUNTIFS(data_adj!$C:$C,$A33,data_adj!$E:$E,"FP")</f>
        <v/>
      </c>
      <c r="M33">
        <f>IF(J33=0,"",ROUND(100*K33/J33,1))</f>
        <v/>
      </c>
      <c r="N33">
        <f>COUNTIFS(data_llm!$C:$C,$A33)</f>
        <v/>
      </c>
      <c r="O33">
        <f>COUNTIFS(data_llm!$C:$C,$A33,data_llm!$F:$F,TRUE)</f>
        <v/>
      </c>
      <c r="P33">
        <f>N33-O33</f>
        <v/>
      </c>
      <c r="Q33">
        <f>IF(N33=0,"",ROUND(100*O33/N33,1))</f>
        <v/>
      </c>
      <c r="R33">
        <f>IF(J33=0,"",ROUND(I33*K33/J33,0))</f>
        <v/>
      </c>
    </row>
    <row r="34">
      <c r="A34" t="inlineStr">
        <is>
          <t>safety-20</t>
        </is>
      </c>
      <c r="B34" t="inlineStr">
        <is>
          <t>Critical</t>
        </is>
      </c>
      <c r="C34" t="inlineStr">
        <is>
          <t>Unsafe Deserialization of Untrusted Data</t>
        </is>
      </c>
      <c r="D34">
        <f>COUNTIFS(data_hits!$A:$A,"archon-search",data_hits!$C:$C,$A34)</f>
        <v/>
      </c>
      <c r="E34">
        <f>COUNTIFS(data_hits!$A:$A,"moonset",data_hits!$C:$C,$A34)</f>
        <v/>
      </c>
      <c r="F34">
        <f>COUNTIFS(data_hits!$A:$A,"financialwell",data_hits!$C:$C,$A34)</f>
        <v/>
      </c>
      <c r="G34">
        <f>COUNTIFS(data_hits!$A:$A,"dddd",data_hits!$C:$C,$A34)</f>
        <v/>
      </c>
      <c r="H34">
        <f>COUNTIFS(data_hits!$A:$A,"udemy-top-down-shooter",data_hits!$C:$C,$A34)</f>
        <v/>
      </c>
      <c r="I34">
        <f>SUM(D34:H34)</f>
        <v/>
      </c>
      <c r="J34">
        <f>K34+L34</f>
        <v/>
      </c>
      <c r="K34">
        <f>COUNTIFS(data_adj!$C:$C,$A34,data_adj!$E:$E,"TP")</f>
        <v/>
      </c>
      <c r="L34">
        <f>COUNTIFS(data_adj!$C:$C,$A34,data_adj!$E:$E,"FP")</f>
        <v/>
      </c>
      <c r="M34">
        <f>IF(J34=0,"",ROUND(100*K34/J34,1))</f>
        <v/>
      </c>
      <c r="N34">
        <f>COUNTIFS(data_llm!$C:$C,$A34)</f>
        <v/>
      </c>
      <c r="O34">
        <f>COUNTIFS(data_llm!$C:$C,$A34,data_llm!$F:$F,TRUE)</f>
        <v/>
      </c>
      <c r="P34">
        <f>N34-O34</f>
        <v/>
      </c>
      <c r="Q34">
        <f>IF(N34=0,"",ROUND(100*O34/N34,1))</f>
        <v/>
      </c>
      <c r="R34">
        <f>IF(J34=0,"",ROUND(I34*K34/J34,0))</f>
        <v/>
      </c>
    </row>
    <row r="35">
      <c r="A35" t="inlineStr">
        <is>
          <t>safety-21</t>
        </is>
      </c>
      <c r="B35" t="inlineStr">
        <is>
          <t>Major</t>
        </is>
      </c>
      <c r="C35" t="inlineStr">
        <is>
          <t>String or Object Compared by Reference in Java</t>
        </is>
      </c>
      <c r="D35">
        <f>COUNTIFS(data_hits!$A:$A,"archon-search",data_hits!$C:$C,$A35)</f>
        <v/>
      </c>
      <c r="E35">
        <f>COUNTIFS(data_hits!$A:$A,"moonset",data_hits!$C:$C,$A35)</f>
        <v/>
      </c>
      <c r="F35">
        <f>COUNTIFS(data_hits!$A:$A,"financialwell",data_hits!$C:$C,$A35)</f>
        <v/>
      </c>
      <c r="G35">
        <f>COUNTIFS(data_hits!$A:$A,"dddd",data_hits!$C:$C,$A35)</f>
        <v/>
      </c>
      <c r="H35">
        <f>COUNTIFS(data_hits!$A:$A,"udemy-top-down-shooter",data_hits!$C:$C,$A35)</f>
        <v/>
      </c>
      <c r="I35">
        <f>SUM(D35:H35)</f>
        <v/>
      </c>
      <c r="J35">
        <f>K35+L35</f>
        <v/>
      </c>
      <c r="K35">
        <f>COUNTIFS(data_adj!$C:$C,$A35,data_adj!$E:$E,"TP")</f>
        <v/>
      </c>
      <c r="L35">
        <f>COUNTIFS(data_adj!$C:$C,$A35,data_adj!$E:$E,"FP")</f>
        <v/>
      </c>
      <c r="M35">
        <f>IF(J35=0,"",ROUND(100*K35/J35,1))</f>
        <v/>
      </c>
      <c r="N35">
        <f>COUNTIFS(data_llm!$C:$C,$A35)</f>
        <v/>
      </c>
      <c r="O35">
        <f>COUNTIFS(data_llm!$C:$C,$A35,data_llm!$F:$F,TRUE)</f>
        <v/>
      </c>
      <c r="P35">
        <f>N35-O35</f>
        <v/>
      </c>
      <c r="Q35">
        <f>IF(N35=0,"",ROUND(100*O35/N35,1))</f>
        <v/>
      </c>
      <c r="R35">
        <f>IF(J35=0,"",ROUND(I35*K35/J35,0))</f>
        <v/>
      </c>
    </row>
    <row r="36">
      <c r="A36" t="inlineStr">
        <is>
          <t>smells-01</t>
        </is>
      </c>
      <c r="B36" t="inlineStr">
        <is>
          <t>Moderate</t>
        </is>
      </c>
      <c r="C36" t="inlineStr">
        <is>
          <t>File Length</t>
        </is>
      </c>
      <c r="D36">
        <f>COUNTIFS(data_hits!$A:$A,"archon-search",data_hits!$C:$C,$A36)</f>
        <v/>
      </c>
      <c r="E36">
        <f>COUNTIFS(data_hits!$A:$A,"moonset",data_hits!$C:$C,$A36)</f>
        <v/>
      </c>
      <c r="F36">
        <f>COUNTIFS(data_hits!$A:$A,"financialwell",data_hits!$C:$C,$A36)</f>
        <v/>
      </c>
      <c r="G36">
        <f>COUNTIFS(data_hits!$A:$A,"dddd",data_hits!$C:$C,$A36)</f>
        <v/>
      </c>
      <c r="H36">
        <f>COUNTIFS(data_hits!$A:$A,"udemy-top-down-shooter",data_hits!$C:$C,$A36)</f>
        <v/>
      </c>
      <c r="I36">
        <f>SUM(D36:H36)</f>
        <v/>
      </c>
      <c r="J36">
        <f>K36+L36</f>
        <v/>
      </c>
      <c r="K36">
        <f>COUNTIFS(data_adj!$C:$C,$A36,data_adj!$E:$E,"TP")</f>
        <v/>
      </c>
      <c r="L36">
        <f>COUNTIFS(data_adj!$C:$C,$A36,data_adj!$E:$E,"FP")</f>
        <v/>
      </c>
      <c r="M36">
        <f>IF(J36=0,"",ROUND(100*K36/J36,1))</f>
        <v/>
      </c>
      <c r="N36">
        <f>COUNTIFS(data_llm!$C:$C,$A36)</f>
        <v/>
      </c>
      <c r="O36">
        <f>COUNTIFS(data_llm!$C:$C,$A36,data_llm!$F:$F,TRUE)</f>
        <v/>
      </c>
      <c r="P36">
        <f>N36-O36</f>
        <v/>
      </c>
      <c r="Q36">
        <f>IF(N36=0,"",ROUND(100*O36/N36,1))</f>
        <v/>
      </c>
      <c r="R36">
        <f>IF(J36=0,"",ROUND(I36*K36/J36,0))</f>
        <v/>
      </c>
    </row>
    <row r="37">
      <c r="A37" t="inlineStr">
        <is>
          <t>smells-02</t>
        </is>
      </c>
      <c r="B37" t="inlineStr">
        <is>
          <t>Moderate</t>
        </is>
      </c>
      <c r="C37" t="inlineStr">
        <is>
          <t>Function Parameter Count</t>
        </is>
      </c>
      <c r="D37">
        <f>COUNTIFS(data_hits!$A:$A,"archon-search",data_hits!$C:$C,$A37)</f>
        <v/>
      </c>
      <c r="E37">
        <f>COUNTIFS(data_hits!$A:$A,"moonset",data_hits!$C:$C,$A37)</f>
        <v/>
      </c>
      <c r="F37">
        <f>COUNTIFS(data_hits!$A:$A,"financialwell",data_hits!$C:$C,$A37)</f>
        <v/>
      </c>
      <c r="G37">
        <f>COUNTIFS(data_hits!$A:$A,"dddd",data_hits!$C:$C,$A37)</f>
        <v/>
      </c>
      <c r="H37">
        <f>COUNTIFS(data_hits!$A:$A,"udemy-top-down-shooter",data_hits!$C:$C,$A37)</f>
        <v/>
      </c>
      <c r="I37">
        <f>SUM(D37:H37)</f>
        <v/>
      </c>
      <c r="J37">
        <f>K37+L37</f>
        <v/>
      </c>
      <c r="K37">
        <f>COUNTIFS(data_adj!$C:$C,$A37,data_adj!$E:$E,"TP")</f>
        <v/>
      </c>
      <c r="L37">
        <f>COUNTIFS(data_adj!$C:$C,$A37,data_adj!$E:$E,"FP")</f>
        <v/>
      </c>
      <c r="M37">
        <f>IF(J37=0,"",ROUND(100*K37/J37,1))</f>
        <v/>
      </c>
      <c r="N37">
        <f>COUNTIFS(data_llm!$C:$C,$A37)</f>
        <v/>
      </c>
      <c r="O37">
        <f>COUNTIFS(data_llm!$C:$C,$A37,data_llm!$F:$F,TRUE)</f>
        <v/>
      </c>
      <c r="P37">
        <f>N37-O37</f>
        <v/>
      </c>
      <c r="Q37">
        <f>IF(N37=0,"",ROUND(100*O37/N37,1))</f>
        <v/>
      </c>
      <c r="R37">
        <f>IF(J37=0,"",ROUND(I37*K37/J37,0))</f>
        <v/>
      </c>
    </row>
    <row r="38">
      <c r="A38" t="inlineStr">
        <is>
          <t>smells-03</t>
        </is>
      </c>
      <c r="B38" t="inlineStr">
        <is>
          <t>Moderate</t>
        </is>
      </c>
      <c r="C38" t="inlineStr">
        <is>
          <t>Boolean Parameters</t>
        </is>
      </c>
      <c r="D38">
        <f>COUNTIFS(data_hits!$A:$A,"archon-search",data_hits!$C:$C,$A38)</f>
        <v/>
      </c>
      <c r="E38">
        <f>COUNTIFS(data_hits!$A:$A,"moonset",data_hits!$C:$C,$A38)</f>
        <v/>
      </c>
      <c r="F38">
        <f>COUNTIFS(data_hits!$A:$A,"financialwell",data_hits!$C:$C,$A38)</f>
        <v/>
      </c>
      <c r="G38">
        <f>COUNTIFS(data_hits!$A:$A,"dddd",data_hits!$C:$C,$A38)</f>
        <v/>
      </c>
      <c r="H38">
        <f>COUNTIFS(data_hits!$A:$A,"udemy-top-down-shooter",data_hits!$C:$C,$A38)</f>
        <v/>
      </c>
      <c r="I38">
        <f>SUM(D38:H38)</f>
        <v/>
      </c>
      <c r="J38">
        <f>K38+L38</f>
        <v/>
      </c>
      <c r="K38">
        <f>COUNTIFS(data_adj!$C:$C,$A38,data_adj!$E:$E,"TP")</f>
        <v/>
      </c>
      <c r="L38">
        <f>COUNTIFS(data_adj!$C:$C,$A38,data_adj!$E:$E,"FP")</f>
        <v/>
      </c>
      <c r="M38">
        <f>IF(J38=0,"",ROUND(100*K38/J38,1))</f>
        <v/>
      </c>
      <c r="N38">
        <f>COUNTIFS(data_llm!$C:$C,$A38)</f>
        <v/>
      </c>
      <c r="O38">
        <f>COUNTIFS(data_llm!$C:$C,$A38,data_llm!$F:$F,TRUE)</f>
        <v/>
      </c>
      <c r="P38">
        <f>N38-O38</f>
        <v/>
      </c>
      <c r="Q38">
        <f>IF(N38=0,"",ROUND(100*O38/N38,1))</f>
        <v/>
      </c>
      <c r="R38">
        <f>IF(J38=0,"",ROUND(I38*K38/J38,0))</f>
        <v/>
      </c>
    </row>
    <row r="39">
      <c r="A39" t="inlineStr">
        <is>
          <t>smells-06</t>
        </is>
      </c>
      <c r="B39" t="inlineStr">
        <is>
          <t>Minor</t>
        </is>
      </c>
      <c r="C39" t="inlineStr">
        <is>
          <t>Commented-Out Code</t>
        </is>
      </c>
      <c r="D39">
        <f>COUNTIFS(data_hits!$A:$A,"archon-search",data_hits!$C:$C,$A39)</f>
        <v/>
      </c>
      <c r="E39">
        <f>COUNTIFS(data_hits!$A:$A,"moonset",data_hits!$C:$C,$A39)</f>
        <v/>
      </c>
      <c r="F39">
        <f>COUNTIFS(data_hits!$A:$A,"financialwell",data_hits!$C:$C,$A39)</f>
        <v/>
      </c>
      <c r="G39">
        <f>COUNTIFS(data_hits!$A:$A,"dddd",data_hits!$C:$C,$A39)</f>
        <v/>
      </c>
      <c r="H39">
        <f>COUNTIFS(data_hits!$A:$A,"udemy-top-down-shooter",data_hits!$C:$C,$A39)</f>
        <v/>
      </c>
      <c r="I39">
        <f>SUM(D39:H39)</f>
        <v/>
      </c>
      <c r="J39">
        <f>K39+L39</f>
        <v/>
      </c>
      <c r="K39">
        <f>COUNTIFS(data_adj!$C:$C,$A39,data_adj!$E:$E,"TP")</f>
        <v/>
      </c>
      <c r="L39">
        <f>COUNTIFS(data_adj!$C:$C,$A39,data_adj!$E:$E,"FP")</f>
        <v/>
      </c>
      <c r="M39">
        <f>IF(J39=0,"",ROUND(100*K39/J39,1))</f>
        <v/>
      </c>
      <c r="N39">
        <f>COUNTIFS(data_llm!$C:$C,$A39)</f>
        <v/>
      </c>
      <c r="O39">
        <f>COUNTIFS(data_llm!$C:$C,$A39,data_llm!$F:$F,TRUE)</f>
        <v/>
      </c>
      <c r="P39">
        <f>N39-O39</f>
        <v/>
      </c>
      <c r="Q39">
        <f>IF(N39=0,"",ROUND(100*O39/N39,1))</f>
        <v/>
      </c>
      <c r="R39">
        <f>IF(J39=0,"",ROUND(I39*K39/J39,0))</f>
        <v/>
      </c>
    </row>
    <row r="40">
      <c r="A40" t="inlineStr">
        <is>
          <t>smells-07</t>
        </is>
      </c>
      <c r="B40" t="inlineStr">
        <is>
          <t>Minor</t>
        </is>
      </c>
      <c r="C40" t="inlineStr">
        <is>
          <t>TODO/FIXME/HACK Comments</t>
        </is>
      </c>
      <c r="D40">
        <f>COUNTIFS(data_hits!$A:$A,"archon-search",data_hits!$C:$C,$A40)</f>
        <v/>
      </c>
      <c r="E40">
        <f>COUNTIFS(data_hits!$A:$A,"moonset",data_hits!$C:$C,$A40)</f>
        <v/>
      </c>
      <c r="F40">
        <f>COUNTIFS(data_hits!$A:$A,"financialwell",data_hits!$C:$C,$A40)</f>
        <v/>
      </c>
      <c r="G40">
        <f>COUNTIFS(data_hits!$A:$A,"dddd",data_hits!$C:$C,$A40)</f>
        <v/>
      </c>
      <c r="H40">
        <f>COUNTIFS(data_hits!$A:$A,"udemy-top-down-shooter",data_hits!$C:$C,$A40)</f>
        <v/>
      </c>
      <c r="I40">
        <f>SUM(D40:H40)</f>
        <v/>
      </c>
      <c r="J40">
        <f>K40+L40</f>
        <v/>
      </c>
      <c r="K40">
        <f>COUNTIFS(data_adj!$C:$C,$A40,data_adj!$E:$E,"TP")</f>
        <v/>
      </c>
      <c r="L40">
        <f>COUNTIFS(data_adj!$C:$C,$A40,data_adj!$E:$E,"FP")</f>
        <v/>
      </c>
      <c r="M40">
        <f>IF(J40=0,"",ROUND(100*K40/J40,1))</f>
        <v/>
      </c>
      <c r="N40">
        <f>COUNTIFS(data_llm!$C:$C,$A40)</f>
        <v/>
      </c>
      <c r="O40">
        <f>COUNTIFS(data_llm!$C:$C,$A40,data_llm!$F:$F,TRUE)</f>
        <v/>
      </c>
      <c r="P40">
        <f>N40-O40</f>
        <v/>
      </c>
      <c r="Q40">
        <f>IF(N40=0,"",ROUND(100*O40/N40,1))</f>
        <v/>
      </c>
      <c r="R40">
        <f>IF(J40=0,"",ROUND(I40*K40/J40,0))</f>
        <v/>
      </c>
    </row>
    <row r="41">
      <c r="A41" t="inlineStr">
        <is>
          <t>smells-08</t>
        </is>
      </c>
      <c r="B41" t="inlineStr">
        <is>
          <t>Major</t>
        </is>
      </c>
      <c r="C41" t="inlineStr">
        <is>
          <t>Null Returns / Null Parameters</t>
        </is>
      </c>
      <c r="D41">
        <f>COUNTIFS(data_hits!$A:$A,"archon-search",data_hits!$C:$C,$A41)</f>
        <v/>
      </c>
      <c r="E41">
        <f>COUNTIFS(data_hits!$A:$A,"moonset",data_hits!$C:$C,$A41)</f>
        <v/>
      </c>
      <c r="F41">
        <f>COUNTIFS(data_hits!$A:$A,"financialwell",data_hits!$C:$C,$A41)</f>
        <v/>
      </c>
      <c r="G41">
        <f>COUNTIFS(data_hits!$A:$A,"dddd",data_hits!$C:$C,$A41)</f>
        <v/>
      </c>
      <c r="H41">
        <f>COUNTIFS(data_hits!$A:$A,"udemy-top-down-shooter",data_hits!$C:$C,$A41)</f>
        <v/>
      </c>
      <c r="I41">
        <f>SUM(D41:H41)</f>
        <v/>
      </c>
      <c r="J41">
        <f>K41+L41</f>
        <v/>
      </c>
      <c r="K41">
        <f>COUNTIFS(data_adj!$C:$C,$A41,data_adj!$E:$E,"TP")</f>
        <v/>
      </c>
      <c r="L41">
        <f>COUNTIFS(data_adj!$C:$C,$A41,data_adj!$E:$E,"FP")</f>
        <v/>
      </c>
      <c r="M41">
        <f>IF(J41=0,"",ROUND(100*K41/J41,1))</f>
        <v/>
      </c>
      <c r="N41">
        <f>COUNTIFS(data_llm!$C:$C,$A41)</f>
        <v/>
      </c>
      <c r="O41">
        <f>COUNTIFS(data_llm!$C:$C,$A41,data_llm!$F:$F,TRUE)</f>
        <v/>
      </c>
      <c r="P41">
        <f>N41-O41</f>
        <v/>
      </c>
      <c r="Q41">
        <f>IF(N41=0,"",ROUND(100*O41/N41,1))</f>
        <v/>
      </c>
      <c r="R41">
        <f>IF(J41=0,"",ROUND(I41*K41/J41,0))</f>
        <v/>
      </c>
    </row>
    <row r="42">
      <c r="A42" t="inlineStr">
        <is>
          <t>smells-10</t>
        </is>
      </c>
      <c r="B42" t="inlineStr">
        <is>
          <t>Moderate</t>
        </is>
      </c>
      <c r="C42" t="inlineStr">
        <is>
          <t>Train Wreck Chains</t>
        </is>
      </c>
      <c r="D42">
        <f>COUNTIFS(data_hits!$A:$A,"archon-search",data_hits!$C:$C,$A42)</f>
        <v/>
      </c>
      <c r="E42">
        <f>COUNTIFS(data_hits!$A:$A,"moonset",data_hits!$C:$C,$A42)</f>
        <v/>
      </c>
      <c r="F42">
        <f>COUNTIFS(data_hits!$A:$A,"financialwell",data_hits!$C:$C,$A42)</f>
        <v/>
      </c>
      <c r="G42">
        <f>COUNTIFS(data_hits!$A:$A,"dddd",data_hits!$C:$C,$A42)</f>
        <v/>
      </c>
      <c r="H42">
        <f>COUNTIFS(data_hits!$A:$A,"udemy-top-down-shooter",data_hits!$C:$C,$A42)</f>
        <v/>
      </c>
      <c r="I42">
        <f>SUM(D42:H42)</f>
        <v/>
      </c>
      <c r="J42">
        <f>K42+L42</f>
        <v/>
      </c>
      <c r="K42">
        <f>COUNTIFS(data_adj!$C:$C,$A42,data_adj!$E:$E,"TP")</f>
        <v/>
      </c>
      <c r="L42">
        <f>COUNTIFS(data_adj!$C:$C,$A42,data_adj!$E:$E,"FP")</f>
        <v/>
      </c>
      <c r="M42">
        <f>IF(J42=0,"",ROUND(100*K42/J42,1))</f>
        <v/>
      </c>
      <c r="N42">
        <f>COUNTIFS(data_llm!$C:$C,$A42)</f>
        <v/>
      </c>
      <c r="O42">
        <f>COUNTIFS(data_llm!$C:$C,$A42,data_llm!$F:$F,TRUE)</f>
        <v/>
      </c>
      <c r="P42">
        <f>N42-O42</f>
        <v/>
      </c>
      <c r="Q42">
        <f>IF(N42=0,"",ROUND(100*O42/N42,1))</f>
        <v/>
      </c>
      <c r="R42">
        <f>IF(J42=0,"",ROUND(I42*K42/J42,0))</f>
        <v/>
      </c>
    </row>
    <row r="43">
      <c r="A43" t="inlineStr">
        <is>
          <t>smells-12</t>
        </is>
      </c>
      <c r="B43" t="inlineStr">
        <is>
          <t>Major</t>
        </is>
      </c>
      <c r="C43" t="inlineStr">
        <is>
          <t>Swallowed Exceptions</t>
        </is>
      </c>
      <c r="D43">
        <f>COUNTIFS(data_hits!$A:$A,"archon-search",data_hits!$C:$C,$A43)</f>
        <v/>
      </c>
      <c r="E43">
        <f>COUNTIFS(data_hits!$A:$A,"moonset",data_hits!$C:$C,$A43)</f>
        <v/>
      </c>
      <c r="F43">
        <f>COUNTIFS(data_hits!$A:$A,"financialwell",data_hits!$C:$C,$A43)</f>
        <v/>
      </c>
      <c r="G43">
        <f>COUNTIFS(data_hits!$A:$A,"dddd",data_hits!$C:$C,$A43)</f>
        <v/>
      </c>
      <c r="H43">
        <f>COUNTIFS(data_hits!$A:$A,"udemy-top-down-shooter",data_hits!$C:$C,$A43)</f>
        <v/>
      </c>
      <c r="I43">
        <f>SUM(D43:H43)</f>
        <v/>
      </c>
      <c r="J43">
        <f>K43+L43</f>
        <v/>
      </c>
      <c r="K43">
        <f>COUNTIFS(data_adj!$C:$C,$A43,data_adj!$E:$E,"TP")</f>
        <v/>
      </c>
      <c r="L43">
        <f>COUNTIFS(data_adj!$C:$C,$A43,data_adj!$E:$E,"FP")</f>
        <v/>
      </c>
      <c r="M43">
        <f>IF(J43=0,"",ROUND(100*K43/J43,1))</f>
        <v/>
      </c>
      <c r="N43">
        <f>COUNTIFS(data_llm!$C:$C,$A43)</f>
        <v/>
      </c>
      <c r="O43">
        <f>COUNTIFS(data_llm!$C:$C,$A43,data_llm!$F:$F,TRUE)</f>
        <v/>
      </c>
      <c r="P43">
        <f>N43-O43</f>
        <v/>
      </c>
      <c r="Q43">
        <f>IF(N43=0,"",ROUND(100*O43/N43,1))</f>
        <v/>
      </c>
      <c r="R43">
        <f>IF(J43=0,"",ROUND(I43*K43/J43,0))</f>
        <v/>
      </c>
    </row>
    <row r="44">
      <c r="A44" t="inlineStr">
        <is>
          <t>smells-20</t>
        </is>
      </c>
      <c r="B44" t="inlineStr">
        <is>
          <t>Major</t>
        </is>
      </c>
      <c r="C44" t="inlineStr">
        <is>
          <t>Equality Overridden Without a Matching Hash</t>
        </is>
      </c>
      <c r="D44">
        <f>COUNTIFS(data_hits!$A:$A,"archon-search",data_hits!$C:$C,$A44)</f>
        <v/>
      </c>
      <c r="E44">
        <f>COUNTIFS(data_hits!$A:$A,"moonset",data_hits!$C:$C,$A44)</f>
        <v/>
      </c>
      <c r="F44">
        <f>COUNTIFS(data_hits!$A:$A,"financialwell",data_hits!$C:$C,$A44)</f>
        <v/>
      </c>
      <c r="G44">
        <f>COUNTIFS(data_hits!$A:$A,"dddd",data_hits!$C:$C,$A44)</f>
        <v/>
      </c>
      <c r="H44">
        <f>COUNTIFS(data_hits!$A:$A,"udemy-top-down-shooter",data_hits!$C:$C,$A44)</f>
        <v/>
      </c>
      <c r="I44">
        <f>SUM(D44:H44)</f>
        <v/>
      </c>
      <c r="J44">
        <f>K44+L44</f>
        <v/>
      </c>
      <c r="K44">
        <f>COUNTIFS(data_adj!$C:$C,$A44,data_adj!$E:$E,"TP")</f>
        <v/>
      </c>
      <c r="L44">
        <f>COUNTIFS(data_adj!$C:$C,$A44,data_adj!$E:$E,"FP")</f>
        <v/>
      </c>
      <c r="M44">
        <f>IF(J44=0,"",ROUND(100*K44/J44,1))</f>
        <v/>
      </c>
      <c r="N44">
        <f>COUNTIFS(data_llm!$C:$C,$A44)</f>
        <v/>
      </c>
      <c r="O44">
        <f>COUNTIFS(data_llm!$C:$C,$A44,data_llm!$F:$F,TRUE)</f>
        <v/>
      </c>
      <c r="P44">
        <f>N44-O44</f>
        <v/>
      </c>
      <c r="Q44">
        <f>IF(N44=0,"",ROUND(100*O44/N44,1))</f>
        <v/>
      </c>
      <c r="R44">
        <f>IF(J44=0,"",ROUND(I44*K44/J44,0))</f>
        <v/>
      </c>
    </row>
    <row r="45">
      <c r="A45" t="inlineStr">
        <is>
          <t>smells-21</t>
        </is>
      </c>
      <c r="B45" t="inlineStr">
        <is>
          <t>Moderate</t>
        </is>
      </c>
      <c r="C45" t="inlineStr">
        <is>
          <t>Type-System Escape Hatch</t>
        </is>
      </c>
      <c r="D45">
        <f>COUNTIFS(data_hits!$A:$A,"archon-search",data_hits!$C:$C,$A45)</f>
        <v/>
      </c>
      <c r="E45">
        <f>COUNTIFS(data_hits!$A:$A,"moonset",data_hits!$C:$C,$A45)</f>
        <v/>
      </c>
      <c r="F45">
        <f>COUNTIFS(data_hits!$A:$A,"financialwell",data_hits!$C:$C,$A45)</f>
        <v/>
      </c>
      <c r="G45">
        <f>COUNTIFS(data_hits!$A:$A,"dddd",data_hits!$C:$C,$A45)</f>
        <v/>
      </c>
      <c r="H45">
        <f>COUNTIFS(data_hits!$A:$A,"udemy-top-down-shooter",data_hits!$C:$C,$A45)</f>
        <v/>
      </c>
      <c r="I45">
        <f>SUM(D45:H45)</f>
        <v/>
      </c>
      <c r="J45">
        <f>K45+L45</f>
        <v/>
      </c>
      <c r="K45">
        <f>COUNTIFS(data_adj!$C:$C,$A45,data_adj!$E:$E,"TP")</f>
        <v/>
      </c>
      <c r="L45">
        <f>COUNTIFS(data_adj!$C:$C,$A45,data_adj!$E:$E,"FP")</f>
        <v/>
      </c>
      <c r="M45">
        <f>IF(J45=0,"",ROUND(100*K45/J45,1))</f>
        <v/>
      </c>
      <c r="N45">
        <f>COUNTIFS(data_llm!$C:$C,$A45)</f>
        <v/>
      </c>
      <c r="O45">
        <f>COUNTIFS(data_llm!$C:$C,$A45,data_llm!$F:$F,TRUE)</f>
        <v/>
      </c>
      <c r="P45">
        <f>N45-O45</f>
        <v/>
      </c>
      <c r="Q45">
        <f>IF(N45=0,"",ROUND(100*O45/N45,1))</f>
        <v/>
      </c>
      <c r="R45">
        <f>IF(J45=0,"",ROUND(I45*K45/J45,0))</f>
        <v/>
      </c>
    </row>
    <row r="46">
      <c r="A46" t="inlineStr">
        <is>
          <t>smells-22</t>
        </is>
      </c>
      <c r="B46" t="inlineStr">
        <is>
          <t>Minor</t>
        </is>
      </c>
      <c r="C46" t="inlineStr">
        <is>
          <t>Wildcard Import</t>
        </is>
      </c>
      <c r="D46">
        <f>COUNTIFS(data_hits!$A:$A,"archon-search",data_hits!$C:$C,$A46)</f>
        <v/>
      </c>
      <c r="E46">
        <f>COUNTIFS(data_hits!$A:$A,"moonset",data_hits!$C:$C,$A46)</f>
        <v/>
      </c>
      <c r="F46">
        <f>COUNTIFS(data_hits!$A:$A,"financialwell",data_hits!$C:$C,$A46)</f>
        <v/>
      </c>
      <c r="G46">
        <f>COUNTIFS(data_hits!$A:$A,"dddd",data_hits!$C:$C,$A46)</f>
        <v/>
      </c>
      <c r="H46">
        <f>COUNTIFS(data_hits!$A:$A,"udemy-top-down-shooter",data_hits!$C:$C,$A46)</f>
        <v/>
      </c>
      <c r="I46">
        <f>SUM(D46:H46)</f>
        <v/>
      </c>
      <c r="J46">
        <f>K46+L46</f>
        <v/>
      </c>
      <c r="K46">
        <f>COUNTIFS(data_adj!$C:$C,$A46,data_adj!$E:$E,"TP")</f>
        <v/>
      </c>
      <c r="L46">
        <f>COUNTIFS(data_adj!$C:$C,$A46,data_adj!$E:$E,"FP")</f>
        <v/>
      </c>
      <c r="M46">
        <f>IF(J46=0,"",ROUND(100*K46/J46,1))</f>
        <v/>
      </c>
      <c r="N46">
        <f>COUNTIFS(data_llm!$C:$C,$A46)</f>
        <v/>
      </c>
      <c r="O46">
        <f>COUNTIFS(data_llm!$C:$C,$A46,data_llm!$F:$F,TRUE)</f>
        <v/>
      </c>
      <c r="P46">
        <f>N46-O46</f>
        <v/>
      </c>
      <c r="Q46">
        <f>IF(N46=0,"",ROUND(100*O46/N46,1))</f>
        <v/>
      </c>
      <c r="R46">
        <f>IF(J46=0,"",ROUND(I46*K46/J46,0))</f>
        <v/>
      </c>
    </row>
    <row r="47">
      <c r="A47" t="inlineStr">
        <is>
          <t>smells-23</t>
        </is>
      </c>
      <c r="B47" t="inlineStr">
        <is>
          <t>Minor</t>
        </is>
      </c>
      <c r="C47" t="inlineStr">
        <is>
          <t>Debugger Statement or Stack-Trace Dump Left in Code</t>
        </is>
      </c>
      <c r="D47">
        <f>COUNTIFS(data_hits!$A:$A,"archon-search",data_hits!$C:$C,$A47)</f>
        <v/>
      </c>
      <c r="E47">
        <f>COUNTIFS(data_hits!$A:$A,"moonset",data_hits!$C:$C,$A47)</f>
        <v/>
      </c>
      <c r="F47">
        <f>COUNTIFS(data_hits!$A:$A,"financialwell",data_hits!$C:$C,$A47)</f>
        <v/>
      </c>
      <c r="G47">
        <f>COUNTIFS(data_hits!$A:$A,"dddd",data_hits!$C:$C,$A47)</f>
        <v/>
      </c>
      <c r="H47">
        <f>COUNTIFS(data_hits!$A:$A,"udemy-top-down-shooter",data_hits!$C:$C,$A47)</f>
        <v/>
      </c>
      <c r="I47">
        <f>SUM(D47:H47)</f>
        <v/>
      </c>
      <c r="J47">
        <f>K47+L47</f>
        <v/>
      </c>
      <c r="K47">
        <f>COUNTIFS(data_adj!$C:$C,$A47,data_adj!$E:$E,"TP")</f>
        <v/>
      </c>
      <c r="L47">
        <f>COUNTIFS(data_adj!$C:$C,$A47,data_adj!$E:$E,"FP")</f>
        <v/>
      </c>
      <c r="M47">
        <f>IF(J47=0,"",ROUND(100*K47/J47,1))</f>
        <v/>
      </c>
      <c r="N47">
        <f>COUNTIFS(data_llm!$C:$C,$A47)</f>
        <v/>
      </c>
      <c r="O47">
        <f>COUNTIFS(data_llm!$C:$C,$A47,data_llm!$F:$F,TRUE)</f>
        <v/>
      </c>
      <c r="P47">
        <f>N47-O47</f>
        <v/>
      </c>
      <c r="Q47">
        <f>IF(N47=0,"",ROUND(100*O47/N47,1))</f>
        <v/>
      </c>
      <c r="R47">
        <f>IF(J47=0,"",ROUND(I47*K47/J47,0))</f>
        <v/>
      </c>
    </row>
    <row r="48">
      <c r="A48" t="inlineStr">
        <is>
          <t>solid-06</t>
        </is>
      </c>
      <c r="B48" t="inlineStr">
        <is>
          <t>Major</t>
        </is>
      </c>
      <c r="C48" t="inlineStr">
        <is>
          <t>Public Mutable Fields</t>
        </is>
      </c>
      <c r="D48">
        <f>COUNTIFS(data_hits!$A:$A,"archon-search",data_hits!$C:$C,$A48)</f>
        <v/>
      </c>
      <c r="E48">
        <f>COUNTIFS(data_hits!$A:$A,"moonset",data_hits!$C:$C,$A48)</f>
        <v/>
      </c>
      <c r="F48">
        <f>COUNTIFS(data_hits!$A:$A,"financialwell",data_hits!$C:$C,$A48)</f>
        <v/>
      </c>
      <c r="G48">
        <f>COUNTIFS(data_hits!$A:$A,"dddd",data_hits!$C:$C,$A48)</f>
        <v/>
      </c>
      <c r="H48">
        <f>COUNTIFS(data_hits!$A:$A,"udemy-top-down-shooter",data_hits!$C:$C,$A48)</f>
        <v/>
      </c>
      <c r="I48">
        <f>SUM(D48:H48)</f>
        <v/>
      </c>
      <c r="J48">
        <f>K48+L48</f>
        <v/>
      </c>
      <c r="K48">
        <f>COUNTIFS(data_adj!$C:$C,$A48,data_adj!$E:$E,"TP")</f>
        <v/>
      </c>
      <c r="L48">
        <f>COUNTIFS(data_adj!$C:$C,$A48,data_adj!$E:$E,"FP")</f>
        <v/>
      </c>
      <c r="M48">
        <f>IF(J48=0,"",ROUND(100*K48/J48,1))</f>
        <v/>
      </c>
      <c r="N48">
        <f>COUNTIFS(data_llm!$C:$C,$A48)</f>
        <v/>
      </c>
      <c r="O48">
        <f>COUNTIFS(data_llm!$C:$C,$A48,data_llm!$F:$F,TRUE)</f>
        <v/>
      </c>
      <c r="P48">
        <f>N48-O48</f>
        <v/>
      </c>
      <c r="Q48">
        <f>IF(N48=0,"",ROUND(100*O48/N48,1))</f>
        <v/>
      </c>
      <c r="R48">
        <f>IF(J48=0,"",ROUND(I48*K48/J48,0))</f>
        <v/>
      </c>
    </row>
    <row r="49">
      <c r="A49" t="inlineStr">
        <is>
          <t>solid-07</t>
        </is>
      </c>
      <c r="B49" t="inlineStr">
        <is>
          <t>Moderate</t>
        </is>
      </c>
      <c r="C49" t="inlineStr">
        <is>
          <t>Primitive Obsession</t>
        </is>
      </c>
      <c r="D49">
        <f>COUNTIFS(data_hits!$A:$A,"archon-search",data_hits!$C:$C,$A49)</f>
        <v/>
      </c>
      <c r="E49">
        <f>COUNTIFS(data_hits!$A:$A,"moonset",data_hits!$C:$C,$A49)</f>
        <v/>
      </c>
      <c r="F49">
        <f>COUNTIFS(data_hits!$A:$A,"financialwell",data_hits!$C:$C,$A49)</f>
        <v/>
      </c>
      <c r="G49">
        <f>COUNTIFS(data_hits!$A:$A,"dddd",data_hits!$C:$C,$A49)</f>
        <v/>
      </c>
      <c r="H49">
        <f>COUNTIFS(data_hits!$A:$A,"udemy-top-down-shooter",data_hits!$C:$C,$A49)</f>
        <v/>
      </c>
      <c r="I49">
        <f>SUM(D49:H49)</f>
        <v/>
      </c>
      <c r="J49">
        <f>K49+L49</f>
        <v/>
      </c>
      <c r="K49">
        <f>COUNTIFS(data_adj!$C:$C,$A49,data_adj!$E:$E,"TP")</f>
        <v/>
      </c>
      <c r="L49">
        <f>COUNTIFS(data_adj!$C:$C,$A49,data_adj!$E:$E,"FP")</f>
        <v/>
      </c>
      <c r="M49">
        <f>IF(J49=0,"",ROUND(100*K49/J49,1))</f>
        <v/>
      </c>
      <c r="N49">
        <f>COUNTIFS(data_llm!$C:$C,$A49)</f>
        <v/>
      </c>
      <c r="O49">
        <f>COUNTIFS(data_llm!$C:$C,$A49,data_llm!$F:$F,TRUE)</f>
        <v/>
      </c>
      <c r="P49">
        <f>N49-O49</f>
        <v/>
      </c>
      <c r="Q49">
        <f>IF(N49=0,"",ROUND(100*O49/N49,1))</f>
        <v/>
      </c>
      <c r="R49">
        <f>IF(J49=0,"",ROUND(I49*K49/J49,0))</f>
        <v/>
      </c>
    </row>
    <row r="50">
      <c r="A50" t="inlineStr">
        <is>
          <t>solid-08</t>
        </is>
      </c>
      <c r="B50" t="inlineStr">
        <is>
          <t>Minor</t>
        </is>
      </c>
      <c r="C50" t="inlineStr">
        <is>
          <t>Unnecessary Mutability</t>
        </is>
      </c>
      <c r="D50">
        <f>COUNTIFS(data_hits!$A:$A,"archon-search",data_hits!$C:$C,$A50)</f>
        <v/>
      </c>
      <c r="E50">
        <f>COUNTIFS(data_hits!$A:$A,"moonset",data_hits!$C:$C,$A50)</f>
        <v/>
      </c>
      <c r="F50">
        <f>COUNTIFS(data_hits!$A:$A,"financialwell",data_hits!$C:$C,$A50)</f>
        <v/>
      </c>
      <c r="G50">
        <f>COUNTIFS(data_hits!$A:$A,"dddd",data_hits!$C:$C,$A50)</f>
        <v/>
      </c>
      <c r="H50">
        <f>COUNTIFS(data_hits!$A:$A,"udemy-top-down-shooter",data_hits!$C:$C,$A50)</f>
        <v/>
      </c>
      <c r="I50">
        <f>SUM(D50:H50)</f>
        <v/>
      </c>
      <c r="J50">
        <f>K50+L50</f>
        <v/>
      </c>
      <c r="K50">
        <f>COUNTIFS(data_adj!$C:$C,$A50,data_adj!$E:$E,"TP")</f>
        <v/>
      </c>
      <c r="L50">
        <f>COUNTIFS(data_adj!$C:$C,$A50,data_adj!$E:$E,"FP")</f>
        <v/>
      </c>
      <c r="M50">
        <f>IF(J50=0,"",ROUND(100*K50/J50,1))</f>
        <v/>
      </c>
      <c r="N50">
        <f>COUNTIFS(data_llm!$C:$C,$A50)</f>
        <v/>
      </c>
      <c r="O50">
        <f>COUNTIFS(data_llm!$C:$C,$A50,data_llm!$F:$F,TRUE)</f>
        <v/>
      </c>
      <c r="P50">
        <f>N50-O50</f>
        <v/>
      </c>
      <c r="Q50">
        <f>IF(N50=0,"",ROUND(100*O50/N50,1))</f>
        <v/>
      </c>
      <c r="R50">
        <f>IF(J50=0,"",ROUND(I50*K50/J50,0))</f>
        <v/>
      </c>
    </row>
    <row r="51">
      <c r="A51" t="inlineStr">
        <is>
          <t>solid-09</t>
        </is>
      </c>
      <c r="B51" t="inlineStr">
        <is>
          <t>Major</t>
        </is>
      </c>
      <c r="C51" t="inlineStr">
        <is>
          <t>Global Mutable State</t>
        </is>
      </c>
      <c r="D51">
        <f>COUNTIFS(data_hits!$A:$A,"archon-search",data_hits!$C:$C,$A51)</f>
        <v/>
      </c>
      <c r="E51">
        <f>COUNTIFS(data_hits!$A:$A,"moonset",data_hits!$C:$C,$A51)</f>
        <v/>
      </c>
      <c r="F51">
        <f>COUNTIFS(data_hits!$A:$A,"financialwell",data_hits!$C:$C,$A51)</f>
        <v/>
      </c>
      <c r="G51">
        <f>COUNTIFS(data_hits!$A:$A,"dddd",data_hits!$C:$C,$A51)</f>
        <v/>
      </c>
      <c r="H51">
        <f>COUNTIFS(data_hits!$A:$A,"udemy-top-down-shooter",data_hits!$C:$C,$A51)</f>
        <v/>
      </c>
      <c r="I51">
        <f>SUM(D51:H51)</f>
        <v/>
      </c>
      <c r="J51">
        <f>K51+L51</f>
        <v/>
      </c>
      <c r="K51">
        <f>COUNTIFS(data_adj!$C:$C,$A51,data_adj!$E:$E,"TP")</f>
        <v/>
      </c>
      <c r="L51">
        <f>COUNTIFS(data_adj!$C:$C,$A51,data_adj!$E:$E,"FP")</f>
        <v/>
      </c>
      <c r="M51">
        <f>IF(J51=0,"",ROUND(100*K51/J51,1))</f>
        <v/>
      </c>
      <c r="N51">
        <f>COUNTIFS(data_llm!$C:$C,$A51)</f>
        <v/>
      </c>
      <c r="O51">
        <f>COUNTIFS(data_llm!$C:$C,$A51,data_llm!$F:$F,TRUE)</f>
        <v/>
      </c>
      <c r="P51">
        <f>N51-O51</f>
        <v/>
      </c>
      <c r="Q51">
        <f>IF(N51=0,"",ROUND(100*O51/N51,1))</f>
        <v/>
      </c>
      <c r="R51">
        <f>IF(J51=0,"",ROUND(I51*K51/J51,0))</f>
        <v/>
      </c>
    </row>
    <row r="52">
      <c r="A52" t="inlineStr">
        <is>
          <t>solid-10</t>
        </is>
      </c>
      <c r="B52" t="inlineStr">
        <is>
          <t>Major</t>
        </is>
      </c>
      <c r="C52" t="inlineStr">
        <is>
          <t>Hardcoded Dependency Creation</t>
        </is>
      </c>
      <c r="D52">
        <f>COUNTIFS(data_hits!$A:$A,"archon-search",data_hits!$C:$C,$A52)</f>
        <v/>
      </c>
      <c r="E52">
        <f>COUNTIFS(data_hits!$A:$A,"moonset",data_hits!$C:$C,$A52)</f>
        <v/>
      </c>
      <c r="F52">
        <f>COUNTIFS(data_hits!$A:$A,"financialwell",data_hits!$C:$C,$A52)</f>
        <v/>
      </c>
      <c r="G52">
        <f>COUNTIFS(data_hits!$A:$A,"dddd",data_hits!$C:$C,$A52)</f>
        <v/>
      </c>
      <c r="H52">
        <f>COUNTIFS(data_hits!$A:$A,"udemy-top-down-shooter",data_hits!$C:$C,$A52)</f>
        <v/>
      </c>
      <c r="I52">
        <f>SUM(D52:H52)</f>
        <v/>
      </c>
      <c r="J52">
        <f>K52+L52</f>
        <v/>
      </c>
      <c r="K52">
        <f>COUNTIFS(data_adj!$C:$C,$A52,data_adj!$E:$E,"TP")</f>
        <v/>
      </c>
      <c r="L52">
        <f>COUNTIFS(data_adj!$C:$C,$A52,data_adj!$E:$E,"FP")</f>
        <v/>
      </c>
      <c r="M52">
        <f>IF(J52=0,"",ROUND(100*K52/J52,1))</f>
        <v/>
      </c>
      <c r="N52">
        <f>COUNTIFS(data_llm!$C:$C,$A52)</f>
        <v/>
      </c>
      <c r="O52">
        <f>COUNTIFS(data_llm!$C:$C,$A52,data_llm!$F:$F,TRUE)</f>
        <v/>
      </c>
      <c r="P52">
        <f>N52-O52</f>
        <v/>
      </c>
      <c r="Q52">
        <f>IF(N52=0,"",ROUND(100*O52/N52,1))</f>
        <v/>
      </c>
      <c r="R52">
        <f>IF(J52=0,"",ROUND(I52*K52/J52,0))</f>
        <v/>
      </c>
    </row>
    <row r="53">
      <c r="A53" t="inlineStr">
        <is>
          <t>solid-12</t>
        </is>
      </c>
      <c r="B53" t="inlineStr">
        <is>
          <t>Moderate</t>
        </is>
      </c>
      <c r="C53" t="inlineStr">
        <is>
          <t>Logging Inside Domain</t>
        </is>
      </c>
      <c r="D53">
        <f>COUNTIFS(data_hits!$A:$A,"archon-search",data_hits!$C:$C,$A53)</f>
        <v/>
      </c>
      <c r="E53">
        <f>COUNTIFS(data_hits!$A:$A,"moonset",data_hits!$C:$C,$A53)</f>
        <v/>
      </c>
      <c r="F53">
        <f>COUNTIFS(data_hits!$A:$A,"financialwell",data_hits!$C:$C,$A53)</f>
        <v/>
      </c>
      <c r="G53">
        <f>COUNTIFS(data_hits!$A:$A,"dddd",data_hits!$C:$C,$A53)</f>
        <v/>
      </c>
      <c r="H53">
        <f>COUNTIFS(data_hits!$A:$A,"udemy-top-down-shooter",data_hits!$C:$C,$A53)</f>
        <v/>
      </c>
      <c r="I53">
        <f>SUM(D53:H53)</f>
        <v/>
      </c>
      <c r="J53">
        <f>K53+L53</f>
        <v/>
      </c>
      <c r="K53">
        <f>COUNTIFS(data_adj!$C:$C,$A53,data_adj!$E:$E,"TP")</f>
        <v/>
      </c>
      <c r="L53">
        <f>COUNTIFS(data_adj!$C:$C,$A53,data_adj!$E:$E,"FP")</f>
        <v/>
      </c>
      <c r="M53">
        <f>IF(J53=0,"",ROUND(100*K53/J53,1))</f>
        <v/>
      </c>
      <c r="N53">
        <f>COUNTIFS(data_llm!$C:$C,$A53)</f>
        <v/>
      </c>
      <c r="O53">
        <f>COUNTIFS(data_llm!$C:$C,$A53,data_llm!$F:$F,TRUE)</f>
        <v/>
      </c>
      <c r="P53">
        <f>N53-O53</f>
        <v/>
      </c>
      <c r="Q53">
        <f>IF(N53=0,"",ROUND(100*O53/N53,1))</f>
        <v/>
      </c>
      <c r="R53">
        <f>IF(J53=0,"",ROUND(I53*K53/J53,0))</f>
        <v/>
      </c>
    </row>
    <row r="54">
      <c r="A54" t="inlineStr">
        <is>
          <t>solid-15</t>
        </is>
      </c>
      <c r="B54" t="inlineStr">
        <is>
          <t>Major</t>
        </is>
      </c>
      <c r="C54" t="inlineStr">
        <is>
          <t>Switch/If-Else Dispatching on Type</t>
        </is>
      </c>
      <c r="D54">
        <f>COUNTIFS(data_hits!$A:$A,"archon-search",data_hits!$C:$C,$A54)</f>
        <v/>
      </c>
      <c r="E54">
        <f>COUNTIFS(data_hits!$A:$A,"moonset",data_hits!$C:$C,$A54)</f>
        <v/>
      </c>
      <c r="F54">
        <f>COUNTIFS(data_hits!$A:$A,"financialwell",data_hits!$C:$C,$A54)</f>
        <v/>
      </c>
      <c r="G54">
        <f>COUNTIFS(data_hits!$A:$A,"dddd",data_hits!$C:$C,$A54)</f>
        <v/>
      </c>
      <c r="H54">
        <f>COUNTIFS(data_hits!$A:$A,"udemy-top-down-shooter",data_hits!$C:$C,$A54)</f>
        <v/>
      </c>
      <c r="I54">
        <f>SUM(D54:H54)</f>
        <v/>
      </c>
      <c r="J54">
        <f>K54+L54</f>
        <v/>
      </c>
      <c r="K54">
        <f>COUNTIFS(data_adj!$C:$C,$A54,data_adj!$E:$E,"TP")</f>
        <v/>
      </c>
      <c r="L54">
        <f>COUNTIFS(data_adj!$C:$C,$A54,data_adj!$E:$E,"FP")</f>
        <v/>
      </c>
      <c r="M54">
        <f>IF(J54=0,"",ROUND(100*K54/J54,1))</f>
        <v/>
      </c>
      <c r="N54">
        <f>COUNTIFS(data_llm!$C:$C,$A54)</f>
        <v/>
      </c>
      <c r="O54">
        <f>COUNTIFS(data_llm!$C:$C,$A54,data_llm!$F:$F,TRUE)</f>
        <v/>
      </c>
      <c r="P54">
        <f>N54-O54</f>
        <v/>
      </c>
      <c r="Q54">
        <f>IF(N54=0,"",ROUND(100*O54/N54,1))</f>
        <v/>
      </c>
      <c r="R54">
        <f>IF(J54=0,"",ROUND(I54*K54/J54,0))</f>
        <v/>
      </c>
    </row>
    <row r="55">
      <c r="A55" t="inlineStr">
        <is>
          <t>tests-01</t>
        </is>
      </c>
      <c r="B55" t="inlineStr">
        <is>
          <t>Critical</t>
        </is>
      </c>
      <c r="C55" t="inlineStr">
        <is>
          <t>Missing Tests</t>
        </is>
      </c>
      <c r="D55">
        <f>COUNTIFS(data_hits!$A:$A,"archon-search",data_hits!$C:$C,$A55)</f>
        <v/>
      </c>
      <c r="E55">
        <f>COUNTIFS(data_hits!$A:$A,"moonset",data_hits!$C:$C,$A55)</f>
        <v/>
      </c>
      <c r="F55">
        <f>COUNTIFS(data_hits!$A:$A,"financialwell",data_hits!$C:$C,$A55)</f>
        <v/>
      </c>
      <c r="G55">
        <f>COUNTIFS(data_hits!$A:$A,"dddd",data_hits!$C:$C,$A55)</f>
        <v/>
      </c>
      <c r="H55">
        <f>COUNTIFS(data_hits!$A:$A,"udemy-top-down-shooter",data_hits!$C:$C,$A55)</f>
        <v/>
      </c>
      <c r="I55">
        <f>SUM(D55:H55)</f>
        <v/>
      </c>
      <c r="J55">
        <f>K55+L55</f>
        <v/>
      </c>
      <c r="K55">
        <f>COUNTIFS(data_adj!$C:$C,$A55,data_adj!$E:$E,"TP")</f>
        <v/>
      </c>
      <c r="L55">
        <f>COUNTIFS(data_adj!$C:$C,$A55,data_adj!$E:$E,"FP")</f>
        <v/>
      </c>
      <c r="M55">
        <f>IF(J55=0,"",ROUND(100*K55/J55,1))</f>
        <v/>
      </c>
      <c r="N55">
        <f>COUNTIFS(data_llm!$C:$C,$A55)</f>
        <v/>
      </c>
      <c r="O55">
        <f>COUNTIFS(data_llm!$C:$C,$A55,data_llm!$F:$F,TRUE)</f>
        <v/>
      </c>
      <c r="P55">
        <f>N55-O55</f>
        <v/>
      </c>
      <c r="Q55">
        <f>IF(N55=0,"",ROUND(100*O55/N55,1))</f>
        <v/>
      </c>
      <c r="R55">
        <f>IF(J55=0,"",ROUND(I55*K55/J55,0))</f>
        <v/>
      </c>
    </row>
    <row r="56">
      <c r="A56" t="inlineStr">
        <is>
          <t>tests-04</t>
        </is>
      </c>
      <c r="B56" t="inlineStr">
        <is>
          <t>Major</t>
        </is>
      </c>
      <c r="C56" t="inlineStr">
        <is>
          <t>Flaky Test Patterns</t>
        </is>
      </c>
      <c r="D56">
        <f>COUNTIFS(data_hits!$A:$A,"archon-search",data_hits!$C:$C,$A56)</f>
        <v/>
      </c>
      <c r="E56">
        <f>COUNTIFS(data_hits!$A:$A,"moonset",data_hits!$C:$C,$A56)</f>
        <v/>
      </c>
      <c r="F56">
        <f>COUNTIFS(data_hits!$A:$A,"financialwell",data_hits!$C:$C,$A56)</f>
        <v/>
      </c>
      <c r="G56">
        <f>COUNTIFS(data_hits!$A:$A,"dddd",data_hits!$C:$C,$A56)</f>
        <v/>
      </c>
      <c r="H56">
        <f>COUNTIFS(data_hits!$A:$A,"udemy-top-down-shooter",data_hits!$C:$C,$A56)</f>
        <v/>
      </c>
      <c r="I56">
        <f>SUM(D56:H56)</f>
        <v/>
      </c>
      <c r="J56">
        <f>K56+L56</f>
        <v/>
      </c>
      <c r="K56">
        <f>COUNTIFS(data_adj!$C:$C,$A56,data_adj!$E:$E,"TP")</f>
        <v/>
      </c>
      <c r="L56">
        <f>COUNTIFS(data_adj!$C:$C,$A56,data_adj!$E:$E,"FP")</f>
        <v/>
      </c>
      <c r="M56">
        <f>IF(J56=0,"",ROUND(100*K56/J56,1))</f>
        <v/>
      </c>
      <c r="N56">
        <f>COUNTIFS(data_llm!$C:$C,$A56)</f>
        <v/>
      </c>
      <c r="O56">
        <f>COUNTIFS(data_llm!$C:$C,$A56,data_llm!$F:$F,TRUE)</f>
        <v/>
      </c>
      <c r="P56">
        <f>N56-O56</f>
        <v/>
      </c>
      <c r="Q56">
        <f>IF(N56=0,"",ROUND(100*O56/N56,1))</f>
        <v/>
      </c>
      <c r="R56">
        <f>IF(J56=0,"",ROUND(I56*K56/J56,0))</f>
        <v/>
      </c>
    </row>
    <row r="57">
      <c r="A57" t="inlineStr">
        <is>
          <t>tests-05</t>
        </is>
      </c>
      <c r="B57" t="inlineStr">
        <is>
          <t>Major</t>
        </is>
      </c>
      <c r="C57" t="inlineStr">
        <is>
          <t>Test Accessing Private Internals</t>
        </is>
      </c>
      <c r="D57">
        <f>COUNTIFS(data_hits!$A:$A,"archon-search",data_hits!$C:$C,$A57)</f>
        <v/>
      </c>
      <c r="E57">
        <f>COUNTIFS(data_hits!$A:$A,"moonset",data_hits!$C:$C,$A57)</f>
        <v/>
      </c>
      <c r="F57">
        <f>COUNTIFS(data_hits!$A:$A,"financialwell",data_hits!$C:$C,$A57)</f>
        <v/>
      </c>
      <c r="G57">
        <f>COUNTIFS(data_hits!$A:$A,"dddd",data_hits!$C:$C,$A57)</f>
        <v/>
      </c>
      <c r="H57">
        <f>COUNTIFS(data_hits!$A:$A,"udemy-top-down-shooter",data_hits!$C:$C,$A57)</f>
        <v/>
      </c>
      <c r="I57">
        <f>SUM(D57:H57)</f>
        <v/>
      </c>
      <c r="J57">
        <f>K57+L57</f>
        <v/>
      </c>
      <c r="K57">
        <f>COUNTIFS(data_adj!$C:$C,$A57,data_adj!$E:$E,"TP")</f>
        <v/>
      </c>
      <c r="L57">
        <f>COUNTIFS(data_adj!$C:$C,$A57,data_adj!$E:$E,"FP")</f>
        <v/>
      </c>
      <c r="M57">
        <f>IF(J57=0,"",ROUND(100*K57/J57,1))</f>
        <v/>
      </c>
      <c r="N57">
        <f>COUNTIFS(data_llm!$C:$C,$A57)</f>
        <v/>
      </c>
      <c r="O57">
        <f>COUNTIFS(data_llm!$C:$C,$A57,data_llm!$F:$F,TRUE)</f>
        <v/>
      </c>
      <c r="P57">
        <f>N57-O57</f>
        <v/>
      </c>
      <c r="Q57">
        <f>IF(N57=0,"",ROUND(100*O57/N57,1))</f>
        <v/>
      </c>
      <c r="R57">
        <f>IF(J57=0,"",ROUND(I57*K57/J57,0))</f>
        <v/>
      </c>
    </row>
    <row r="58">
      <c r="A58" t="inlineStr">
        <is>
          <t>tests-06</t>
        </is>
      </c>
      <c r="B58" t="inlineStr">
        <is>
          <t>Major</t>
        </is>
      </c>
      <c r="C58" t="inlineStr">
        <is>
          <t>Shared Mutable State Between Tests</t>
        </is>
      </c>
      <c r="D58">
        <f>COUNTIFS(data_hits!$A:$A,"archon-search",data_hits!$C:$C,$A58)</f>
        <v/>
      </c>
      <c r="E58">
        <f>COUNTIFS(data_hits!$A:$A,"moonset",data_hits!$C:$C,$A58)</f>
        <v/>
      </c>
      <c r="F58">
        <f>COUNTIFS(data_hits!$A:$A,"financialwell",data_hits!$C:$C,$A58)</f>
        <v/>
      </c>
      <c r="G58">
        <f>COUNTIFS(data_hits!$A:$A,"dddd",data_hits!$C:$C,$A58)</f>
        <v/>
      </c>
      <c r="H58">
        <f>COUNTIFS(data_hits!$A:$A,"udemy-top-down-shooter",data_hits!$C:$C,$A58)</f>
        <v/>
      </c>
      <c r="I58">
        <f>SUM(D58:H58)</f>
        <v/>
      </c>
      <c r="J58">
        <f>K58+L58</f>
        <v/>
      </c>
      <c r="K58">
        <f>COUNTIFS(data_adj!$C:$C,$A58,data_adj!$E:$E,"TP")</f>
        <v/>
      </c>
      <c r="L58">
        <f>COUNTIFS(data_adj!$C:$C,$A58,data_adj!$E:$E,"FP")</f>
        <v/>
      </c>
      <c r="M58">
        <f>IF(J58=0,"",ROUND(100*K58/J58,1))</f>
        <v/>
      </c>
      <c r="N58">
        <f>COUNTIFS(data_llm!$C:$C,$A58)</f>
        <v/>
      </c>
      <c r="O58">
        <f>COUNTIFS(data_llm!$C:$C,$A58,data_llm!$F:$F,TRUE)</f>
        <v/>
      </c>
      <c r="P58">
        <f>N58-O58</f>
        <v/>
      </c>
      <c r="Q58">
        <f>IF(N58=0,"",ROUND(100*O58/N58,1))</f>
        <v/>
      </c>
      <c r="R58">
        <f>IF(J58=0,"",ROUND(I58*K58/J58,0))</f>
        <v/>
      </c>
    </row>
    <row r="59">
      <c r="A59" t="inlineStr">
        <is>
          <t>tests-08</t>
        </is>
      </c>
      <c r="B59" t="inlineStr">
        <is>
          <t>Major</t>
        </is>
      </c>
      <c r="C59" t="inlineStr">
        <is>
          <t>Skipped/Ignored Tests</t>
        </is>
      </c>
      <c r="D59">
        <f>COUNTIFS(data_hits!$A:$A,"archon-search",data_hits!$C:$C,$A59)</f>
        <v/>
      </c>
      <c r="E59">
        <f>COUNTIFS(data_hits!$A:$A,"moonset",data_hits!$C:$C,$A59)</f>
        <v/>
      </c>
      <c r="F59">
        <f>COUNTIFS(data_hits!$A:$A,"financialwell",data_hits!$C:$C,$A59)</f>
        <v/>
      </c>
      <c r="G59">
        <f>COUNTIFS(data_hits!$A:$A,"dddd",data_hits!$C:$C,$A59)</f>
        <v/>
      </c>
      <c r="H59">
        <f>COUNTIFS(data_hits!$A:$A,"udemy-top-down-shooter",data_hits!$C:$C,$A59)</f>
        <v/>
      </c>
      <c r="I59">
        <f>SUM(D59:H59)</f>
        <v/>
      </c>
      <c r="J59">
        <f>K59+L59</f>
        <v/>
      </c>
      <c r="K59">
        <f>COUNTIFS(data_adj!$C:$C,$A59,data_adj!$E:$E,"TP")</f>
        <v/>
      </c>
      <c r="L59">
        <f>COUNTIFS(data_adj!$C:$C,$A59,data_adj!$E:$E,"FP")</f>
        <v/>
      </c>
      <c r="M59">
        <f>IF(J59=0,"",ROUND(100*K59/J59,1))</f>
        <v/>
      </c>
      <c r="N59">
        <f>COUNTIFS(data_llm!$C:$C,$A59)</f>
        <v/>
      </c>
      <c r="O59">
        <f>COUNTIFS(data_llm!$C:$C,$A59,data_llm!$F:$F,TRUE)</f>
        <v/>
      </c>
      <c r="P59">
        <f>N59-O59</f>
        <v/>
      </c>
      <c r="Q59">
        <f>IF(N59=0,"",ROUND(100*O59/N59,1))</f>
        <v/>
      </c>
      <c r="R59">
        <f>IF(J59=0,"",ROUND(I59*K59/J59,0))</f>
        <v/>
      </c>
    </row>
    <row r="60">
      <c r="A60" t="inlineStr">
        <is>
          <t>tests-09</t>
        </is>
      </c>
      <c r="B60" t="inlineStr">
        <is>
          <t>Critical</t>
        </is>
      </c>
      <c r="C60" t="inlineStr">
        <is>
          <t>Tests with No Meaningful Assertions</t>
        </is>
      </c>
      <c r="D60">
        <f>COUNTIFS(data_hits!$A:$A,"archon-search",data_hits!$C:$C,$A60)</f>
        <v/>
      </c>
      <c r="E60">
        <f>COUNTIFS(data_hits!$A:$A,"moonset",data_hits!$C:$C,$A60)</f>
        <v/>
      </c>
      <c r="F60">
        <f>COUNTIFS(data_hits!$A:$A,"financialwell",data_hits!$C:$C,$A60)</f>
        <v/>
      </c>
      <c r="G60">
        <f>COUNTIFS(data_hits!$A:$A,"dddd",data_hits!$C:$C,$A60)</f>
        <v/>
      </c>
      <c r="H60">
        <f>COUNTIFS(data_hits!$A:$A,"udemy-top-down-shooter",data_hits!$C:$C,$A60)</f>
        <v/>
      </c>
      <c r="I60">
        <f>SUM(D60:H60)</f>
        <v/>
      </c>
      <c r="J60">
        <f>K60+L60</f>
        <v/>
      </c>
      <c r="K60">
        <f>COUNTIFS(data_adj!$C:$C,$A60,data_adj!$E:$E,"TP")</f>
        <v/>
      </c>
      <c r="L60">
        <f>COUNTIFS(data_adj!$C:$C,$A60,data_adj!$E:$E,"FP")</f>
        <v/>
      </c>
      <c r="M60">
        <f>IF(J60=0,"",ROUND(100*K60/J60,1))</f>
        <v/>
      </c>
      <c r="N60">
        <f>COUNTIFS(data_llm!$C:$C,$A60)</f>
        <v/>
      </c>
      <c r="O60">
        <f>COUNTIFS(data_llm!$C:$C,$A60,data_llm!$F:$F,TRUE)</f>
        <v/>
      </c>
      <c r="P60">
        <f>N60-O60</f>
        <v/>
      </c>
      <c r="Q60">
        <f>IF(N60=0,"",ROUND(100*O60/N60,1))</f>
        <v/>
      </c>
      <c r="R60">
        <f>IF(J60=0,"",ROUND(I60*K60/J60,0))</f>
        <v/>
      </c>
    </row>
    <row r="61">
      <c r="A61" t="inlineStr">
        <is>
          <t>tests-13</t>
        </is>
      </c>
      <c r="B61" t="inlineStr">
        <is>
          <t>Critical</t>
        </is>
      </c>
      <c r="C61" t="inlineStr">
        <is>
          <t>Test Module Containing No Assertions</t>
        </is>
      </c>
      <c r="D61">
        <f>COUNTIFS(data_hits!$A:$A,"archon-search",data_hits!$C:$C,$A61)</f>
        <v/>
      </c>
      <c r="E61">
        <f>COUNTIFS(data_hits!$A:$A,"moonset",data_hits!$C:$C,$A61)</f>
        <v/>
      </c>
      <c r="F61">
        <f>COUNTIFS(data_hits!$A:$A,"financialwell",data_hits!$C:$C,$A61)</f>
        <v/>
      </c>
      <c r="G61">
        <f>COUNTIFS(data_hits!$A:$A,"dddd",data_hits!$C:$C,$A61)</f>
        <v/>
      </c>
      <c r="H61">
        <f>COUNTIFS(data_hits!$A:$A,"udemy-top-down-shooter",data_hits!$C:$C,$A61)</f>
        <v/>
      </c>
      <c r="I61">
        <f>SUM(D61:H61)</f>
        <v/>
      </c>
      <c r="J61">
        <f>K61+L61</f>
        <v/>
      </c>
      <c r="K61">
        <f>COUNTIFS(data_adj!$C:$C,$A61,data_adj!$E:$E,"TP")</f>
        <v/>
      </c>
      <c r="L61">
        <f>COUNTIFS(data_adj!$C:$C,$A61,data_adj!$E:$E,"FP")</f>
        <v/>
      </c>
      <c r="M61">
        <f>IF(J61=0,"",ROUND(100*K61/J61,1))</f>
        <v/>
      </c>
      <c r="N61">
        <f>COUNTIFS(data_llm!$C:$C,$A61)</f>
        <v/>
      </c>
      <c r="O61">
        <f>COUNTIFS(data_llm!$C:$C,$A61,data_llm!$F:$F,TRUE)</f>
        <v/>
      </c>
      <c r="P61">
        <f>N61-O61</f>
        <v/>
      </c>
      <c r="Q61">
        <f>IF(N61=0,"",ROUND(100*O61/N61,1))</f>
        <v/>
      </c>
      <c r="R61">
        <f>IF(J61=0,"",ROUND(I61*K61/J61,0))</f>
        <v/>
      </c>
    </row>
  </sheetData>
  <conditionalFormatting sqref="A2:R61">
    <cfRule type="expression" priority="1" dxfId="0">
      <formula>$I2=0</formula>
    </cfRule>
  </conditionalFormatting>
  <conditionalFormatting sqref="M2:M6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hits:archon-search</t>
        </is>
      </c>
      <c r="E1" s="1" t="inlineStr">
        <is>
          <t>hits total</t>
        </is>
      </c>
      <c r="F1" s="1" t="inlineStr">
        <is>
          <t>adjudicated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precision %</t>
        </is>
      </c>
      <c r="J1" s="1" t="inlineStr">
        <is>
          <t>LLM-only found</t>
        </is>
      </c>
      <c r="K1" s="1" t="inlineStr">
        <is>
          <t>overlap w/ script</t>
        </is>
      </c>
      <c r="L1" s="1" t="inlineStr">
        <is>
          <t>script misses</t>
        </is>
      </c>
      <c r="M1" s="1" t="inlineStr">
        <is>
          <t>script coverage %</t>
        </is>
      </c>
      <c r="N1" s="1" t="inlineStr">
        <is>
          <t>est. true hits</t>
        </is>
      </c>
    </row>
    <row r="2">
      <c r="A2" t="inlineStr">
        <is>
          <t>arch-02</t>
        </is>
      </c>
      <c r="B2" t="inlineStr">
        <is>
          <t>Major</t>
        </is>
      </c>
      <c r="C2" t="inlineStr">
        <is>
          <t>Use Case Depending on Framework Type</t>
        </is>
      </c>
      <c r="D2">
        <f>COUNTIFS(data_hits!$A:$A,"archon-search",data_hits!$C:$C,$A2)</f>
        <v/>
      </c>
      <c r="E2">
        <f>SUM(D2:D2)</f>
        <v/>
      </c>
      <c r="F2">
        <f>G2+H2</f>
        <v/>
      </c>
      <c r="G2">
        <f>COUNTIFS(data_adj!$A:$A,"archon-search",data_adj!$C:$C,$A2,data_adj!$E:$E,"TP")</f>
        <v/>
      </c>
      <c r="H2">
        <f>COUNTIFS(data_adj!$A:$A,"archon-search",data_adj!$C:$C,$A2,data_adj!$E:$E,"FP")</f>
        <v/>
      </c>
      <c r="I2">
        <f>IF(F2=0,"",ROUND(100*G2/F2,1))</f>
        <v/>
      </c>
      <c r="J2">
        <f>COUNTIFS(data_llm!$A:$A,"archon-search",data_llm!$C:$C,$A2)</f>
        <v/>
      </c>
      <c r="K2">
        <f>COUNTIFS(data_llm!$A:$A,"archon-search",data_llm!$C:$C,$A2,data_llm!$F:$F,TRUE)</f>
        <v/>
      </c>
      <c r="L2">
        <f>J2-K2</f>
        <v/>
      </c>
      <c r="M2">
        <f>IF(J2=0,"",ROUND(100*K2/J2,1))</f>
        <v/>
      </c>
      <c r="N2">
        <f>IF(F2=0,"",ROUND(E2*G2/F2,0))</f>
        <v/>
      </c>
    </row>
    <row r="3">
      <c r="A3" t="inlineStr">
        <is>
          <t>arch-03</t>
        </is>
      </c>
      <c r="B3" t="inlineStr">
        <is>
          <t>Major</t>
        </is>
      </c>
      <c r="C3" t="inlineStr">
        <is>
          <t>Domain Entity with ORM Annotations</t>
        </is>
      </c>
      <c r="D3">
        <f>COUNTIFS(data_hits!$A:$A,"archon-search",data_hits!$C:$C,$A3)</f>
        <v/>
      </c>
      <c r="E3">
        <f>SUM(D3:D3)</f>
        <v/>
      </c>
      <c r="F3">
        <f>G3+H3</f>
        <v/>
      </c>
      <c r="G3">
        <f>COUNTIFS(data_adj!$A:$A,"archon-search",data_adj!$C:$C,$A3,data_adj!$E:$E,"TP")</f>
        <v/>
      </c>
      <c r="H3">
        <f>COUNTIFS(data_adj!$A:$A,"archon-search",data_adj!$C:$C,$A3,data_adj!$E:$E,"FP")</f>
        <v/>
      </c>
      <c r="I3">
        <f>IF(F3=0,"",ROUND(100*G3/F3,1))</f>
        <v/>
      </c>
      <c r="J3">
        <f>COUNTIFS(data_llm!$A:$A,"archon-search",data_llm!$C:$C,$A3)</f>
        <v/>
      </c>
      <c r="K3">
        <f>COUNTIFS(data_llm!$A:$A,"archon-search",data_llm!$C:$C,$A3,data_llm!$F:$F,TRUE)</f>
        <v/>
      </c>
      <c r="L3">
        <f>J3-K3</f>
        <v/>
      </c>
      <c r="M3">
        <f>IF(J3=0,"",ROUND(100*K3/J3,1))</f>
        <v/>
      </c>
      <c r="N3">
        <f>IF(F3=0,"",ROUND(E3*G3/F3,0))</f>
        <v/>
      </c>
    </row>
    <row r="4">
      <c r="A4" t="inlineStr">
        <is>
          <t>arch-05</t>
        </is>
      </c>
      <c r="B4" t="inlineStr">
        <is>
          <t>Major</t>
        </is>
      </c>
      <c r="C4" t="inlineStr">
        <is>
          <t>Infrastructure Exception Leaking</t>
        </is>
      </c>
      <c r="D4">
        <f>COUNTIFS(data_hits!$A:$A,"archon-search",data_hits!$C:$C,$A4)</f>
        <v/>
      </c>
      <c r="E4">
        <f>SUM(D4:D4)</f>
        <v/>
      </c>
      <c r="F4">
        <f>G4+H4</f>
        <v/>
      </c>
      <c r="G4">
        <f>COUNTIFS(data_adj!$A:$A,"archon-search",data_adj!$C:$C,$A4,data_adj!$E:$E,"TP")</f>
        <v/>
      </c>
      <c r="H4">
        <f>COUNTIFS(data_adj!$A:$A,"archon-search",data_adj!$C:$C,$A4,data_adj!$E:$E,"FP")</f>
        <v/>
      </c>
      <c r="I4">
        <f>IF(F4=0,"",ROUND(100*G4/F4,1))</f>
        <v/>
      </c>
      <c r="J4">
        <f>COUNTIFS(data_llm!$A:$A,"archon-search",data_llm!$C:$C,$A4)</f>
        <v/>
      </c>
      <c r="K4">
        <f>COUNTIFS(data_llm!$A:$A,"archon-search",data_llm!$C:$C,$A4,data_llm!$F:$F,TRUE)</f>
        <v/>
      </c>
      <c r="L4">
        <f>J4-K4</f>
        <v/>
      </c>
      <c r="M4">
        <f>IF(J4=0,"",ROUND(100*K4/J4,1))</f>
        <v/>
      </c>
      <c r="N4">
        <f>IF(F4=0,"",ROUND(E4*G4/F4,0))</f>
        <v/>
      </c>
    </row>
    <row r="5">
      <c r="A5" t="inlineStr">
        <is>
          <t>arch-08</t>
        </is>
      </c>
      <c r="B5" t="inlineStr">
        <is>
          <t>Major</t>
        </is>
      </c>
      <c r="C5" t="inlineStr">
        <is>
          <t>Service Locator / Magic Container</t>
        </is>
      </c>
      <c r="D5">
        <f>COUNTIFS(data_hits!$A:$A,"archon-search",data_hits!$C:$C,$A5)</f>
        <v/>
      </c>
      <c r="E5">
        <f>SUM(D5:D5)</f>
        <v/>
      </c>
      <c r="F5">
        <f>G5+H5</f>
        <v/>
      </c>
      <c r="G5">
        <f>COUNTIFS(data_adj!$A:$A,"archon-search",data_adj!$C:$C,$A5,data_adj!$E:$E,"TP")</f>
        <v/>
      </c>
      <c r="H5">
        <f>COUNTIFS(data_adj!$A:$A,"archon-search",data_adj!$C:$C,$A5,data_adj!$E:$E,"FP")</f>
        <v/>
      </c>
      <c r="I5">
        <f>IF(F5=0,"",ROUND(100*G5/F5,1))</f>
        <v/>
      </c>
      <c r="J5">
        <f>COUNTIFS(data_llm!$A:$A,"archon-search",data_llm!$C:$C,$A5)</f>
        <v/>
      </c>
      <c r="K5">
        <f>COUNTIFS(data_llm!$A:$A,"archon-search",data_llm!$C:$C,$A5,data_llm!$F:$F,TRUE)</f>
        <v/>
      </c>
      <c r="L5">
        <f>J5-K5</f>
        <v/>
      </c>
      <c r="M5">
        <f>IF(J5=0,"",ROUND(100*K5/J5,1))</f>
        <v/>
      </c>
      <c r="N5">
        <f>IF(F5=0,"",ROUND(E5*G5/F5,0))</f>
        <v/>
      </c>
    </row>
    <row r="6">
      <c r="A6" t="inlineStr">
        <is>
          <t>arch-09</t>
        </is>
      </c>
      <c r="B6" t="inlineStr">
        <is>
          <t>Moderate</t>
        </is>
      </c>
      <c r="C6" t="inlineStr">
        <is>
          <t>Environment-Specific Branching in Business Logic</t>
        </is>
      </c>
      <c r="D6">
        <f>COUNTIFS(data_hits!$A:$A,"archon-search",data_hits!$C:$C,$A6)</f>
        <v/>
      </c>
      <c r="E6">
        <f>SUM(D6:D6)</f>
        <v/>
      </c>
      <c r="F6">
        <f>G6+H6</f>
        <v/>
      </c>
      <c r="G6">
        <f>COUNTIFS(data_adj!$A:$A,"archon-search",data_adj!$C:$C,$A6,data_adj!$E:$E,"TP")</f>
        <v/>
      </c>
      <c r="H6">
        <f>COUNTIFS(data_adj!$A:$A,"archon-search",data_adj!$C:$C,$A6,data_adj!$E:$E,"FP")</f>
        <v/>
      </c>
      <c r="I6">
        <f>IF(F6=0,"",ROUND(100*G6/F6,1))</f>
        <v/>
      </c>
      <c r="J6">
        <f>COUNTIFS(data_llm!$A:$A,"archon-search",data_llm!$C:$C,$A6)</f>
        <v/>
      </c>
      <c r="K6">
        <f>COUNTIFS(data_llm!$A:$A,"archon-search",data_llm!$C:$C,$A6,data_llm!$F:$F,TRUE)</f>
        <v/>
      </c>
      <c r="L6">
        <f>J6-K6</f>
        <v/>
      </c>
      <c r="M6">
        <f>IF(J6=0,"",ROUND(100*K6/J6,1))</f>
        <v/>
      </c>
      <c r="N6">
        <f>IF(F6=0,"",ROUND(E6*G6/F6,0))</f>
        <v/>
      </c>
    </row>
    <row r="7">
      <c r="A7" t="inlineStr">
        <is>
          <t>arch-11</t>
        </is>
      </c>
      <c r="B7" t="inlineStr">
        <is>
          <t>Moderate</t>
        </is>
      </c>
      <c r="C7" t="inlineStr">
        <is>
          <t>Environment Address Hardcoded in Code</t>
        </is>
      </c>
      <c r="D7">
        <f>COUNTIFS(data_hits!$A:$A,"archon-search",data_hits!$C:$C,$A7)</f>
        <v/>
      </c>
      <c r="E7">
        <f>SUM(D7:D7)</f>
        <v/>
      </c>
      <c r="F7">
        <f>G7+H7</f>
        <v/>
      </c>
      <c r="G7">
        <f>COUNTIFS(data_adj!$A:$A,"archon-search",data_adj!$C:$C,$A7,data_adj!$E:$E,"TP")</f>
        <v/>
      </c>
      <c r="H7">
        <f>COUNTIFS(data_adj!$A:$A,"archon-search",data_adj!$C:$C,$A7,data_adj!$E:$E,"FP")</f>
        <v/>
      </c>
      <c r="I7">
        <f>IF(F7=0,"",ROUND(100*G7/F7,1))</f>
        <v/>
      </c>
      <c r="J7">
        <f>COUNTIFS(data_llm!$A:$A,"archon-search",data_llm!$C:$C,$A7)</f>
        <v/>
      </c>
      <c r="K7">
        <f>COUNTIFS(data_llm!$A:$A,"archon-search",data_llm!$C:$C,$A7,data_llm!$F:$F,TRUE)</f>
        <v/>
      </c>
      <c r="L7">
        <f>J7-K7</f>
        <v/>
      </c>
      <c r="M7">
        <f>IF(J7=0,"",ROUND(100*K7/J7,1))</f>
        <v/>
      </c>
      <c r="N7">
        <f>IF(F7=0,"",ROUND(E7*G7/F7,0))</f>
        <v/>
      </c>
    </row>
    <row r="8">
      <c r="A8" t="inlineStr">
        <is>
          <t>arch-12</t>
        </is>
      </c>
      <c r="B8" t="inlineStr">
        <is>
          <t>Major</t>
        </is>
      </c>
      <c r="C8" t="inlineStr">
        <is>
          <t>Cache Key Lifecycle Mismatch</t>
        </is>
      </c>
      <c r="D8">
        <f>COUNTIFS(data_hits!$A:$A,"archon-search",data_hits!$C:$C,$A8)</f>
        <v/>
      </c>
      <c r="E8">
        <f>SUM(D8:D8)</f>
        <v/>
      </c>
      <c r="F8">
        <f>G8+H8</f>
        <v/>
      </c>
      <c r="G8">
        <f>COUNTIFS(data_adj!$A:$A,"archon-search",data_adj!$C:$C,$A8,data_adj!$E:$E,"TP")</f>
        <v/>
      </c>
      <c r="H8">
        <f>COUNTIFS(data_adj!$A:$A,"archon-search",data_adj!$C:$C,$A8,data_adj!$E:$E,"FP")</f>
        <v/>
      </c>
      <c r="I8">
        <f>IF(F8=0,"",ROUND(100*G8/F8,1))</f>
        <v/>
      </c>
      <c r="J8">
        <f>COUNTIFS(data_llm!$A:$A,"archon-search",data_llm!$C:$C,$A8)</f>
        <v/>
      </c>
      <c r="K8">
        <f>COUNTIFS(data_llm!$A:$A,"archon-search",data_llm!$C:$C,$A8,data_llm!$F:$F,TRUE)</f>
        <v/>
      </c>
      <c r="L8">
        <f>J8-K8</f>
        <v/>
      </c>
      <c r="M8">
        <f>IF(J8=0,"",ROUND(100*K8/J8,1))</f>
        <v/>
      </c>
      <c r="N8">
        <f>IF(F8=0,"",ROUND(E8*G8/F8,0))</f>
        <v/>
      </c>
    </row>
    <row r="9">
      <c r="A9" t="inlineStr">
        <is>
          <t>clarity-06</t>
        </is>
      </c>
      <c r="B9" t="inlineStr">
        <is>
          <t>Minor</t>
        </is>
      </c>
      <c r="C9" t="inlineStr">
        <is>
          <t>Noise Words in Names</t>
        </is>
      </c>
      <c r="D9">
        <f>COUNTIFS(data_hits!$A:$A,"archon-search",data_hits!$C:$C,$A9)</f>
        <v/>
      </c>
      <c r="E9">
        <f>SUM(D9:D9)</f>
        <v/>
      </c>
      <c r="F9">
        <f>G9+H9</f>
        <v/>
      </c>
      <c r="G9">
        <f>COUNTIFS(data_adj!$A:$A,"archon-search",data_adj!$C:$C,$A9,data_adj!$E:$E,"TP")</f>
        <v/>
      </c>
      <c r="H9">
        <f>COUNTIFS(data_adj!$A:$A,"archon-search",data_adj!$C:$C,$A9,data_adj!$E:$E,"FP")</f>
        <v/>
      </c>
      <c r="I9">
        <f>IF(F9=0,"",ROUND(100*G9/F9,1))</f>
        <v/>
      </c>
      <c r="J9">
        <f>COUNTIFS(data_llm!$A:$A,"archon-search",data_llm!$C:$C,$A9)</f>
        <v/>
      </c>
      <c r="K9">
        <f>COUNTIFS(data_llm!$A:$A,"archon-search",data_llm!$C:$C,$A9,data_llm!$F:$F,TRUE)</f>
        <v/>
      </c>
      <c r="L9">
        <f>J9-K9</f>
        <v/>
      </c>
      <c r="M9">
        <f>IF(J9=0,"",ROUND(100*K9/J9,1))</f>
        <v/>
      </c>
      <c r="N9">
        <f>IF(F9=0,"",ROUND(E9*G9/F9,0))</f>
        <v/>
      </c>
    </row>
    <row r="10">
      <c r="A10" t="inlineStr">
        <is>
          <t>clarity-09</t>
        </is>
      </c>
      <c r="B10" t="inlineStr">
        <is>
          <t>Moderate</t>
        </is>
      </c>
      <c r="C10" t="inlineStr">
        <is>
          <t>Complex Boolean Conditions Not Extracted</t>
        </is>
      </c>
      <c r="D10">
        <f>COUNTIFS(data_hits!$A:$A,"archon-search",data_hits!$C:$C,$A10)</f>
        <v/>
      </c>
      <c r="E10">
        <f>SUM(D10:D10)</f>
        <v/>
      </c>
      <c r="F10">
        <f>G10+H10</f>
        <v/>
      </c>
      <c r="G10">
        <f>COUNTIFS(data_adj!$A:$A,"archon-search",data_adj!$C:$C,$A10,data_adj!$E:$E,"TP")</f>
        <v/>
      </c>
      <c r="H10">
        <f>COUNTIFS(data_adj!$A:$A,"archon-search",data_adj!$C:$C,$A10,data_adj!$E:$E,"FP")</f>
        <v/>
      </c>
      <c r="I10">
        <f>IF(F10=0,"",ROUND(100*G10/F10,1))</f>
        <v/>
      </c>
      <c r="J10">
        <f>COUNTIFS(data_llm!$A:$A,"archon-search",data_llm!$C:$C,$A10)</f>
        <v/>
      </c>
      <c r="K10">
        <f>COUNTIFS(data_llm!$A:$A,"archon-search",data_llm!$C:$C,$A10,data_llm!$F:$F,TRUE)</f>
        <v/>
      </c>
      <c r="L10">
        <f>J10-K10</f>
        <v/>
      </c>
      <c r="M10">
        <f>IF(J10=0,"",ROUND(100*K10/J10,1))</f>
        <v/>
      </c>
      <c r="N10">
        <f>IF(F10=0,"",ROUND(E10*G10/F10,0))</f>
        <v/>
      </c>
    </row>
    <row r="11">
      <c r="A11" t="inlineStr">
        <is>
          <t>clarity-16</t>
        </is>
      </c>
      <c r="B11" t="inlineStr">
        <is>
          <t>Major</t>
        </is>
      </c>
      <c r="C11" t="inlineStr">
        <is>
          <t>Cyclomatic Complexity</t>
        </is>
      </c>
      <c r="D11">
        <f>COUNTIFS(data_hits!$A:$A,"archon-search",data_hits!$C:$C,$A11)</f>
        <v/>
      </c>
      <c r="E11">
        <f>SUM(D11:D11)</f>
        <v/>
      </c>
      <c r="F11">
        <f>G11+H11</f>
        <v/>
      </c>
      <c r="G11">
        <f>COUNTIFS(data_adj!$A:$A,"archon-search",data_adj!$C:$C,$A11,data_adj!$E:$E,"TP")</f>
        <v/>
      </c>
      <c r="H11">
        <f>COUNTIFS(data_adj!$A:$A,"archon-search",data_adj!$C:$C,$A11,data_adj!$E:$E,"FP")</f>
        <v/>
      </c>
      <c r="I11">
        <f>IF(F11=0,"",ROUND(100*G11/F11,1))</f>
        <v/>
      </c>
      <c r="J11">
        <f>COUNTIFS(data_llm!$A:$A,"archon-search",data_llm!$C:$C,$A11)</f>
        <v/>
      </c>
      <c r="K11">
        <f>COUNTIFS(data_llm!$A:$A,"archon-search",data_llm!$C:$C,$A11,data_llm!$F:$F,TRUE)</f>
        <v/>
      </c>
      <c r="L11">
        <f>J11-K11</f>
        <v/>
      </c>
      <c r="M11">
        <f>IF(J11=0,"",ROUND(100*K11/J11,1))</f>
        <v/>
      </c>
      <c r="N11">
        <f>IF(F11=0,"",ROUND(E11*G11/F11,0))</f>
        <v/>
      </c>
    </row>
    <row r="12">
      <c r="A12" t="inlineStr">
        <is>
          <t>clarity-17</t>
        </is>
      </c>
      <c r="B12" t="inlineStr">
        <is>
          <t>Moderate</t>
        </is>
      </c>
      <c r="C12" t="inlineStr">
        <is>
          <t>Function Length</t>
        </is>
      </c>
      <c r="D12">
        <f>COUNTIFS(data_hits!$A:$A,"archon-search",data_hits!$C:$C,$A12)</f>
        <v/>
      </c>
      <c r="E12">
        <f>SUM(D12:D12)</f>
        <v/>
      </c>
      <c r="F12">
        <f>G12+H12</f>
        <v/>
      </c>
      <c r="G12">
        <f>COUNTIFS(data_adj!$A:$A,"archon-search",data_adj!$C:$C,$A12,data_adj!$E:$E,"TP")</f>
        <v/>
      </c>
      <c r="H12">
        <f>COUNTIFS(data_adj!$A:$A,"archon-search",data_adj!$C:$C,$A12,data_adj!$E:$E,"FP")</f>
        <v/>
      </c>
      <c r="I12">
        <f>IF(F12=0,"",ROUND(100*G12/F12,1))</f>
        <v/>
      </c>
      <c r="J12">
        <f>COUNTIFS(data_llm!$A:$A,"archon-search",data_llm!$C:$C,$A12)</f>
        <v/>
      </c>
      <c r="K12">
        <f>COUNTIFS(data_llm!$A:$A,"archon-search",data_llm!$C:$C,$A12,data_llm!$F:$F,TRUE)</f>
        <v/>
      </c>
      <c r="L12">
        <f>J12-K12</f>
        <v/>
      </c>
      <c r="M12">
        <f>IF(J12=0,"",ROUND(100*K12/J12,1))</f>
        <v/>
      </c>
      <c r="N12">
        <f>IF(F12=0,"",ROUND(E12*G12/F12,0))</f>
        <v/>
      </c>
    </row>
    <row r="13">
      <c r="A13" t="inlineStr">
        <is>
          <t>ddd-01</t>
        </is>
      </c>
      <c r="B13" t="inlineStr">
        <is>
          <t>Major</t>
        </is>
      </c>
      <c r="C13" t="inlineStr">
        <is>
          <t>Value Object Mutability</t>
        </is>
      </c>
      <c r="D13">
        <f>COUNTIFS(data_hits!$A:$A,"archon-search",data_hits!$C:$C,$A13)</f>
        <v/>
      </c>
      <c r="E13">
        <f>SUM(D13:D13)</f>
        <v/>
      </c>
      <c r="F13">
        <f>G13+H13</f>
        <v/>
      </c>
      <c r="G13">
        <f>COUNTIFS(data_adj!$A:$A,"archon-search",data_adj!$C:$C,$A13,data_adj!$E:$E,"TP")</f>
        <v/>
      </c>
      <c r="H13">
        <f>COUNTIFS(data_adj!$A:$A,"archon-search",data_adj!$C:$C,$A13,data_adj!$E:$E,"FP")</f>
        <v/>
      </c>
      <c r="I13">
        <f>IF(F13=0,"",ROUND(100*G13/F13,1))</f>
        <v/>
      </c>
      <c r="J13">
        <f>COUNTIFS(data_llm!$A:$A,"archon-search",data_llm!$C:$C,$A13)</f>
        <v/>
      </c>
      <c r="K13">
        <f>COUNTIFS(data_llm!$A:$A,"archon-search",data_llm!$C:$C,$A13,data_llm!$F:$F,TRUE)</f>
        <v/>
      </c>
      <c r="L13">
        <f>J13-K13</f>
        <v/>
      </c>
      <c r="M13">
        <f>IF(J13=0,"",ROUND(100*K13/J13,1))</f>
        <v/>
      </c>
      <c r="N13">
        <f>IF(F13=0,"",ROUND(E13*G13/F13,0))</f>
        <v/>
      </c>
    </row>
    <row r="14">
      <c r="A14" t="inlineStr">
        <is>
          <t>ddd-06</t>
        </is>
      </c>
      <c r="B14" t="inlineStr">
        <is>
          <t>Major</t>
        </is>
      </c>
      <c r="C14" t="inlineStr">
        <is>
          <t>Bounded Context Coupling</t>
        </is>
      </c>
      <c r="D14">
        <f>COUNTIFS(data_hits!$A:$A,"archon-search",data_hits!$C:$C,$A14)</f>
        <v/>
      </c>
      <c r="E14">
        <f>SUM(D14:D14)</f>
        <v/>
      </c>
      <c r="F14">
        <f>G14+H14</f>
        <v/>
      </c>
      <c r="G14">
        <f>COUNTIFS(data_adj!$A:$A,"archon-search",data_adj!$C:$C,$A14,data_adj!$E:$E,"TP")</f>
        <v/>
      </c>
      <c r="H14">
        <f>COUNTIFS(data_adj!$A:$A,"archon-search",data_adj!$C:$C,$A14,data_adj!$E:$E,"FP")</f>
        <v/>
      </c>
      <c r="I14">
        <f>IF(F14=0,"",ROUND(100*G14/F14,1))</f>
        <v/>
      </c>
      <c r="J14">
        <f>COUNTIFS(data_llm!$A:$A,"archon-search",data_llm!$C:$C,$A14)</f>
        <v/>
      </c>
      <c r="K14">
        <f>COUNTIFS(data_llm!$A:$A,"archon-search",data_llm!$C:$C,$A14,data_llm!$F:$F,TRUE)</f>
        <v/>
      </c>
      <c r="L14">
        <f>J14-K14</f>
        <v/>
      </c>
      <c r="M14">
        <f>IF(J14=0,"",ROUND(100*K14/J14,1))</f>
        <v/>
      </c>
      <c r="N14">
        <f>IF(F14=0,"",ROUND(E14*G14/F14,0))</f>
        <v/>
      </c>
    </row>
    <row r="15">
      <c r="A15" t="inlineStr">
        <is>
          <t>ddd-07</t>
        </is>
      </c>
      <c r="B15" t="inlineStr">
        <is>
          <t>Major</t>
        </is>
      </c>
      <c r="C15" t="inlineStr">
        <is>
          <t>Mutable Collection Leaked from Aggregate</t>
        </is>
      </c>
      <c r="D15">
        <f>COUNTIFS(data_hits!$A:$A,"archon-search",data_hits!$C:$C,$A15)</f>
        <v/>
      </c>
      <c r="E15">
        <f>SUM(D15:D15)</f>
        <v/>
      </c>
      <c r="F15">
        <f>G15+H15</f>
        <v/>
      </c>
      <c r="G15">
        <f>COUNTIFS(data_adj!$A:$A,"archon-search",data_adj!$C:$C,$A15,data_adj!$E:$E,"TP")</f>
        <v/>
      </c>
      <c r="H15">
        <f>COUNTIFS(data_adj!$A:$A,"archon-search",data_adj!$C:$C,$A15,data_adj!$E:$E,"FP")</f>
        <v/>
      </c>
      <c r="I15">
        <f>IF(F15=0,"",ROUND(100*G15/F15,1))</f>
        <v/>
      </c>
      <c r="J15">
        <f>COUNTIFS(data_llm!$A:$A,"archon-search",data_llm!$C:$C,$A15)</f>
        <v/>
      </c>
      <c r="K15">
        <f>COUNTIFS(data_llm!$A:$A,"archon-search",data_llm!$C:$C,$A15,data_llm!$F:$F,TRUE)</f>
        <v/>
      </c>
      <c r="L15">
        <f>J15-K15</f>
        <v/>
      </c>
      <c r="M15">
        <f>IF(J15=0,"",ROUND(100*K15/J15,1))</f>
        <v/>
      </c>
      <c r="N15">
        <f>IF(F15=0,"",ROUND(E15*G15/F15,0))</f>
        <v/>
      </c>
    </row>
    <row r="16">
      <c r="A16" t="inlineStr">
        <is>
          <t>safety-01</t>
        </is>
      </c>
      <c r="B16" t="inlineStr">
        <is>
          <t>Critical</t>
        </is>
      </c>
      <c r="C16" t="inlineStr">
        <is>
          <t>Resource Leak</t>
        </is>
      </c>
      <c r="D16">
        <f>COUNTIFS(data_hits!$A:$A,"archon-search",data_hits!$C:$C,$A16)</f>
        <v/>
      </c>
      <c r="E16">
        <f>SUM(D16:D16)</f>
        <v/>
      </c>
      <c r="F16">
        <f>G16+H16</f>
        <v/>
      </c>
      <c r="G16">
        <f>COUNTIFS(data_adj!$A:$A,"archon-search",data_adj!$C:$C,$A16,data_adj!$E:$E,"TP")</f>
        <v/>
      </c>
      <c r="H16">
        <f>COUNTIFS(data_adj!$A:$A,"archon-search",data_adj!$C:$C,$A16,data_adj!$E:$E,"FP")</f>
        <v/>
      </c>
      <c r="I16">
        <f>IF(F16=0,"",ROUND(100*G16/F16,1))</f>
        <v/>
      </c>
      <c r="J16">
        <f>COUNTIFS(data_llm!$A:$A,"archon-search",data_llm!$C:$C,$A16)</f>
        <v/>
      </c>
      <c r="K16">
        <f>COUNTIFS(data_llm!$A:$A,"archon-search",data_llm!$C:$C,$A16,data_llm!$F:$F,TRUE)</f>
        <v/>
      </c>
      <c r="L16">
        <f>J16-K16</f>
        <v/>
      </c>
      <c r="M16">
        <f>IF(J16=0,"",ROUND(100*K16/J16,1))</f>
        <v/>
      </c>
      <c r="N16">
        <f>IF(F16=0,"",ROUND(E16*G16/F16,0))</f>
        <v/>
      </c>
    </row>
    <row r="17">
      <c r="A17" t="inlineStr">
        <is>
          <t>safety-02</t>
        </is>
      </c>
      <c r="B17" t="inlineStr">
        <is>
          <t>Critical</t>
        </is>
      </c>
      <c r="C17" t="inlineStr">
        <is>
          <t>Unsafe Null Dereference / Force Unwrap</t>
        </is>
      </c>
      <c r="D17">
        <f>COUNTIFS(data_hits!$A:$A,"archon-search",data_hits!$C:$C,$A17)</f>
        <v/>
      </c>
      <c r="E17">
        <f>SUM(D17:D17)</f>
        <v/>
      </c>
      <c r="F17">
        <f>G17+H17</f>
        <v/>
      </c>
      <c r="G17">
        <f>COUNTIFS(data_adj!$A:$A,"archon-search",data_adj!$C:$C,$A17,data_adj!$E:$E,"TP")</f>
        <v/>
      </c>
      <c r="H17">
        <f>COUNTIFS(data_adj!$A:$A,"archon-search",data_adj!$C:$C,$A17,data_adj!$E:$E,"FP")</f>
        <v/>
      </c>
      <c r="I17">
        <f>IF(F17=0,"",ROUND(100*G17/F17,1))</f>
        <v/>
      </c>
      <c r="J17">
        <f>COUNTIFS(data_llm!$A:$A,"archon-search",data_llm!$C:$C,$A17)</f>
        <v/>
      </c>
      <c r="K17">
        <f>COUNTIFS(data_llm!$A:$A,"archon-search",data_llm!$C:$C,$A17,data_llm!$F:$F,TRUE)</f>
        <v/>
      </c>
      <c r="L17">
        <f>J17-K17</f>
        <v/>
      </c>
      <c r="M17">
        <f>IF(J17=0,"",ROUND(100*K17/J17,1))</f>
        <v/>
      </c>
      <c r="N17">
        <f>IF(F17=0,"",ROUND(E17*G17/F17,0))</f>
        <v/>
      </c>
    </row>
    <row r="18">
      <c r="A18" t="inlineStr">
        <is>
          <t>safety-03</t>
        </is>
      </c>
      <c r="B18" t="inlineStr">
        <is>
          <t>Major</t>
        </is>
      </c>
      <c r="C18" t="inlineStr">
        <is>
          <t>Fire-and-Forget Async Without Error Handling</t>
        </is>
      </c>
      <c r="D18">
        <f>COUNTIFS(data_hits!$A:$A,"archon-search",data_hits!$C:$C,$A18)</f>
        <v/>
      </c>
      <c r="E18">
        <f>SUM(D18:D18)</f>
        <v/>
      </c>
      <c r="F18">
        <f>G18+H18</f>
        <v/>
      </c>
      <c r="G18">
        <f>COUNTIFS(data_adj!$A:$A,"archon-search",data_adj!$C:$C,$A18,data_adj!$E:$E,"TP")</f>
        <v/>
      </c>
      <c r="H18">
        <f>COUNTIFS(data_adj!$A:$A,"archon-search",data_adj!$C:$C,$A18,data_adj!$E:$E,"FP")</f>
        <v/>
      </c>
      <c r="I18">
        <f>IF(F18=0,"",ROUND(100*G18/F18,1))</f>
        <v/>
      </c>
      <c r="J18">
        <f>COUNTIFS(data_llm!$A:$A,"archon-search",data_llm!$C:$C,$A18)</f>
        <v/>
      </c>
      <c r="K18">
        <f>COUNTIFS(data_llm!$A:$A,"archon-search",data_llm!$C:$C,$A18,data_llm!$F:$F,TRUE)</f>
        <v/>
      </c>
      <c r="L18">
        <f>J18-K18</f>
        <v/>
      </c>
      <c r="M18">
        <f>IF(J18=0,"",ROUND(100*K18/J18,1))</f>
        <v/>
      </c>
      <c r="N18">
        <f>IF(F18=0,"",ROUND(E18*G18/F18,0))</f>
        <v/>
      </c>
    </row>
    <row r="19">
      <c r="A19" t="inlineStr">
        <is>
          <t>safety-05</t>
        </is>
      </c>
      <c r="B19" t="inlineStr">
        <is>
          <t>Critical</t>
        </is>
      </c>
      <c r="C19" t="inlineStr">
        <is>
          <t>Check-Then-Act Race Condition</t>
        </is>
      </c>
      <c r="D19">
        <f>COUNTIFS(data_hits!$A:$A,"archon-search",data_hits!$C:$C,$A19)</f>
        <v/>
      </c>
      <c r="E19">
        <f>SUM(D19:D19)</f>
        <v/>
      </c>
      <c r="F19">
        <f>G19+H19</f>
        <v/>
      </c>
      <c r="G19">
        <f>COUNTIFS(data_adj!$A:$A,"archon-search",data_adj!$C:$C,$A19,data_adj!$E:$E,"TP")</f>
        <v/>
      </c>
      <c r="H19">
        <f>COUNTIFS(data_adj!$A:$A,"archon-search",data_adj!$C:$C,$A19,data_adj!$E:$E,"FP")</f>
        <v/>
      </c>
      <c r="I19">
        <f>IF(F19=0,"",ROUND(100*G19/F19,1))</f>
        <v/>
      </c>
      <c r="J19">
        <f>COUNTIFS(data_llm!$A:$A,"archon-search",data_llm!$C:$C,$A19)</f>
        <v/>
      </c>
      <c r="K19">
        <f>COUNTIFS(data_llm!$A:$A,"archon-search",data_llm!$C:$C,$A19,data_llm!$F:$F,TRUE)</f>
        <v/>
      </c>
      <c r="L19">
        <f>J19-K19</f>
        <v/>
      </c>
      <c r="M19">
        <f>IF(J19=0,"",ROUND(100*K19/J19,1))</f>
        <v/>
      </c>
      <c r="N19">
        <f>IF(F19=0,"",ROUND(E19*G19/F19,0))</f>
        <v/>
      </c>
    </row>
    <row r="20">
      <c r="A20" t="inlineStr">
        <is>
          <t>safety-06</t>
        </is>
      </c>
      <c r="B20" t="inlineStr">
        <is>
          <t>Major</t>
        </is>
      </c>
      <c r="C20" t="inlineStr">
        <is>
          <t>Blocking I/O in Async Context</t>
        </is>
      </c>
      <c r="D20">
        <f>COUNTIFS(data_hits!$A:$A,"archon-search",data_hits!$C:$C,$A20)</f>
        <v/>
      </c>
      <c r="E20">
        <f>SUM(D20:D20)</f>
        <v/>
      </c>
      <c r="F20">
        <f>G20+H20</f>
        <v/>
      </c>
      <c r="G20">
        <f>COUNTIFS(data_adj!$A:$A,"archon-search",data_adj!$C:$C,$A20,data_adj!$E:$E,"TP")</f>
        <v/>
      </c>
      <c r="H20">
        <f>COUNTIFS(data_adj!$A:$A,"archon-search",data_adj!$C:$C,$A20,data_adj!$E:$E,"FP")</f>
        <v/>
      </c>
      <c r="I20">
        <f>IF(F20=0,"",ROUND(100*G20/F20,1))</f>
        <v/>
      </c>
      <c r="J20">
        <f>COUNTIFS(data_llm!$A:$A,"archon-search",data_llm!$C:$C,$A20)</f>
        <v/>
      </c>
      <c r="K20">
        <f>COUNTIFS(data_llm!$A:$A,"archon-search",data_llm!$C:$C,$A20,data_llm!$F:$F,TRUE)</f>
        <v/>
      </c>
      <c r="L20">
        <f>J20-K20</f>
        <v/>
      </c>
      <c r="M20">
        <f>IF(J20=0,"",ROUND(100*K20/J20,1))</f>
        <v/>
      </c>
      <c r="N20">
        <f>IF(F20=0,"",ROUND(E20*G20/F20,0))</f>
        <v/>
      </c>
    </row>
    <row r="21">
      <c r="A21" t="inlineStr">
        <is>
          <t>safety-07</t>
        </is>
      </c>
      <c r="B21" t="inlineStr">
        <is>
          <t>Moderate</t>
        </is>
      </c>
      <c r="C21" t="inlineStr">
        <is>
          <t>Suppressed Compiler/Linter Warnings</t>
        </is>
      </c>
      <c r="D21">
        <f>COUNTIFS(data_hits!$A:$A,"archon-search",data_hits!$C:$C,$A21)</f>
        <v/>
      </c>
      <c r="E21">
        <f>SUM(D21:D21)</f>
        <v/>
      </c>
      <c r="F21">
        <f>G21+H21</f>
        <v/>
      </c>
      <c r="G21">
        <f>COUNTIFS(data_adj!$A:$A,"archon-search",data_adj!$C:$C,$A21,data_adj!$E:$E,"TP")</f>
        <v/>
      </c>
      <c r="H21">
        <f>COUNTIFS(data_adj!$A:$A,"archon-search",data_adj!$C:$C,$A21,data_adj!$E:$E,"FP")</f>
        <v/>
      </c>
      <c r="I21">
        <f>IF(F21=0,"",ROUND(100*G21/F21,1))</f>
        <v/>
      </c>
      <c r="J21">
        <f>COUNTIFS(data_llm!$A:$A,"archon-search",data_llm!$C:$C,$A21)</f>
        <v/>
      </c>
      <c r="K21">
        <f>COUNTIFS(data_llm!$A:$A,"archon-search",data_llm!$C:$C,$A21,data_llm!$F:$F,TRUE)</f>
        <v/>
      </c>
      <c r="L21">
        <f>J21-K21</f>
        <v/>
      </c>
      <c r="M21">
        <f>IF(J21=0,"",ROUND(100*K21/J21,1))</f>
        <v/>
      </c>
      <c r="N21">
        <f>IF(F21=0,"",ROUND(E21*G21/F21,0))</f>
        <v/>
      </c>
    </row>
    <row r="22">
      <c r="A22" t="inlineStr">
        <is>
          <t>safety-08</t>
        </is>
      </c>
      <c r="B22" t="inlineStr">
        <is>
          <t>Major</t>
        </is>
      </c>
      <c r="C22" t="inlineStr">
        <is>
          <t>External Call Without Timeout or Cancellation</t>
        </is>
      </c>
      <c r="D22">
        <f>COUNTIFS(data_hits!$A:$A,"archon-search",data_hits!$C:$C,$A22)</f>
        <v/>
      </c>
      <c r="E22">
        <f>SUM(D22:D22)</f>
        <v/>
      </c>
      <c r="F22">
        <f>G22+H22</f>
        <v/>
      </c>
      <c r="G22">
        <f>COUNTIFS(data_adj!$A:$A,"archon-search",data_adj!$C:$C,$A22,data_adj!$E:$E,"TP")</f>
        <v/>
      </c>
      <c r="H22">
        <f>COUNTIFS(data_adj!$A:$A,"archon-search",data_adj!$C:$C,$A22,data_adj!$E:$E,"FP")</f>
        <v/>
      </c>
      <c r="I22">
        <f>IF(F22=0,"",ROUND(100*G22/F22,1))</f>
        <v/>
      </c>
      <c r="J22">
        <f>COUNTIFS(data_llm!$A:$A,"archon-search",data_llm!$C:$C,$A22)</f>
        <v/>
      </c>
      <c r="K22">
        <f>COUNTIFS(data_llm!$A:$A,"archon-search",data_llm!$C:$C,$A22,data_llm!$F:$F,TRUE)</f>
        <v/>
      </c>
      <c r="L22">
        <f>J22-K22</f>
        <v/>
      </c>
      <c r="M22">
        <f>IF(J22=0,"",ROUND(100*K22/J22,1))</f>
        <v/>
      </c>
      <c r="N22">
        <f>IF(F22=0,"",ROUND(E22*G22/F22,0))</f>
        <v/>
      </c>
    </row>
    <row r="23">
      <c r="A23" t="inlineStr">
        <is>
          <t>safety-09</t>
        </is>
      </c>
      <c r="B23" t="inlineStr">
        <is>
          <t>Critical</t>
        </is>
      </c>
      <c r="C23" t="inlineStr">
        <is>
          <t>Fire-and-Forget Async Method Declaration</t>
        </is>
      </c>
      <c r="D23">
        <f>COUNTIFS(data_hits!$A:$A,"archon-search",data_hits!$C:$C,$A23)</f>
        <v/>
      </c>
      <c r="E23">
        <f>SUM(D23:D23)</f>
        <v/>
      </c>
      <c r="F23">
        <f>G23+H23</f>
        <v/>
      </c>
      <c r="G23">
        <f>COUNTIFS(data_adj!$A:$A,"archon-search",data_adj!$C:$C,$A23,data_adj!$E:$E,"TP")</f>
        <v/>
      </c>
      <c r="H23">
        <f>COUNTIFS(data_adj!$A:$A,"archon-search",data_adj!$C:$C,$A23,data_adj!$E:$E,"FP")</f>
        <v/>
      </c>
      <c r="I23">
        <f>IF(F23=0,"",ROUND(100*G23/F23,1))</f>
        <v/>
      </c>
      <c r="J23">
        <f>COUNTIFS(data_llm!$A:$A,"archon-search",data_llm!$C:$C,$A23)</f>
        <v/>
      </c>
      <c r="K23">
        <f>COUNTIFS(data_llm!$A:$A,"archon-search",data_llm!$C:$C,$A23,data_llm!$F:$F,TRUE)</f>
        <v/>
      </c>
      <c r="L23">
        <f>J23-K23</f>
        <v/>
      </c>
      <c r="M23">
        <f>IF(J23=0,"",ROUND(100*K23/J23,1))</f>
        <v/>
      </c>
      <c r="N23">
        <f>IF(F23=0,"",ROUND(E23*G23/F23,0))</f>
        <v/>
      </c>
    </row>
    <row r="24">
      <c r="A24" t="inlineStr">
        <is>
          <t>safety-10</t>
        </is>
      </c>
      <c r="B24" t="inlineStr">
        <is>
          <t>Major</t>
        </is>
      </c>
      <c r="C24" t="inlineStr">
        <is>
          <t>Exception Cause Discarded on Rethrow</t>
        </is>
      </c>
      <c r="D24">
        <f>COUNTIFS(data_hits!$A:$A,"archon-search",data_hits!$C:$C,$A24)</f>
        <v/>
      </c>
      <c r="E24">
        <f>SUM(D24:D24)</f>
        <v/>
      </c>
      <c r="F24">
        <f>G24+H24</f>
        <v/>
      </c>
      <c r="G24">
        <f>COUNTIFS(data_adj!$A:$A,"archon-search",data_adj!$C:$C,$A24,data_adj!$E:$E,"TP")</f>
        <v/>
      </c>
      <c r="H24">
        <f>COUNTIFS(data_adj!$A:$A,"archon-search",data_adj!$C:$C,$A24,data_adj!$E:$E,"FP")</f>
        <v/>
      </c>
      <c r="I24">
        <f>IF(F24=0,"",ROUND(100*G24/F24,1))</f>
        <v/>
      </c>
      <c r="J24">
        <f>COUNTIFS(data_llm!$A:$A,"archon-search",data_llm!$C:$C,$A24)</f>
        <v/>
      </c>
      <c r="K24">
        <f>COUNTIFS(data_llm!$A:$A,"archon-search",data_llm!$C:$C,$A24,data_llm!$F:$F,TRUE)</f>
        <v/>
      </c>
      <c r="L24">
        <f>J24-K24</f>
        <v/>
      </c>
      <c r="M24">
        <f>IF(J24=0,"",ROUND(100*K24/J24,1))</f>
        <v/>
      </c>
      <c r="N24">
        <f>IF(F24=0,"",ROUND(E24*G24/F24,0))</f>
        <v/>
      </c>
    </row>
    <row r="25">
      <c r="A25" t="inlineStr">
        <is>
          <t>safety-11</t>
        </is>
      </c>
      <c r="B25" t="inlineStr">
        <is>
          <t>Major</t>
        </is>
      </c>
      <c r="C25" t="inlineStr">
        <is>
          <t>Unabstracted Clock, Randomness, or Identifier in Production Code</t>
        </is>
      </c>
      <c r="D25">
        <f>COUNTIFS(data_hits!$A:$A,"archon-search",data_hits!$C:$C,$A25)</f>
        <v/>
      </c>
      <c r="E25">
        <f>SUM(D25:D25)</f>
        <v/>
      </c>
      <c r="F25">
        <f>G25+H25</f>
        <v/>
      </c>
      <c r="G25">
        <f>COUNTIFS(data_adj!$A:$A,"archon-search",data_adj!$C:$C,$A25,data_adj!$E:$E,"TP")</f>
        <v/>
      </c>
      <c r="H25">
        <f>COUNTIFS(data_adj!$A:$A,"archon-search",data_adj!$C:$C,$A25,data_adj!$E:$E,"FP")</f>
        <v/>
      </c>
      <c r="I25">
        <f>IF(F25=0,"",ROUND(100*G25/F25,1))</f>
        <v/>
      </c>
      <c r="J25">
        <f>COUNTIFS(data_llm!$A:$A,"archon-search",data_llm!$C:$C,$A25)</f>
        <v/>
      </c>
      <c r="K25">
        <f>COUNTIFS(data_llm!$A:$A,"archon-search",data_llm!$C:$C,$A25,data_llm!$F:$F,TRUE)</f>
        <v/>
      </c>
      <c r="L25">
        <f>J25-K25</f>
        <v/>
      </c>
      <c r="M25">
        <f>IF(J25=0,"",ROUND(100*K25/J25,1))</f>
        <v/>
      </c>
      <c r="N25">
        <f>IF(F25=0,"",ROUND(E25*G25/F25,0))</f>
        <v/>
      </c>
    </row>
    <row r="26">
      <c r="A26" t="inlineStr">
        <is>
          <t>safety-12</t>
        </is>
      </c>
      <c r="B26" t="inlineStr">
        <is>
          <t>Major</t>
        </is>
      </c>
      <c r="C26" t="inlineStr">
        <is>
          <t>Mutable Default Parameter Value</t>
        </is>
      </c>
      <c r="D26">
        <f>COUNTIFS(data_hits!$A:$A,"archon-search",data_hits!$C:$C,$A26)</f>
        <v/>
      </c>
      <c r="E26">
        <f>SUM(D26:D26)</f>
        <v/>
      </c>
      <c r="F26">
        <f>G26+H26</f>
        <v/>
      </c>
      <c r="G26">
        <f>COUNTIFS(data_adj!$A:$A,"archon-search",data_adj!$C:$C,$A26,data_adj!$E:$E,"TP")</f>
        <v/>
      </c>
      <c r="H26">
        <f>COUNTIFS(data_adj!$A:$A,"archon-search",data_adj!$C:$C,$A26,data_adj!$E:$E,"FP")</f>
        <v/>
      </c>
      <c r="I26">
        <f>IF(F26=0,"",ROUND(100*G26/F26,1))</f>
        <v/>
      </c>
      <c r="J26">
        <f>COUNTIFS(data_llm!$A:$A,"archon-search",data_llm!$C:$C,$A26)</f>
        <v/>
      </c>
      <c r="K26">
        <f>COUNTIFS(data_llm!$A:$A,"archon-search",data_llm!$C:$C,$A26,data_llm!$F:$F,TRUE)</f>
        <v/>
      </c>
      <c r="L26">
        <f>J26-K26</f>
        <v/>
      </c>
      <c r="M26">
        <f>IF(J26=0,"",ROUND(100*K26/J26,1))</f>
        <v/>
      </c>
      <c r="N26">
        <f>IF(F26=0,"",ROUND(E26*G26/F26,0))</f>
        <v/>
      </c>
    </row>
    <row r="27">
      <c r="A27" t="inlineStr">
        <is>
          <t>safety-13</t>
        </is>
      </c>
      <c r="B27" t="inlineStr">
        <is>
          <t>Major</t>
        </is>
      </c>
      <c r="C27" t="inlineStr">
        <is>
          <t>Assertion Used as Production Validation</t>
        </is>
      </c>
      <c r="D27">
        <f>COUNTIFS(data_hits!$A:$A,"archon-search",data_hits!$C:$C,$A27)</f>
        <v/>
      </c>
      <c r="E27">
        <f>SUM(D27:D27)</f>
        <v/>
      </c>
      <c r="F27">
        <f>G27+H27</f>
        <v/>
      </c>
      <c r="G27">
        <f>COUNTIFS(data_adj!$A:$A,"archon-search",data_adj!$C:$C,$A27,data_adj!$E:$E,"TP")</f>
        <v/>
      </c>
      <c r="H27">
        <f>COUNTIFS(data_adj!$A:$A,"archon-search",data_adj!$C:$C,$A27,data_adj!$E:$E,"FP")</f>
        <v/>
      </c>
      <c r="I27">
        <f>IF(F27=0,"",ROUND(100*G27/F27,1))</f>
        <v/>
      </c>
      <c r="J27">
        <f>COUNTIFS(data_llm!$A:$A,"archon-search",data_llm!$C:$C,$A27)</f>
        <v/>
      </c>
      <c r="K27">
        <f>COUNTIFS(data_llm!$A:$A,"archon-search",data_llm!$C:$C,$A27,data_llm!$F:$F,TRUE)</f>
        <v/>
      </c>
      <c r="L27">
        <f>J27-K27</f>
        <v/>
      </c>
      <c r="M27">
        <f>IF(J27=0,"",ROUND(100*K27/J27,1))</f>
        <v/>
      </c>
      <c r="N27">
        <f>IF(F27=0,"",ROUND(E27*G27/F27,0))</f>
        <v/>
      </c>
    </row>
    <row r="28">
      <c r="A28" t="inlineStr">
        <is>
          <t>safety-14</t>
        </is>
      </c>
      <c r="B28" t="inlineStr">
        <is>
          <t>Critical</t>
        </is>
      </c>
      <c r="C28" t="inlineStr">
        <is>
          <t>Hardcoded Credential</t>
        </is>
      </c>
      <c r="D28">
        <f>COUNTIFS(data_hits!$A:$A,"archon-search",data_hits!$C:$C,$A28)</f>
        <v/>
      </c>
      <c r="E28">
        <f>SUM(D28:D28)</f>
        <v/>
      </c>
      <c r="F28">
        <f>G28+H28</f>
        <v/>
      </c>
      <c r="G28">
        <f>COUNTIFS(data_adj!$A:$A,"archon-search",data_adj!$C:$C,$A28,data_adj!$E:$E,"TP")</f>
        <v/>
      </c>
      <c r="H28">
        <f>COUNTIFS(data_adj!$A:$A,"archon-search",data_adj!$C:$C,$A28,data_adj!$E:$E,"FP")</f>
        <v/>
      </c>
      <c r="I28">
        <f>IF(F28=0,"",ROUND(100*G28/F28,1))</f>
        <v/>
      </c>
      <c r="J28">
        <f>COUNTIFS(data_llm!$A:$A,"archon-search",data_llm!$C:$C,$A28)</f>
        <v/>
      </c>
      <c r="K28">
        <f>COUNTIFS(data_llm!$A:$A,"archon-search",data_llm!$C:$C,$A28,data_llm!$F:$F,TRUE)</f>
        <v/>
      </c>
      <c r="L28">
        <f>J28-K28</f>
        <v/>
      </c>
      <c r="M28">
        <f>IF(J28=0,"",ROUND(100*K28/J28,1))</f>
        <v/>
      </c>
      <c r="N28">
        <f>IF(F28=0,"",ROUND(E28*G28/F28,0))</f>
        <v/>
      </c>
    </row>
    <row r="29">
      <c r="A29" t="inlineStr">
        <is>
          <t>safety-15</t>
        </is>
      </c>
      <c r="B29" t="inlineStr">
        <is>
          <t>Critical</t>
        </is>
      </c>
      <c r="C29" t="inlineStr">
        <is>
          <t>Query Built by String Concatenation</t>
        </is>
      </c>
      <c r="D29">
        <f>COUNTIFS(data_hits!$A:$A,"archon-search",data_hits!$C:$C,$A29)</f>
        <v/>
      </c>
      <c r="E29">
        <f>SUM(D29:D29)</f>
        <v/>
      </c>
      <c r="F29">
        <f>G29+H29</f>
        <v/>
      </c>
      <c r="G29">
        <f>COUNTIFS(data_adj!$A:$A,"archon-search",data_adj!$C:$C,$A29,data_adj!$E:$E,"TP")</f>
        <v/>
      </c>
      <c r="H29">
        <f>COUNTIFS(data_adj!$A:$A,"archon-search",data_adj!$C:$C,$A29,data_adj!$E:$E,"FP")</f>
        <v/>
      </c>
      <c r="I29">
        <f>IF(F29=0,"",ROUND(100*G29/F29,1))</f>
        <v/>
      </c>
      <c r="J29">
        <f>COUNTIFS(data_llm!$A:$A,"archon-search",data_llm!$C:$C,$A29)</f>
        <v/>
      </c>
      <c r="K29">
        <f>COUNTIFS(data_llm!$A:$A,"archon-search",data_llm!$C:$C,$A29,data_llm!$F:$F,TRUE)</f>
        <v/>
      </c>
      <c r="L29">
        <f>J29-K29</f>
        <v/>
      </c>
      <c r="M29">
        <f>IF(J29=0,"",ROUND(100*K29/J29,1))</f>
        <v/>
      </c>
      <c r="N29">
        <f>IF(F29=0,"",ROUND(E29*G29/F29,0))</f>
        <v/>
      </c>
    </row>
    <row r="30">
      <c r="A30" t="inlineStr">
        <is>
          <t>safety-16</t>
        </is>
      </c>
      <c r="B30" t="inlineStr">
        <is>
          <t>Major</t>
        </is>
      </c>
      <c r="C30" t="inlineStr">
        <is>
          <t>Money Held in a Binary Floating-Point Type</t>
        </is>
      </c>
      <c r="D30">
        <f>COUNTIFS(data_hits!$A:$A,"archon-search",data_hits!$C:$C,$A30)</f>
        <v/>
      </c>
      <c r="E30">
        <f>SUM(D30:D30)</f>
        <v/>
      </c>
      <c r="F30">
        <f>G30+H30</f>
        <v/>
      </c>
      <c r="G30">
        <f>COUNTIFS(data_adj!$A:$A,"archon-search",data_adj!$C:$C,$A30,data_adj!$E:$E,"TP")</f>
        <v/>
      </c>
      <c r="H30">
        <f>COUNTIFS(data_adj!$A:$A,"archon-search",data_adj!$C:$C,$A30,data_adj!$E:$E,"FP")</f>
        <v/>
      </c>
      <c r="I30">
        <f>IF(F30=0,"",ROUND(100*G30/F30,1))</f>
        <v/>
      </c>
      <c r="J30">
        <f>COUNTIFS(data_llm!$A:$A,"archon-search",data_llm!$C:$C,$A30)</f>
        <v/>
      </c>
      <c r="K30">
        <f>COUNTIFS(data_llm!$A:$A,"archon-search",data_llm!$C:$C,$A30,data_llm!$F:$F,TRUE)</f>
        <v/>
      </c>
      <c r="L30">
        <f>J30-K30</f>
        <v/>
      </c>
      <c r="M30">
        <f>IF(J30=0,"",ROUND(100*K30/J30,1))</f>
        <v/>
      </c>
      <c r="N30">
        <f>IF(F30=0,"",ROUND(E30*G30/F30,0))</f>
        <v/>
      </c>
    </row>
    <row r="31">
      <c r="A31" t="inlineStr">
        <is>
          <t>safety-17</t>
        </is>
      </c>
      <c r="B31" t="inlineStr">
        <is>
          <t>Critical</t>
        </is>
      </c>
      <c r="C31" t="inlineStr">
        <is>
          <t>Weak or Broken Cryptographic Primitive</t>
        </is>
      </c>
      <c r="D31">
        <f>COUNTIFS(data_hits!$A:$A,"archon-search",data_hits!$C:$C,$A31)</f>
        <v/>
      </c>
      <c r="E31">
        <f>SUM(D31:D31)</f>
        <v/>
      </c>
      <c r="F31">
        <f>G31+H31</f>
        <v/>
      </c>
      <c r="G31">
        <f>COUNTIFS(data_adj!$A:$A,"archon-search",data_adj!$C:$C,$A31,data_adj!$E:$E,"TP")</f>
        <v/>
      </c>
      <c r="H31">
        <f>COUNTIFS(data_adj!$A:$A,"archon-search",data_adj!$C:$C,$A31,data_adj!$E:$E,"FP")</f>
        <v/>
      </c>
      <c r="I31">
        <f>IF(F31=0,"",ROUND(100*G31/F31,1))</f>
        <v/>
      </c>
      <c r="J31">
        <f>COUNTIFS(data_llm!$A:$A,"archon-search",data_llm!$C:$C,$A31)</f>
        <v/>
      </c>
      <c r="K31">
        <f>COUNTIFS(data_llm!$A:$A,"archon-search",data_llm!$C:$C,$A31,data_llm!$F:$F,TRUE)</f>
        <v/>
      </c>
      <c r="L31">
        <f>J31-K31</f>
        <v/>
      </c>
      <c r="M31">
        <f>IF(J31=0,"",ROUND(100*K31/J31,1))</f>
        <v/>
      </c>
      <c r="N31">
        <f>IF(F31=0,"",ROUND(E31*G31/F31,0))</f>
        <v/>
      </c>
    </row>
    <row r="32">
      <c r="A32" t="inlineStr">
        <is>
          <t>safety-18</t>
        </is>
      </c>
      <c r="B32" t="inlineStr">
        <is>
          <t>Critical</t>
        </is>
      </c>
      <c r="C32" t="inlineStr">
        <is>
          <t>TLS or Certificate Verification Disabled</t>
        </is>
      </c>
      <c r="D32">
        <f>COUNTIFS(data_hits!$A:$A,"archon-search",data_hits!$C:$C,$A32)</f>
        <v/>
      </c>
      <c r="E32">
        <f>SUM(D32:D32)</f>
        <v/>
      </c>
      <c r="F32">
        <f>G32+H32</f>
        <v/>
      </c>
      <c r="G32">
        <f>COUNTIFS(data_adj!$A:$A,"archon-search",data_adj!$C:$C,$A32,data_adj!$E:$E,"TP")</f>
        <v/>
      </c>
      <c r="H32">
        <f>COUNTIFS(data_adj!$A:$A,"archon-search",data_adj!$C:$C,$A32,data_adj!$E:$E,"FP")</f>
        <v/>
      </c>
      <c r="I32">
        <f>IF(F32=0,"",ROUND(100*G32/F32,1))</f>
        <v/>
      </c>
      <c r="J32">
        <f>COUNTIFS(data_llm!$A:$A,"archon-search",data_llm!$C:$C,$A32)</f>
        <v/>
      </c>
      <c r="K32">
        <f>COUNTIFS(data_llm!$A:$A,"archon-search",data_llm!$C:$C,$A32,data_llm!$F:$F,TRUE)</f>
        <v/>
      </c>
      <c r="L32">
        <f>J32-K32</f>
        <v/>
      </c>
      <c r="M32">
        <f>IF(J32=0,"",ROUND(100*K32/J32,1))</f>
        <v/>
      </c>
      <c r="N32">
        <f>IF(F32=0,"",ROUND(E32*G32/F32,0))</f>
        <v/>
      </c>
    </row>
    <row r="33">
      <c r="A33" t="inlineStr">
        <is>
          <t>safety-19</t>
        </is>
      </c>
      <c r="B33" t="inlineStr">
        <is>
          <t>Critical</t>
        </is>
      </c>
      <c r="C33" t="inlineStr">
        <is>
          <t>OS Command or Code Injection Surface</t>
        </is>
      </c>
      <c r="D33">
        <f>COUNTIFS(data_hits!$A:$A,"archon-search",data_hits!$C:$C,$A33)</f>
        <v/>
      </c>
      <c r="E33">
        <f>SUM(D33:D33)</f>
        <v/>
      </c>
      <c r="F33">
        <f>G33+H33</f>
        <v/>
      </c>
      <c r="G33">
        <f>COUNTIFS(data_adj!$A:$A,"archon-search",data_adj!$C:$C,$A33,data_adj!$E:$E,"TP")</f>
        <v/>
      </c>
      <c r="H33">
        <f>COUNTIFS(data_adj!$A:$A,"archon-search",data_adj!$C:$C,$A33,data_adj!$E:$E,"FP")</f>
        <v/>
      </c>
      <c r="I33">
        <f>IF(F33=0,"",ROUND(100*G33/F33,1))</f>
        <v/>
      </c>
      <c r="J33">
        <f>COUNTIFS(data_llm!$A:$A,"archon-search",data_llm!$C:$C,$A33)</f>
        <v/>
      </c>
      <c r="K33">
        <f>COUNTIFS(data_llm!$A:$A,"archon-search",data_llm!$C:$C,$A33,data_llm!$F:$F,TRUE)</f>
        <v/>
      </c>
      <c r="L33">
        <f>J33-K33</f>
        <v/>
      </c>
      <c r="M33">
        <f>IF(J33=0,"",ROUND(100*K33/J33,1))</f>
        <v/>
      </c>
      <c r="N33">
        <f>IF(F33=0,"",ROUND(E33*G33/F33,0))</f>
        <v/>
      </c>
    </row>
    <row r="34">
      <c r="A34" t="inlineStr">
        <is>
          <t>safety-20</t>
        </is>
      </c>
      <c r="B34" t="inlineStr">
        <is>
          <t>Critical</t>
        </is>
      </c>
      <c r="C34" t="inlineStr">
        <is>
          <t>Unsafe Deserialization of Untrusted Data</t>
        </is>
      </c>
      <c r="D34">
        <f>COUNTIFS(data_hits!$A:$A,"archon-search",data_hits!$C:$C,$A34)</f>
        <v/>
      </c>
      <c r="E34">
        <f>SUM(D34:D34)</f>
        <v/>
      </c>
      <c r="F34">
        <f>G34+H34</f>
        <v/>
      </c>
      <c r="G34">
        <f>COUNTIFS(data_adj!$A:$A,"archon-search",data_adj!$C:$C,$A34,data_adj!$E:$E,"TP")</f>
        <v/>
      </c>
      <c r="H34">
        <f>COUNTIFS(data_adj!$A:$A,"archon-search",data_adj!$C:$C,$A34,data_adj!$E:$E,"FP")</f>
        <v/>
      </c>
      <c r="I34">
        <f>IF(F34=0,"",ROUND(100*G34/F34,1))</f>
        <v/>
      </c>
      <c r="J34">
        <f>COUNTIFS(data_llm!$A:$A,"archon-search",data_llm!$C:$C,$A34)</f>
        <v/>
      </c>
      <c r="K34">
        <f>COUNTIFS(data_llm!$A:$A,"archon-search",data_llm!$C:$C,$A34,data_llm!$F:$F,TRUE)</f>
        <v/>
      </c>
      <c r="L34">
        <f>J34-K34</f>
        <v/>
      </c>
      <c r="M34">
        <f>IF(J34=0,"",ROUND(100*K34/J34,1))</f>
        <v/>
      </c>
      <c r="N34">
        <f>IF(F34=0,"",ROUND(E34*G34/F34,0))</f>
        <v/>
      </c>
    </row>
    <row r="35">
      <c r="A35" t="inlineStr">
        <is>
          <t>safety-21</t>
        </is>
      </c>
      <c r="B35" t="inlineStr">
        <is>
          <t>Major</t>
        </is>
      </c>
      <c r="C35" t="inlineStr">
        <is>
          <t>String or Object Compared by Reference in Java</t>
        </is>
      </c>
      <c r="D35">
        <f>COUNTIFS(data_hits!$A:$A,"archon-search",data_hits!$C:$C,$A35)</f>
        <v/>
      </c>
      <c r="E35">
        <f>SUM(D35:D35)</f>
        <v/>
      </c>
      <c r="F35">
        <f>G35+H35</f>
        <v/>
      </c>
      <c r="G35">
        <f>COUNTIFS(data_adj!$A:$A,"archon-search",data_adj!$C:$C,$A35,data_adj!$E:$E,"TP")</f>
        <v/>
      </c>
      <c r="H35">
        <f>COUNTIFS(data_adj!$A:$A,"archon-search",data_adj!$C:$C,$A35,data_adj!$E:$E,"FP")</f>
        <v/>
      </c>
      <c r="I35">
        <f>IF(F35=0,"",ROUND(100*G35/F35,1))</f>
        <v/>
      </c>
      <c r="J35">
        <f>COUNTIFS(data_llm!$A:$A,"archon-search",data_llm!$C:$C,$A35)</f>
        <v/>
      </c>
      <c r="K35">
        <f>COUNTIFS(data_llm!$A:$A,"archon-search",data_llm!$C:$C,$A35,data_llm!$F:$F,TRUE)</f>
        <v/>
      </c>
      <c r="L35">
        <f>J35-K35</f>
        <v/>
      </c>
      <c r="M35">
        <f>IF(J35=0,"",ROUND(100*K35/J35,1))</f>
        <v/>
      </c>
      <c r="N35">
        <f>IF(F35=0,"",ROUND(E35*G35/F35,0))</f>
        <v/>
      </c>
    </row>
    <row r="36">
      <c r="A36" t="inlineStr">
        <is>
          <t>smells-01</t>
        </is>
      </c>
      <c r="B36" t="inlineStr">
        <is>
          <t>Moderate</t>
        </is>
      </c>
      <c r="C36" t="inlineStr">
        <is>
          <t>File Length</t>
        </is>
      </c>
      <c r="D36">
        <f>COUNTIFS(data_hits!$A:$A,"archon-search",data_hits!$C:$C,$A36)</f>
        <v/>
      </c>
      <c r="E36">
        <f>SUM(D36:D36)</f>
        <v/>
      </c>
      <c r="F36">
        <f>G36+H36</f>
        <v/>
      </c>
      <c r="G36">
        <f>COUNTIFS(data_adj!$A:$A,"archon-search",data_adj!$C:$C,$A36,data_adj!$E:$E,"TP")</f>
        <v/>
      </c>
      <c r="H36">
        <f>COUNTIFS(data_adj!$A:$A,"archon-search",data_adj!$C:$C,$A36,data_adj!$E:$E,"FP")</f>
        <v/>
      </c>
      <c r="I36">
        <f>IF(F36=0,"",ROUND(100*G36/F36,1))</f>
        <v/>
      </c>
      <c r="J36">
        <f>COUNTIFS(data_llm!$A:$A,"archon-search",data_llm!$C:$C,$A36)</f>
        <v/>
      </c>
      <c r="K36">
        <f>COUNTIFS(data_llm!$A:$A,"archon-search",data_llm!$C:$C,$A36,data_llm!$F:$F,TRUE)</f>
        <v/>
      </c>
      <c r="L36">
        <f>J36-K36</f>
        <v/>
      </c>
      <c r="M36">
        <f>IF(J36=0,"",ROUND(100*K36/J36,1))</f>
        <v/>
      </c>
      <c r="N36">
        <f>IF(F36=0,"",ROUND(E36*G36/F36,0))</f>
        <v/>
      </c>
    </row>
    <row r="37">
      <c r="A37" t="inlineStr">
        <is>
          <t>smells-02</t>
        </is>
      </c>
      <c r="B37" t="inlineStr">
        <is>
          <t>Moderate</t>
        </is>
      </c>
      <c r="C37" t="inlineStr">
        <is>
          <t>Function Parameter Count</t>
        </is>
      </c>
      <c r="D37">
        <f>COUNTIFS(data_hits!$A:$A,"archon-search",data_hits!$C:$C,$A37)</f>
        <v/>
      </c>
      <c r="E37">
        <f>SUM(D37:D37)</f>
        <v/>
      </c>
      <c r="F37">
        <f>G37+H37</f>
        <v/>
      </c>
      <c r="G37">
        <f>COUNTIFS(data_adj!$A:$A,"archon-search",data_adj!$C:$C,$A37,data_adj!$E:$E,"TP")</f>
        <v/>
      </c>
      <c r="H37">
        <f>COUNTIFS(data_adj!$A:$A,"archon-search",data_adj!$C:$C,$A37,data_adj!$E:$E,"FP")</f>
        <v/>
      </c>
      <c r="I37">
        <f>IF(F37=0,"",ROUND(100*G37/F37,1))</f>
        <v/>
      </c>
      <c r="J37">
        <f>COUNTIFS(data_llm!$A:$A,"archon-search",data_llm!$C:$C,$A37)</f>
        <v/>
      </c>
      <c r="K37">
        <f>COUNTIFS(data_llm!$A:$A,"archon-search",data_llm!$C:$C,$A37,data_llm!$F:$F,TRUE)</f>
        <v/>
      </c>
      <c r="L37">
        <f>J37-K37</f>
        <v/>
      </c>
      <c r="M37">
        <f>IF(J37=0,"",ROUND(100*K37/J37,1))</f>
        <v/>
      </c>
      <c r="N37">
        <f>IF(F37=0,"",ROUND(E37*G37/F37,0))</f>
        <v/>
      </c>
    </row>
    <row r="38">
      <c r="A38" t="inlineStr">
        <is>
          <t>smells-03</t>
        </is>
      </c>
      <c r="B38" t="inlineStr">
        <is>
          <t>Moderate</t>
        </is>
      </c>
      <c r="C38" t="inlineStr">
        <is>
          <t>Boolean Parameters</t>
        </is>
      </c>
      <c r="D38">
        <f>COUNTIFS(data_hits!$A:$A,"archon-search",data_hits!$C:$C,$A38)</f>
        <v/>
      </c>
      <c r="E38">
        <f>SUM(D38:D38)</f>
        <v/>
      </c>
      <c r="F38">
        <f>G38+H38</f>
        <v/>
      </c>
      <c r="G38">
        <f>COUNTIFS(data_adj!$A:$A,"archon-search",data_adj!$C:$C,$A38,data_adj!$E:$E,"TP")</f>
        <v/>
      </c>
      <c r="H38">
        <f>COUNTIFS(data_adj!$A:$A,"archon-search",data_adj!$C:$C,$A38,data_adj!$E:$E,"FP")</f>
        <v/>
      </c>
      <c r="I38">
        <f>IF(F38=0,"",ROUND(100*G38/F38,1))</f>
        <v/>
      </c>
      <c r="J38">
        <f>COUNTIFS(data_llm!$A:$A,"archon-search",data_llm!$C:$C,$A38)</f>
        <v/>
      </c>
      <c r="K38">
        <f>COUNTIFS(data_llm!$A:$A,"archon-search",data_llm!$C:$C,$A38,data_llm!$F:$F,TRUE)</f>
        <v/>
      </c>
      <c r="L38">
        <f>J38-K38</f>
        <v/>
      </c>
      <c r="M38">
        <f>IF(J38=0,"",ROUND(100*K38/J38,1))</f>
        <v/>
      </c>
      <c r="N38">
        <f>IF(F38=0,"",ROUND(E38*G38/F38,0))</f>
        <v/>
      </c>
    </row>
    <row r="39">
      <c r="A39" t="inlineStr">
        <is>
          <t>smells-06</t>
        </is>
      </c>
      <c r="B39" t="inlineStr">
        <is>
          <t>Minor</t>
        </is>
      </c>
      <c r="C39" t="inlineStr">
        <is>
          <t>Commented-Out Code</t>
        </is>
      </c>
      <c r="D39">
        <f>COUNTIFS(data_hits!$A:$A,"archon-search",data_hits!$C:$C,$A39)</f>
        <v/>
      </c>
      <c r="E39">
        <f>SUM(D39:D39)</f>
        <v/>
      </c>
      <c r="F39">
        <f>G39+H39</f>
        <v/>
      </c>
      <c r="G39">
        <f>COUNTIFS(data_adj!$A:$A,"archon-search",data_adj!$C:$C,$A39,data_adj!$E:$E,"TP")</f>
        <v/>
      </c>
      <c r="H39">
        <f>COUNTIFS(data_adj!$A:$A,"archon-search",data_adj!$C:$C,$A39,data_adj!$E:$E,"FP")</f>
        <v/>
      </c>
      <c r="I39">
        <f>IF(F39=0,"",ROUND(100*G39/F39,1))</f>
        <v/>
      </c>
      <c r="J39">
        <f>COUNTIFS(data_llm!$A:$A,"archon-search",data_llm!$C:$C,$A39)</f>
        <v/>
      </c>
      <c r="K39">
        <f>COUNTIFS(data_llm!$A:$A,"archon-search",data_llm!$C:$C,$A39,data_llm!$F:$F,TRUE)</f>
        <v/>
      </c>
      <c r="L39">
        <f>J39-K39</f>
        <v/>
      </c>
      <c r="M39">
        <f>IF(J39=0,"",ROUND(100*K39/J39,1))</f>
        <v/>
      </c>
      <c r="N39">
        <f>IF(F39=0,"",ROUND(E39*G39/F39,0))</f>
        <v/>
      </c>
    </row>
    <row r="40">
      <c r="A40" t="inlineStr">
        <is>
          <t>smells-07</t>
        </is>
      </c>
      <c r="B40" t="inlineStr">
        <is>
          <t>Minor</t>
        </is>
      </c>
      <c r="C40" t="inlineStr">
        <is>
          <t>TODO/FIXME/HACK Comments</t>
        </is>
      </c>
      <c r="D40">
        <f>COUNTIFS(data_hits!$A:$A,"archon-search",data_hits!$C:$C,$A40)</f>
        <v/>
      </c>
      <c r="E40">
        <f>SUM(D40:D40)</f>
        <v/>
      </c>
      <c r="F40">
        <f>G40+H40</f>
        <v/>
      </c>
      <c r="G40">
        <f>COUNTIFS(data_adj!$A:$A,"archon-search",data_adj!$C:$C,$A40,data_adj!$E:$E,"TP")</f>
        <v/>
      </c>
      <c r="H40">
        <f>COUNTIFS(data_adj!$A:$A,"archon-search",data_adj!$C:$C,$A40,data_adj!$E:$E,"FP")</f>
        <v/>
      </c>
      <c r="I40">
        <f>IF(F40=0,"",ROUND(100*G40/F40,1))</f>
        <v/>
      </c>
      <c r="J40">
        <f>COUNTIFS(data_llm!$A:$A,"archon-search",data_llm!$C:$C,$A40)</f>
        <v/>
      </c>
      <c r="K40">
        <f>COUNTIFS(data_llm!$A:$A,"archon-search",data_llm!$C:$C,$A40,data_llm!$F:$F,TRUE)</f>
        <v/>
      </c>
      <c r="L40">
        <f>J40-K40</f>
        <v/>
      </c>
      <c r="M40">
        <f>IF(J40=0,"",ROUND(100*K40/J40,1))</f>
        <v/>
      </c>
      <c r="N40">
        <f>IF(F40=0,"",ROUND(E40*G40/F40,0))</f>
        <v/>
      </c>
    </row>
    <row r="41">
      <c r="A41" t="inlineStr">
        <is>
          <t>smells-08</t>
        </is>
      </c>
      <c r="B41" t="inlineStr">
        <is>
          <t>Major</t>
        </is>
      </c>
      <c r="C41" t="inlineStr">
        <is>
          <t>Null Returns / Null Parameters</t>
        </is>
      </c>
      <c r="D41">
        <f>COUNTIFS(data_hits!$A:$A,"archon-search",data_hits!$C:$C,$A41)</f>
        <v/>
      </c>
      <c r="E41">
        <f>SUM(D41:D41)</f>
        <v/>
      </c>
      <c r="F41">
        <f>G41+H41</f>
        <v/>
      </c>
      <c r="G41">
        <f>COUNTIFS(data_adj!$A:$A,"archon-search",data_adj!$C:$C,$A41,data_adj!$E:$E,"TP")</f>
        <v/>
      </c>
      <c r="H41">
        <f>COUNTIFS(data_adj!$A:$A,"archon-search",data_adj!$C:$C,$A41,data_adj!$E:$E,"FP")</f>
        <v/>
      </c>
      <c r="I41">
        <f>IF(F41=0,"",ROUND(100*G41/F41,1))</f>
        <v/>
      </c>
      <c r="J41">
        <f>COUNTIFS(data_llm!$A:$A,"archon-search",data_llm!$C:$C,$A41)</f>
        <v/>
      </c>
      <c r="K41">
        <f>COUNTIFS(data_llm!$A:$A,"archon-search",data_llm!$C:$C,$A41,data_llm!$F:$F,TRUE)</f>
        <v/>
      </c>
      <c r="L41">
        <f>J41-K41</f>
        <v/>
      </c>
      <c r="M41">
        <f>IF(J41=0,"",ROUND(100*K41/J41,1))</f>
        <v/>
      </c>
      <c r="N41">
        <f>IF(F41=0,"",ROUND(E41*G41/F41,0))</f>
        <v/>
      </c>
    </row>
    <row r="42">
      <c r="A42" t="inlineStr">
        <is>
          <t>smells-10</t>
        </is>
      </c>
      <c r="B42" t="inlineStr">
        <is>
          <t>Moderate</t>
        </is>
      </c>
      <c r="C42" t="inlineStr">
        <is>
          <t>Train Wreck Chains</t>
        </is>
      </c>
      <c r="D42">
        <f>COUNTIFS(data_hits!$A:$A,"archon-search",data_hits!$C:$C,$A42)</f>
        <v/>
      </c>
      <c r="E42">
        <f>SUM(D42:D42)</f>
        <v/>
      </c>
      <c r="F42">
        <f>G42+H42</f>
        <v/>
      </c>
      <c r="G42">
        <f>COUNTIFS(data_adj!$A:$A,"archon-search",data_adj!$C:$C,$A42,data_adj!$E:$E,"TP")</f>
        <v/>
      </c>
      <c r="H42">
        <f>COUNTIFS(data_adj!$A:$A,"archon-search",data_adj!$C:$C,$A42,data_adj!$E:$E,"FP")</f>
        <v/>
      </c>
      <c r="I42">
        <f>IF(F42=0,"",ROUND(100*G42/F42,1))</f>
        <v/>
      </c>
      <c r="J42">
        <f>COUNTIFS(data_llm!$A:$A,"archon-search",data_llm!$C:$C,$A42)</f>
        <v/>
      </c>
      <c r="K42">
        <f>COUNTIFS(data_llm!$A:$A,"archon-search",data_llm!$C:$C,$A42,data_llm!$F:$F,TRUE)</f>
        <v/>
      </c>
      <c r="L42">
        <f>J42-K42</f>
        <v/>
      </c>
      <c r="M42">
        <f>IF(J42=0,"",ROUND(100*K42/J42,1))</f>
        <v/>
      </c>
      <c r="N42">
        <f>IF(F42=0,"",ROUND(E42*G42/F42,0))</f>
        <v/>
      </c>
    </row>
    <row r="43">
      <c r="A43" t="inlineStr">
        <is>
          <t>smells-12</t>
        </is>
      </c>
      <c r="B43" t="inlineStr">
        <is>
          <t>Major</t>
        </is>
      </c>
      <c r="C43" t="inlineStr">
        <is>
          <t>Swallowed Exceptions</t>
        </is>
      </c>
      <c r="D43">
        <f>COUNTIFS(data_hits!$A:$A,"archon-search",data_hits!$C:$C,$A43)</f>
        <v/>
      </c>
      <c r="E43">
        <f>SUM(D43:D43)</f>
        <v/>
      </c>
      <c r="F43">
        <f>G43+H43</f>
        <v/>
      </c>
      <c r="G43">
        <f>COUNTIFS(data_adj!$A:$A,"archon-search",data_adj!$C:$C,$A43,data_adj!$E:$E,"TP")</f>
        <v/>
      </c>
      <c r="H43">
        <f>COUNTIFS(data_adj!$A:$A,"archon-search",data_adj!$C:$C,$A43,data_adj!$E:$E,"FP")</f>
        <v/>
      </c>
      <c r="I43">
        <f>IF(F43=0,"",ROUND(100*G43/F43,1))</f>
        <v/>
      </c>
      <c r="J43">
        <f>COUNTIFS(data_llm!$A:$A,"archon-search",data_llm!$C:$C,$A43)</f>
        <v/>
      </c>
      <c r="K43">
        <f>COUNTIFS(data_llm!$A:$A,"archon-search",data_llm!$C:$C,$A43,data_llm!$F:$F,TRUE)</f>
        <v/>
      </c>
      <c r="L43">
        <f>J43-K43</f>
        <v/>
      </c>
      <c r="M43">
        <f>IF(J43=0,"",ROUND(100*K43/J43,1))</f>
        <v/>
      </c>
      <c r="N43">
        <f>IF(F43=0,"",ROUND(E43*G43/F43,0))</f>
        <v/>
      </c>
    </row>
    <row r="44">
      <c r="A44" t="inlineStr">
        <is>
          <t>smells-20</t>
        </is>
      </c>
      <c r="B44" t="inlineStr">
        <is>
          <t>Major</t>
        </is>
      </c>
      <c r="C44" t="inlineStr">
        <is>
          <t>Equality Overridden Without a Matching Hash</t>
        </is>
      </c>
      <c r="D44">
        <f>COUNTIFS(data_hits!$A:$A,"archon-search",data_hits!$C:$C,$A44)</f>
        <v/>
      </c>
      <c r="E44">
        <f>SUM(D44:D44)</f>
        <v/>
      </c>
      <c r="F44">
        <f>G44+H44</f>
        <v/>
      </c>
      <c r="G44">
        <f>COUNTIFS(data_adj!$A:$A,"archon-search",data_adj!$C:$C,$A44,data_adj!$E:$E,"TP")</f>
        <v/>
      </c>
      <c r="H44">
        <f>COUNTIFS(data_adj!$A:$A,"archon-search",data_adj!$C:$C,$A44,data_adj!$E:$E,"FP")</f>
        <v/>
      </c>
      <c r="I44">
        <f>IF(F44=0,"",ROUND(100*G44/F44,1))</f>
        <v/>
      </c>
      <c r="J44">
        <f>COUNTIFS(data_llm!$A:$A,"archon-search",data_llm!$C:$C,$A44)</f>
        <v/>
      </c>
      <c r="K44">
        <f>COUNTIFS(data_llm!$A:$A,"archon-search",data_llm!$C:$C,$A44,data_llm!$F:$F,TRUE)</f>
        <v/>
      </c>
      <c r="L44">
        <f>J44-K44</f>
        <v/>
      </c>
      <c r="M44">
        <f>IF(J44=0,"",ROUND(100*K44/J44,1))</f>
        <v/>
      </c>
      <c r="N44">
        <f>IF(F44=0,"",ROUND(E44*G44/F44,0))</f>
        <v/>
      </c>
    </row>
    <row r="45">
      <c r="A45" t="inlineStr">
        <is>
          <t>smells-21</t>
        </is>
      </c>
      <c r="B45" t="inlineStr">
        <is>
          <t>Moderate</t>
        </is>
      </c>
      <c r="C45" t="inlineStr">
        <is>
          <t>Type-System Escape Hatch</t>
        </is>
      </c>
      <c r="D45">
        <f>COUNTIFS(data_hits!$A:$A,"archon-search",data_hits!$C:$C,$A45)</f>
        <v/>
      </c>
      <c r="E45">
        <f>SUM(D45:D45)</f>
        <v/>
      </c>
      <c r="F45">
        <f>G45+H45</f>
        <v/>
      </c>
      <c r="G45">
        <f>COUNTIFS(data_adj!$A:$A,"archon-search",data_adj!$C:$C,$A45,data_adj!$E:$E,"TP")</f>
        <v/>
      </c>
      <c r="H45">
        <f>COUNTIFS(data_adj!$A:$A,"archon-search",data_adj!$C:$C,$A45,data_adj!$E:$E,"FP")</f>
        <v/>
      </c>
      <c r="I45">
        <f>IF(F45=0,"",ROUND(100*G45/F45,1))</f>
        <v/>
      </c>
      <c r="J45">
        <f>COUNTIFS(data_llm!$A:$A,"archon-search",data_llm!$C:$C,$A45)</f>
        <v/>
      </c>
      <c r="K45">
        <f>COUNTIFS(data_llm!$A:$A,"archon-search",data_llm!$C:$C,$A45,data_llm!$F:$F,TRUE)</f>
        <v/>
      </c>
      <c r="L45">
        <f>J45-K45</f>
        <v/>
      </c>
      <c r="M45">
        <f>IF(J45=0,"",ROUND(100*K45/J45,1))</f>
        <v/>
      </c>
      <c r="N45">
        <f>IF(F45=0,"",ROUND(E45*G45/F45,0))</f>
        <v/>
      </c>
    </row>
    <row r="46">
      <c r="A46" t="inlineStr">
        <is>
          <t>smells-22</t>
        </is>
      </c>
      <c r="B46" t="inlineStr">
        <is>
          <t>Minor</t>
        </is>
      </c>
      <c r="C46" t="inlineStr">
        <is>
          <t>Wildcard Import</t>
        </is>
      </c>
      <c r="D46">
        <f>COUNTIFS(data_hits!$A:$A,"archon-search",data_hits!$C:$C,$A46)</f>
        <v/>
      </c>
      <c r="E46">
        <f>SUM(D46:D46)</f>
        <v/>
      </c>
      <c r="F46">
        <f>G46+H46</f>
        <v/>
      </c>
      <c r="G46">
        <f>COUNTIFS(data_adj!$A:$A,"archon-search",data_adj!$C:$C,$A46,data_adj!$E:$E,"TP")</f>
        <v/>
      </c>
      <c r="H46">
        <f>COUNTIFS(data_adj!$A:$A,"archon-search",data_adj!$C:$C,$A46,data_adj!$E:$E,"FP")</f>
        <v/>
      </c>
      <c r="I46">
        <f>IF(F46=0,"",ROUND(100*G46/F46,1))</f>
        <v/>
      </c>
      <c r="J46">
        <f>COUNTIFS(data_llm!$A:$A,"archon-search",data_llm!$C:$C,$A46)</f>
        <v/>
      </c>
      <c r="K46">
        <f>COUNTIFS(data_llm!$A:$A,"archon-search",data_llm!$C:$C,$A46,data_llm!$F:$F,TRUE)</f>
        <v/>
      </c>
      <c r="L46">
        <f>J46-K46</f>
        <v/>
      </c>
      <c r="M46">
        <f>IF(J46=0,"",ROUND(100*K46/J46,1))</f>
        <v/>
      </c>
      <c r="N46">
        <f>IF(F46=0,"",ROUND(E46*G46/F46,0))</f>
        <v/>
      </c>
    </row>
    <row r="47">
      <c r="A47" t="inlineStr">
        <is>
          <t>smells-23</t>
        </is>
      </c>
      <c r="B47" t="inlineStr">
        <is>
          <t>Minor</t>
        </is>
      </c>
      <c r="C47" t="inlineStr">
        <is>
          <t>Debugger Statement or Stack-Trace Dump Left in Code</t>
        </is>
      </c>
      <c r="D47">
        <f>COUNTIFS(data_hits!$A:$A,"archon-search",data_hits!$C:$C,$A47)</f>
        <v/>
      </c>
      <c r="E47">
        <f>SUM(D47:D47)</f>
        <v/>
      </c>
      <c r="F47">
        <f>G47+H47</f>
        <v/>
      </c>
      <c r="G47">
        <f>COUNTIFS(data_adj!$A:$A,"archon-search",data_adj!$C:$C,$A47,data_adj!$E:$E,"TP")</f>
        <v/>
      </c>
      <c r="H47">
        <f>COUNTIFS(data_adj!$A:$A,"archon-search",data_adj!$C:$C,$A47,data_adj!$E:$E,"FP")</f>
        <v/>
      </c>
      <c r="I47">
        <f>IF(F47=0,"",ROUND(100*G47/F47,1))</f>
        <v/>
      </c>
      <c r="J47">
        <f>COUNTIFS(data_llm!$A:$A,"archon-search",data_llm!$C:$C,$A47)</f>
        <v/>
      </c>
      <c r="K47">
        <f>COUNTIFS(data_llm!$A:$A,"archon-search",data_llm!$C:$C,$A47,data_llm!$F:$F,TRUE)</f>
        <v/>
      </c>
      <c r="L47">
        <f>J47-K47</f>
        <v/>
      </c>
      <c r="M47">
        <f>IF(J47=0,"",ROUND(100*K47/J47,1))</f>
        <v/>
      </c>
      <c r="N47">
        <f>IF(F47=0,"",ROUND(E47*G47/F47,0))</f>
        <v/>
      </c>
    </row>
    <row r="48">
      <c r="A48" t="inlineStr">
        <is>
          <t>solid-06</t>
        </is>
      </c>
      <c r="B48" t="inlineStr">
        <is>
          <t>Major</t>
        </is>
      </c>
      <c r="C48" t="inlineStr">
        <is>
          <t>Public Mutable Fields</t>
        </is>
      </c>
      <c r="D48">
        <f>COUNTIFS(data_hits!$A:$A,"archon-search",data_hits!$C:$C,$A48)</f>
        <v/>
      </c>
      <c r="E48">
        <f>SUM(D48:D48)</f>
        <v/>
      </c>
      <c r="F48">
        <f>G48+H48</f>
        <v/>
      </c>
      <c r="G48">
        <f>COUNTIFS(data_adj!$A:$A,"archon-search",data_adj!$C:$C,$A48,data_adj!$E:$E,"TP")</f>
        <v/>
      </c>
      <c r="H48">
        <f>COUNTIFS(data_adj!$A:$A,"archon-search",data_adj!$C:$C,$A48,data_adj!$E:$E,"FP")</f>
        <v/>
      </c>
      <c r="I48">
        <f>IF(F48=0,"",ROUND(100*G48/F48,1))</f>
        <v/>
      </c>
      <c r="J48">
        <f>COUNTIFS(data_llm!$A:$A,"archon-search",data_llm!$C:$C,$A48)</f>
        <v/>
      </c>
      <c r="K48">
        <f>COUNTIFS(data_llm!$A:$A,"archon-search",data_llm!$C:$C,$A48,data_llm!$F:$F,TRUE)</f>
        <v/>
      </c>
      <c r="L48">
        <f>J48-K48</f>
        <v/>
      </c>
      <c r="M48">
        <f>IF(J48=0,"",ROUND(100*K48/J48,1))</f>
        <v/>
      </c>
      <c r="N48">
        <f>IF(F48=0,"",ROUND(E48*G48/F48,0))</f>
        <v/>
      </c>
    </row>
    <row r="49">
      <c r="A49" t="inlineStr">
        <is>
          <t>solid-07</t>
        </is>
      </c>
      <c r="B49" t="inlineStr">
        <is>
          <t>Moderate</t>
        </is>
      </c>
      <c r="C49" t="inlineStr">
        <is>
          <t>Primitive Obsession</t>
        </is>
      </c>
      <c r="D49">
        <f>COUNTIFS(data_hits!$A:$A,"archon-search",data_hits!$C:$C,$A49)</f>
        <v/>
      </c>
      <c r="E49">
        <f>SUM(D49:D49)</f>
        <v/>
      </c>
      <c r="F49">
        <f>G49+H49</f>
        <v/>
      </c>
      <c r="G49">
        <f>COUNTIFS(data_adj!$A:$A,"archon-search",data_adj!$C:$C,$A49,data_adj!$E:$E,"TP")</f>
        <v/>
      </c>
      <c r="H49">
        <f>COUNTIFS(data_adj!$A:$A,"archon-search",data_adj!$C:$C,$A49,data_adj!$E:$E,"FP")</f>
        <v/>
      </c>
      <c r="I49">
        <f>IF(F49=0,"",ROUND(100*G49/F49,1))</f>
        <v/>
      </c>
      <c r="J49">
        <f>COUNTIFS(data_llm!$A:$A,"archon-search",data_llm!$C:$C,$A49)</f>
        <v/>
      </c>
      <c r="K49">
        <f>COUNTIFS(data_llm!$A:$A,"archon-search",data_llm!$C:$C,$A49,data_llm!$F:$F,TRUE)</f>
        <v/>
      </c>
      <c r="L49">
        <f>J49-K49</f>
        <v/>
      </c>
      <c r="M49">
        <f>IF(J49=0,"",ROUND(100*K49/J49,1))</f>
        <v/>
      </c>
      <c r="N49">
        <f>IF(F49=0,"",ROUND(E49*G49/F49,0))</f>
        <v/>
      </c>
    </row>
    <row r="50">
      <c r="A50" t="inlineStr">
        <is>
          <t>solid-08</t>
        </is>
      </c>
      <c r="B50" t="inlineStr">
        <is>
          <t>Minor</t>
        </is>
      </c>
      <c r="C50" t="inlineStr">
        <is>
          <t>Unnecessary Mutability</t>
        </is>
      </c>
      <c r="D50">
        <f>COUNTIFS(data_hits!$A:$A,"archon-search",data_hits!$C:$C,$A50)</f>
        <v/>
      </c>
      <c r="E50">
        <f>SUM(D50:D50)</f>
        <v/>
      </c>
      <c r="F50">
        <f>G50+H50</f>
        <v/>
      </c>
      <c r="G50">
        <f>COUNTIFS(data_adj!$A:$A,"archon-search",data_adj!$C:$C,$A50,data_adj!$E:$E,"TP")</f>
        <v/>
      </c>
      <c r="H50">
        <f>COUNTIFS(data_adj!$A:$A,"archon-search",data_adj!$C:$C,$A50,data_adj!$E:$E,"FP")</f>
        <v/>
      </c>
      <c r="I50">
        <f>IF(F50=0,"",ROUND(100*G50/F50,1))</f>
        <v/>
      </c>
      <c r="J50">
        <f>COUNTIFS(data_llm!$A:$A,"archon-search",data_llm!$C:$C,$A50)</f>
        <v/>
      </c>
      <c r="K50">
        <f>COUNTIFS(data_llm!$A:$A,"archon-search",data_llm!$C:$C,$A50,data_llm!$F:$F,TRUE)</f>
        <v/>
      </c>
      <c r="L50">
        <f>J50-K50</f>
        <v/>
      </c>
      <c r="M50">
        <f>IF(J50=0,"",ROUND(100*K50/J50,1))</f>
        <v/>
      </c>
      <c r="N50">
        <f>IF(F50=0,"",ROUND(E50*G50/F50,0))</f>
        <v/>
      </c>
    </row>
    <row r="51">
      <c r="A51" t="inlineStr">
        <is>
          <t>solid-09</t>
        </is>
      </c>
      <c r="B51" t="inlineStr">
        <is>
          <t>Major</t>
        </is>
      </c>
      <c r="C51" t="inlineStr">
        <is>
          <t>Global Mutable State</t>
        </is>
      </c>
      <c r="D51">
        <f>COUNTIFS(data_hits!$A:$A,"archon-search",data_hits!$C:$C,$A51)</f>
        <v/>
      </c>
      <c r="E51">
        <f>SUM(D51:D51)</f>
        <v/>
      </c>
      <c r="F51">
        <f>G51+H51</f>
        <v/>
      </c>
      <c r="G51">
        <f>COUNTIFS(data_adj!$A:$A,"archon-search",data_adj!$C:$C,$A51,data_adj!$E:$E,"TP")</f>
        <v/>
      </c>
      <c r="H51">
        <f>COUNTIFS(data_adj!$A:$A,"archon-search",data_adj!$C:$C,$A51,data_adj!$E:$E,"FP")</f>
        <v/>
      </c>
      <c r="I51">
        <f>IF(F51=0,"",ROUND(100*G51/F51,1))</f>
        <v/>
      </c>
      <c r="J51">
        <f>COUNTIFS(data_llm!$A:$A,"archon-search",data_llm!$C:$C,$A51)</f>
        <v/>
      </c>
      <c r="K51">
        <f>COUNTIFS(data_llm!$A:$A,"archon-search",data_llm!$C:$C,$A51,data_llm!$F:$F,TRUE)</f>
        <v/>
      </c>
      <c r="L51">
        <f>J51-K51</f>
        <v/>
      </c>
      <c r="M51">
        <f>IF(J51=0,"",ROUND(100*K51/J51,1))</f>
        <v/>
      </c>
      <c r="N51">
        <f>IF(F51=0,"",ROUND(E51*G51/F51,0))</f>
        <v/>
      </c>
    </row>
    <row r="52">
      <c r="A52" t="inlineStr">
        <is>
          <t>solid-10</t>
        </is>
      </c>
      <c r="B52" t="inlineStr">
        <is>
          <t>Major</t>
        </is>
      </c>
      <c r="C52" t="inlineStr">
        <is>
          <t>Hardcoded Dependency Creation</t>
        </is>
      </c>
      <c r="D52">
        <f>COUNTIFS(data_hits!$A:$A,"archon-search",data_hits!$C:$C,$A52)</f>
        <v/>
      </c>
      <c r="E52">
        <f>SUM(D52:D52)</f>
        <v/>
      </c>
      <c r="F52">
        <f>G52+H52</f>
        <v/>
      </c>
      <c r="G52">
        <f>COUNTIFS(data_adj!$A:$A,"archon-search",data_adj!$C:$C,$A52,data_adj!$E:$E,"TP")</f>
        <v/>
      </c>
      <c r="H52">
        <f>COUNTIFS(data_adj!$A:$A,"archon-search",data_adj!$C:$C,$A52,data_adj!$E:$E,"FP")</f>
        <v/>
      </c>
      <c r="I52">
        <f>IF(F52=0,"",ROUND(100*G52/F52,1))</f>
        <v/>
      </c>
      <c r="J52">
        <f>COUNTIFS(data_llm!$A:$A,"archon-search",data_llm!$C:$C,$A52)</f>
        <v/>
      </c>
      <c r="K52">
        <f>COUNTIFS(data_llm!$A:$A,"archon-search",data_llm!$C:$C,$A52,data_llm!$F:$F,TRUE)</f>
        <v/>
      </c>
      <c r="L52">
        <f>J52-K52</f>
        <v/>
      </c>
      <c r="M52">
        <f>IF(J52=0,"",ROUND(100*K52/J52,1))</f>
        <v/>
      </c>
      <c r="N52">
        <f>IF(F52=0,"",ROUND(E52*G52/F52,0))</f>
        <v/>
      </c>
    </row>
    <row r="53">
      <c r="A53" t="inlineStr">
        <is>
          <t>solid-12</t>
        </is>
      </c>
      <c r="B53" t="inlineStr">
        <is>
          <t>Moderate</t>
        </is>
      </c>
      <c r="C53" t="inlineStr">
        <is>
          <t>Logging Inside Domain</t>
        </is>
      </c>
      <c r="D53">
        <f>COUNTIFS(data_hits!$A:$A,"archon-search",data_hits!$C:$C,$A53)</f>
        <v/>
      </c>
      <c r="E53">
        <f>SUM(D53:D53)</f>
        <v/>
      </c>
      <c r="F53">
        <f>G53+H53</f>
        <v/>
      </c>
      <c r="G53">
        <f>COUNTIFS(data_adj!$A:$A,"archon-search",data_adj!$C:$C,$A53,data_adj!$E:$E,"TP")</f>
        <v/>
      </c>
      <c r="H53">
        <f>COUNTIFS(data_adj!$A:$A,"archon-search",data_adj!$C:$C,$A53,data_adj!$E:$E,"FP")</f>
        <v/>
      </c>
      <c r="I53">
        <f>IF(F53=0,"",ROUND(100*G53/F53,1))</f>
        <v/>
      </c>
      <c r="J53">
        <f>COUNTIFS(data_llm!$A:$A,"archon-search",data_llm!$C:$C,$A53)</f>
        <v/>
      </c>
      <c r="K53">
        <f>COUNTIFS(data_llm!$A:$A,"archon-search",data_llm!$C:$C,$A53,data_llm!$F:$F,TRUE)</f>
        <v/>
      </c>
      <c r="L53">
        <f>J53-K53</f>
        <v/>
      </c>
      <c r="M53">
        <f>IF(J53=0,"",ROUND(100*K53/J53,1))</f>
        <v/>
      </c>
      <c r="N53">
        <f>IF(F53=0,"",ROUND(E53*G53/F53,0))</f>
        <v/>
      </c>
    </row>
    <row r="54">
      <c r="A54" t="inlineStr">
        <is>
          <t>solid-15</t>
        </is>
      </c>
      <c r="B54" t="inlineStr">
        <is>
          <t>Major</t>
        </is>
      </c>
      <c r="C54" t="inlineStr">
        <is>
          <t>Switch/If-Else Dispatching on Type</t>
        </is>
      </c>
      <c r="D54">
        <f>COUNTIFS(data_hits!$A:$A,"archon-search",data_hits!$C:$C,$A54)</f>
        <v/>
      </c>
      <c r="E54">
        <f>SUM(D54:D54)</f>
        <v/>
      </c>
      <c r="F54">
        <f>G54+H54</f>
        <v/>
      </c>
      <c r="G54">
        <f>COUNTIFS(data_adj!$A:$A,"archon-search",data_adj!$C:$C,$A54,data_adj!$E:$E,"TP")</f>
        <v/>
      </c>
      <c r="H54">
        <f>COUNTIFS(data_adj!$A:$A,"archon-search",data_adj!$C:$C,$A54,data_adj!$E:$E,"FP")</f>
        <v/>
      </c>
      <c r="I54">
        <f>IF(F54=0,"",ROUND(100*G54/F54,1))</f>
        <v/>
      </c>
      <c r="J54">
        <f>COUNTIFS(data_llm!$A:$A,"archon-search",data_llm!$C:$C,$A54)</f>
        <v/>
      </c>
      <c r="K54">
        <f>COUNTIFS(data_llm!$A:$A,"archon-search",data_llm!$C:$C,$A54,data_llm!$F:$F,TRUE)</f>
        <v/>
      </c>
      <c r="L54">
        <f>J54-K54</f>
        <v/>
      </c>
      <c r="M54">
        <f>IF(J54=0,"",ROUND(100*K54/J54,1))</f>
        <v/>
      </c>
      <c r="N54">
        <f>IF(F54=0,"",ROUND(E54*G54/F54,0))</f>
        <v/>
      </c>
    </row>
    <row r="55">
      <c r="A55" t="inlineStr">
        <is>
          <t>tests-01</t>
        </is>
      </c>
      <c r="B55" t="inlineStr">
        <is>
          <t>Critical</t>
        </is>
      </c>
      <c r="C55" t="inlineStr">
        <is>
          <t>Missing Tests</t>
        </is>
      </c>
      <c r="D55">
        <f>COUNTIFS(data_hits!$A:$A,"archon-search",data_hits!$C:$C,$A55)</f>
        <v/>
      </c>
      <c r="E55">
        <f>SUM(D55:D55)</f>
        <v/>
      </c>
      <c r="F55">
        <f>G55+H55</f>
        <v/>
      </c>
      <c r="G55">
        <f>COUNTIFS(data_adj!$A:$A,"archon-search",data_adj!$C:$C,$A55,data_adj!$E:$E,"TP")</f>
        <v/>
      </c>
      <c r="H55">
        <f>COUNTIFS(data_adj!$A:$A,"archon-search",data_adj!$C:$C,$A55,data_adj!$E:$E,"FP")</f>
        <v/>
      </c>
      <c r="I55">
        <f>IF(F55=0,"",ROUND(100*G55/F55,1))</f>
        <v/>
      </c>
      <c r="J55">
        <f>COUNTIFS(data_llm!$A:$A,"archon-search",data_llm!$C:$C,$A55)</f>
        <v/>
      </c>
      <c r="K55">
        <f>COUNTIFS(data_llm!$A:$A,"archon-search",data_llm!$C:$C,$A55,data_llm!$F:$F,TRUE)</f>
        <v/>
      </c>
      <c r="L55">
        <f>J55-K55</f>
        <v/>
      </c>
      <c r="M55">
        <f>IF(J55=0,"",ROUND(100*K55/J55,1))</f>
        <v/>
      </c>
      <c r="N55">
        <f>IF(F55=0,"",ROUND(E55*G55/F55,0))</f>
        <v/>
      </c>
    </row>
    <row r="56">
      <c r="A56" t="inlineStr">
        <is>
          <t>tests-04</t>
        </is>
      </c>
      <c r="B56" t="inlineStr">
        <is>
          <t>Major</t>
        </is>
      </c>
      <c r="C56" t="inlineStr">
        <is>
          <t>Flaky Test Patterns</t>
        </is>
      </c>
      <c r="D56">
        <f>COUNTIFS(data_hits!$A:$A,"archon-search",data_hits!$C:$C,$A56)</f>
        <v/>
      </c>
      <c r="E56">
        <f>SUM(D56:D56)</f>
        <v/>
      </c>
      <c r="F56">
        <f>G56+H56</f>
        <v/>
      </c>
      <c r="G56">
        <f>COUNTIFS(data_adj!$A:$A,"archon-search",data_adj!$C:$C,$A56,data_adj!$E:$E,"TP")</f>
        <v/>
      </c>
      <c r="H56">
        <f>COUNTIFS(data_adj!$A:$A,"archon-search",data_adj!$C:$C,$A56,data_adj!$E:$E,"FP")</f>
        <v/>
      </c>
      <c r="I56">
        <f>IF(F56=0,"",ROUND(100*G56/F56,1))</f>
        <v/>
      </c>
      <c r="J56">
        <f>COUNTIFS(data_llm!$A:$A,"archon-search",data_llm!$C:$C,$A56)</f>
        <v/>
      </c>
      <c r="K56">
        <f>COUNTIFS(data_llm!$A:$A,"archon-search",data_llm!$C:$C,$A56,data_llm!$F:$F,TRUE)</f>
        <v/>
      </c>
      <c r="L56">
        <f>J56-K56</f>
        <v/>
      </c>
      <c r="M56">
        <f>IF(J56=0,"",ROUND(100*K56/J56,1))</f>
        <v/>
      </c>
      <c r="N56">
        <f>IF(F56=0,"",ROUND(E56*G56/F56,0))</f>
        <v/>
      </c>
    </row>
    <row r="57">
      <c r="A57" t="inlineStr">
        <is>
          <t>tests-05</t>
        </is>
      </c>
      <c r="B57" t="inlineStr">
        <is>
          <t>Major</t>
        </is>
      </c>
      <c r="C57" t="inlineStr">
        <is>
          <t>Test Accessing Private Internals</t>
        </is>
      </c>
      <c r="D57">
        <f>COUNTIFS(data_hits!$A:$A,"archon-search",data_hits!$C:$C,$A57)</f>
        <v/>
      </c>
      <c r="E57">
        <f>SUM(D57:D57)</f>
        <v/>
      </c>
      <c r="F57">
        <f>G57+H57</f>
        <v/>
      </c>
      <c r="G57">
        <f>COUNTIFS(data_adj!$A:$A,"archon-search",data_adj!$C:$C,$A57,data_adj!$E:$E,"TP")</f>
        <v/>
      </c>
      <c r="H57">
        <f>COUNTIFS(data_adj!$A:$A,"archon-search",data_adj!$C:$C,$A57,data_adj!$E:$E,"FP")</f>
        <v/>
      </c>
      <c r="I57">
        <f>IF(F57=0,"",ROUND(100*G57/F57,1))</f>
        <v/>
      </c>
      <c r="J57">
        <f>COUNTIFS(data_llm!$A:$A,"archon-search",data_llm!$C:$C,$A57)</f>
        <v/>
      </c>
      <c r="K57">
        <f>COUNTIFS(data_llm!$A:$A,"archon-search",data_llm!$C:$C,$A57,data_llm!$F:$F,TRUE)</f>
        <v/>
      </c>
      <c r="L57">
        <f>J57-K57</f>
        <v/>
      </c>
      <c r="M57">
        <f>IF(J57=0,"",ROUND(100*K57/J57,1))</f>
        <v/>
      </c>
      <c r="N57">
        <f>IF(F57=0,"",ROUND(E57*G57/F57,0))</f>
        <v/>
      </c>
    </row>
    <row r="58">
      <c r="A58" t="inlineStr">
        <is>
          <t>tests-06</t>
        </is>
      </c>
      <c r="B58" t="inlineStr">
        <is>
          <t>Major</t>
        </is>
      </c>
      <c r="C58" t="inlineStr">
        <is>
          <t>Shared Mutable State Between Tests</t>
        </is>
      </c>
      <c r="D58">
        <f>COUNTIFS(data_hits!$A:$A,"archon-search",data_hits!$C:$C,$A58)</f>
        <v/>
      </c>
      <c r="E58">
        <f>SUM(D58:D58)</f>
        <v/>
      </c>
      <c r="F58">
        <f>G58+H58</f>
        <v/>
      </c>
      <c r="G58">
        <f>COUNTIFS(data_adj!$A:$A,"archon-search",data_adj!$C:$C,$A58,data_adj!$E:$E,"TP")</f>
        <v/>
      </c>
      <c r="H58">
        <f>COUNTIFS(data_adj!$A:$A,"archon-search",data_adj!$C:$C,$A58,data_adj!$E:$E,"FP")</f>
        <v/>
      </c>
      <c r="I58">
        <f>IF(F58=0,"",ROUND(100*G58/F58,1))</f>
        <v/>
      </c>
      <c r="J58">
        <f>COUNTIFS(data_llm!$A:$A,"archon-search",data_llm!$C:$C,$A58)</f>
        <v/>
      </c>
      <c r="K58">
        <f>COUNTIFS(data_llm!$A:$A,"archon-search",data_llm!$C:$C,$A58,data_llm!$F:$F,TRUE)</f>
        <v/>
      </c>
      <c r="L58">
        <f>J58-K58</f>
        <v/>
      </c>
      <c r="M58">
        <f>IF(J58=0,"",ROUND(100*K58/J58,1))</f>
        <v/>
      </c>
      <c r="N58">
        <f>IF(F58=0,"",ROUND(E58*G58/F58,0))</f>
        <v/>
      </c>
    </row>
    <row r="59">
      <c r="A59" t="inlineStr">
        <is>
          <t>tests-08</t>
        </is>
      </c>
      <c r="B59" t="inlineStr">
        <is>
          <t>Major</t>
        </is>
      </c>
      <c r="C59" t="inlineStr">
        <is>
          <t>Skipped/Ignored Tests</t>
        </is>
      </c>
      <c r="D59">
        <f>COUNTIFS(data_hits!$A:$A,"archon-search",data_hits!$C:$C,$A59)</f>
        <v/>
      </c>
      <c r="E59">
        <f>SUM(D59:D59)</f>
        <v/>
      </c>
      <c r="F59">
        <f>G59+H59</f>
        <v/>
      </c>
      <c r="G59">
        <f>COUNTIFS(data_adj!$A:$A,"archon-search",data_adj!$C:$C,$A59,data_adj!$E:$E,"TP")</f>
        <v/>
      </c>
      <c r="H59">
        <f>COUNTIFS(data_adj!$A:$A,"archon-search",data_adj!$C:$C,$A59,data_adj!$E:$E,"FP")</f>
        <v/>
      </c>
      <c r="I59">
        <f>IF(F59=0,"",ROUND(100*G59/F59,1))</f>
        <v/>
      </c>
      <c r="J59">
        <f>COUNTIFS(data_llm!$A:$A,"archon-search",data_llm!$C:$C,$A59)</f>
        <v/>
      </c>
      <c r="K59">
        <f>COUNTIFS(data_llm!$A:$A,"archon-search",data_llm!$C:$C,$A59,data_llm!$F:$F,TRUE)</f>
        <v/>
      </c>
      <c r="L59">
        <f>J59-K59</f>
        <v/>
      </c>
      <c r="M59">
        <f>IF(J59=0,"",ROUND(100*K59/J59,1))</f>
        <v/>
      </c>
      <c r="N59">
        <f>IF(F59=0,"",ROUND(E59*G59/F59,0))</f>
        <v/>
      </c>
    </row>
    <row r="60">
      <c r="A60" t="inlineStr">
        <is>
          <t>tests-09</t>
        </is>
      </c>
      <c r="B60" t="inlineStr">
        <is>
          <t>Critical</t>
        </is>
      </c>
      <c r="C60" t="inlineStr">
        <is>
          <t>Tests with No Meaningful Assertions</t>
        </is>
      </c>
      <c r="D60">
        <f>COUNTIFS(data_hits!$A:$A,"archon-search",data_hits!$C:$C,$A60)</f>
        <v/>
      </c>
      <c r="E60">
        <f>SUM(D60:D60)</f>
        <v/>
      </c>
      <c r="F60">
        <f>G60+H60</f>
        <v/>
      </c>
      <c r="G60">
        <f>COUNTIFS(data_adj!$A:$A,"archon-search",data_adj!$C:$C,$A60,data_adj!$E:$E,"TP")</f>
        <v/>
      </c>
      <c r="H60">
        <f>COUNTIFS(data_adj!$A:$A,"archon-search",data_adj!$C:$C,$A60,data_adj!$E:$E,"FP")</f>
        <v/>
      </c>
      <c r="I60">
        <f>IF(F60=0,"",ROUND(100*G60/F60,1))</f>
        <v/>
      </c>
      <c r="J60">
        <f>COUNTIFS(data_llm!$A:$A,"archon-search",data_llm!$C:$C,$A60)</f>
        <v/>
      </c>
      <c r="K60">
        <f>COUNTIFS(data_llm!$A:$A,"archon-search",data_llm!$C:$C,$A60,data_llm!$F:$F,TRUE)</f>
        <v/>
      </c>
      <c r="L60">
        <f>J60-K60</f>
        <v/>
      </c>
      <c r="M60">
        <f>IF(J60=0,"",ROUND(100*K60/J60,1))</f>
        <v/>
      </c>
      <c r="N60">
        <f>IF(F60=0,"",ROUND(E60*G60/F60,0))</f>
        <v/>
      </c>
    </row>
    <row r="61">
      <c r="A61" t="inlineStr">
        <is>
          <t>tests-13</t>
        </is>
      </c>
      <c r="B61" t="inlineStr">
        <is>
          <t>Critical</t>
        </is>
      </c>
      <c r="C61" t="inlineStr">
        <is>
          <t>Test Module Containing No Assertions</t>
        </is>
      </c>
      <c r="D61">
        <f>COUNTIFS(data_hits!$A:$A,"archon-search",data_hits!$C:$C,$A61)</f>
        <v/>
      </c>
      <c r="E61">
        <f>SUM(D61:D61)</f>
        <v/>
      </c>
      <c r="F61">
        <f>G61+H61</f>
        <v/>
      </c>
      <c r="G61">
        <f>COUNTIFS(data_adj!$A:$A,"archon-search",data_adj!$C:$C,$A61,data_adj!$E:$E,"TP")</f>
        <v/>
      </c>
      <c r="H61">
        <f>COUNTIFS(data_adj!$A:$A,"archon-search",data_adj!$C:$C,$A61,data_adj!$E:$E,"FP")</f>
        <v/>
      </c>
      <c r="I61">
        <f>IF(F61=0,"",ROUND(100*G61/F61,1))</f>
        <v/>
      </c>
      <c r="J61">
        <f>COUNTIFS(data_llm!$A:$A,"archon-search",data_llm!$C:$C,$A61)</f>
        <v/>
      </c>
      <c r="K61">
        <f>COUNTIFS(data_llm!$A:$A,"archon-search",data_llm!$C:$C,$A61,data_llm!$F:$F,TRUE)</f>
        <v/>
      </c>
      <c r="L61">
        <f>J61-K61</f>
        <v/>
      </c>
      <c r="M61">
        <f>IF(J61=0,"",ROUND(100*K61/J61,1))</f>
        <v/>
      </c>
      <c r="N61">
        <f>IF(F61=0,"",ROUND(E61*G61/F61,0))</f>
        <v/>
      </c>
    </row>
  </sheetData>
  <conditionalFormatting sqref="A2:N61">
    <cfRule type="expression" priority="1" dxfId="0">
      <formula>$E2=0</formula>
    </cfRule>
  </conditionalFormatting>
  <conditionalFormatting sqref="I2:I6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hits:moonset</t>
        </is>
      </c>
      <c r="E1" s="1" t="inlineStr">
        <is>
          <t>hits total</t>
        </is>
      </c>
      <c r="F1" s="1" t="inlineStr">
        <is>
          <t>adjudicated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precision %</t>
        </is>
      </c>
      <c r="J1" s="1" t="inlineStr">
        <is>
          <t>LLM-only found</t>
        </is>
      </c>
      <c r="K1" s="1" t="inlineStr">
        <is>
          <t>overlap w/ script</t>
        </is>
      </c>
      <c r="L1" s="1" t="inlineStr">
        <is>
          <t>script misses</t>
        </is>
      </c>
      <c r="M1" s="1" t="inlineStr">
        <is>
          <t>script coverage %</t>
        </is>
      </c>
      <c r="N1" s="1" t="inlineStr">
        <is>
          <t>est. true hits</t>
        </is>
      </c>
    </row>
    <row r="2">
      <c r="A2" t="inlineStr">
        <is>
          <t>arch-02</t>
        </is>
      </c>
      <c r="B2" t="inlineStr">
        <is>
          <t>Major</t>
        </is>
      </c>
      <c r="C2" t="inlineStr">
        <is>
          <t>Use Case Depending on Framework Type</t>
        </is>
      </c>
      <c r="D2">
        <f>COUNTIFS(data_hits!$A:$A,"moonset",data_hits!$C:$C,$A2)</f>
        <v/>
      </c>
      <c r="E2">
        <f>SUM(D2:D2)</f>
        <v/>
      </c>
      <c r="F2">
        <f>G2+H2</f>
        <v/>
      </c>
      <c r="G2">
        <f>COUNTIFS(data_adj!$A:$A,"moonset",data_adj!$C:$C,$A2,data_adj!$E:$E,"TP")</f>
        <v/>
      </c>
      <c r="H2">
        <f>COUNTIFS(data_adj!$A:$A,"moonset",data_adj!$C:$C,$A2,data_adj!$E:$E,"FP")</f>
        <v/>
      </c>
      <c r="I2">
        <f>IF(F2=0,"",ROUND(100*G2/F2,1))</f>
        <v/>
      </c>
      <c r="J2">
        <f>COUNTIFS(data_llm!$A:$A,"moonset",data_llm!$C:$C,$A2)</f>
        <v/>
      </c>
      <c r="K2">
        <f>COUNTIFS(data_llm!$A:$A,"moonset",data_llm!$C:$C,$A2,data_llm!$F:$F,TRUE)</f>
        <v/>
      </c>
      <c r="L2">
        <f>J2-K2</f>
        <v/>
      </c>
      <c r="M2">
        <f>IF(J2=0,"",ROUND(100*K2/J2,1))</f>
        <v/>
      </c>
      <c r="N2">
        <f>IF(F2=0,"",ROUND(E2*G2/F2,0))</f>
        <v/>
      </c>
    </row>
    <row r="3">
      <c r="A3" t="inlineStr">
        <is>
          <t>arch-03</t>
        </is>
      </c>
      <c r="B3" t="inlineStr">
        <is>
          <t>Major</t>
        </is>
      </c>
      <c r="C3" t="inlineStr">
        <is>
          <t>Domain Entity with ORM Annotations</t>
        </is>
      </c>
      <c r="D3">
        <f>COUNTIFS(data_hits!$A:$A,"moonset",data_hits!$C:$C,$A3)</f>
        <v/>
      </c>
      <c r="E3">
        <f>SUM(D3:D3)</f>
        <v/>
      </c>
      <c r="F3">
        <f>G3+H3</f>
        <v/>
      </c>
      <c r="G3">
        <f>COUNTIFS(data_adj!$A:$A,"moonset",data_adj!$C:$C,$A3,data_adj!$E:$E,"TP")</f>
        <v/>
      </c>
      <c r="H3">
        <f>COUNTIFS(data_adj!$A:$A,"moonset",data_adj!$C:$C,$A3,data_adj!$E:$E,"FP")</f>
        <v/>
      </c>
      <c r="I3">
        <f>IF(F3=0,"",ROUND(100*G3/F3,1))</f>
        <v/>
      </c>
      <c r="J3">
        <f>COUNTIFS(data_llm!$A:$A,"moonset",data_llm!$C:$C,$A3)</f>
        <v/>
      </c>
      <c r="K3">
        <f>COUNTIFS(data_llm!$A:$A,"moonset",data_llm!$C:$C,$A3,data_llm!$F:$F,TRUE)</f>
        <v/>
      </c>
      <c r="L3">
        <f>J3-K3</f>
        <v/>
      </c>
      <c r="M3">
        <f>IF(J3=0,"",ROUND(100*K3/J3,1))</f>
        <v/>
      </c>
      <c r="N3">
        <f>IF(F3=0,"",ROUND(E3*G3/F3,0))</f>
        <v/>
      </c>
    </row>
    <row r="4">
      <c r="A4" t="inlineStr">
        <is>
          <t>arch-05</t>
        </is>
      </c>
      <c r="B4" t="inlineStr">
        <is>
          <t>Major</t>
        </is>
      </c>
      <c r="C4" t="inlineStr">
        <is>
          <t>Infrastructure Exception Leaking</t>
        </is>
      </c>
      <c r="D4">
        <f>COUNTIFS(data_hits!$A:$A,"moonset",data_hits!$C:$C,$A4)</f>
        <v/>
      </c>
      <c r="E4">
        <f>SUM(D4:D4)</f>
        <v/>
      </c>
      <c r="F4">
        <f>G4+H4</f>
        <v/>
      </c>
      <c r="G4">
        <f>COUNTIFS(data_adj!$A:$A,"moonset",data_adj!$C:$C,$A4,data_adj!$E:$E,"TP")</f>
        <v/>
      </c>
      <c r="H4">
        <f>COUNTIFS(data_adj!$A:$A,"moonset",data_adj!$C:$C,$A4,data_adj!$E:$E,"FP")</f>
        <v/>
      </c>
      <c r="I4">
        <f>IF(F4=0,"",ROUND(100*G4/F4,1))</f>
        <v/>
      </c>
      <c r="J4">
        <f>COUNTIFS(data_llm!$A:$A,"moonset",data_llm!$C:$C,$A4)</f>
        <v/>
      </c>
      <c r="K4">
        <f>COUNTIFS(data_llm!$A:$A,"moonset",data_llm!$C:$C,$A4,data_llm!$F:$F,TRUE)</f>
        <v/>
      </c>
      <c r="L4">
        <f>J4-K4</f>
        <v/>
      </c>
      <c r="M4">
        <f>IF(J4=0,"",ROUND(100*K4/J4,1))</f>
        <v/>
      </c>
      <c r="N4">
        <f>IF(F4=0,"",ROUND(E4*G4/F4,0))</f>
        <v/>
      </c>
    </row>
    <row r="5">
      <c r="A5" t="inlineStr">
        <is>
          <t>arch-08</t>
        </is>
      </c>
      <c r="B5" t="inlineStr">
        <is>
          <t>Major</t>
        </is>
      </c>
      <c r="C5" t="inlineStr">
        <is>
          <t>Service Locator / Magic Container</t>
        </is>
      </c>
      <c r="D5">
        <f>COUNTIFS(data_hits!$A:$A,"moonset",data_hits!$C:$C,$A5)</f>
        <v/>
      </c>
      <c r="E5">
        <f>SUM(D5:D5)</f>
        <v/>
      </c>
      <c r="F5">
        <f>G5+H5</f>
        <v/>
      </c>
      <c r="G5">
        <f>COUNTIFS(data_adj!$A:$A,"moonset",data_adj!$C:$C,$A5,data_adj!$E:$E,"TP")</f>
        <v/>
      </c>
      <c r="H5">
        <f>COUNTIFS(data_adj!$A:$A,"moonset",data_adj!$C:$C,$A5,data_adj!$E:$E,"FP")</f>
        <v/>
      </c>
      <c r="I5">
        <f>IF(F5=0,"",ROUND(100*G5/F5,1))</f>
        <v/>
      </c>
      <c r="J5">
        <f>COUNTIFS(data_llm!$A:$A,"moonset",data_llm!$C:$C,$A5)</f>
        <v/>
      </c>
      <c r="K5">
        <f>COUNTIFS(data_llm!$A:$A,"moonset",data_llm!$C:$C,$A5,data_llm!$F:$F,TRUE)</f>
        <v/>
      </c>
      <c r="L5">
        <f>J5-K5</f>
        <v/>
      </c>
      <c r="M5">
        <f>IF(J5=0,"",ROUND(100*K5/J5,1))</f>
        <v/>
      </c>
      <c r="N5">
        <f>IF(F5=0,"",ROUND(E5*G5/F5,0))</f>
        <v/>
      </c>
    </row>
    <row r="6">
      <c r="A6" t="inlineStr">
        <is>
          <t>arch-09</t>
        </is>
      </c>
      <c r="B6" t="inlineStr">
        <is>
          <t>Moderate</t>
        </is>
      </c>
      <c r="C6" t="inlineStr">
        <is>
          <t>Environment-Specific Branching in Business Logic</t>
        </is>
      </c>
      <c r="D6">
        <f>COUNTIFS(data_hits!$A:$A,"moonset",data_hits!$C:$C,$A6)</f>
        <v/>
      </c>
      <c r="E6">
        <f>SUM(D6:D6)</f>
        <v/>
      </c>
      <c r="F6">
        <f>G6+H6</f>
        <v/>
      </c>
      <c r="G6">
        <f>COUNTIFS(data_adj!$A:$A,"moonset",data_adj!$C:$C,$A6,data_adj!$E:$E,"TP")</f>
        <v/>
      </c>
      <c r="H6">
        <f>COUNTIFS(data_adj!$A:$A,"moonset",data_adj!$C:$C,$A6,data_adj!$E:$E,"FP")</f>
        <v/>
      </c>
      <c r="I6">
        <f>IF(F6=0,"",ROUND(100*G6/F6,1))</f>
        <v/>
      </c>
      <c r="J6">
        <f>COUNTIFS(data_llm!$A:$A,"moonset",data_llm!$C:$C,$A6)</f>
        <v/>
      </c>
      <c r="K6">
        <f>COUNTIFS(data_llm!$A:$A,"moonset",data_llm!$C:$C,$A6,data_llm!$F:$F,TRUE)</f>
        <v/>
      </c>
      <c r="L6">
        <f>J6-K6</f>
        <v/>
      </c>
      <c r="M6">
        <f>IF(J6=0,"",ROUND(100*K6/J6,1))</f>
        <v/>
      </c>
      <c r="N6">
        <f>IF(F6=0,"",ROUND(E6*G6/F6,0))</f>
        <v/>
      </c>
    </row>
    <row r="7">
      <c r="A7" t="inlineStr">
        <is>
          <t>arch-11</t>
        </is>
      </c>
      <c r="B7" t="inlineStr">
        <is>
          <t>Moderate</t>
        </is>
      </c>
      <c r="C7" t="inlineStr">
        <is>
          <t>Environment Address Hardcoded in Code</t>
        </is>
      </c>
      <c r="D7">
        <f>COUNTIFS(data_hits!$A:$A,"moonset",data_hits!$C:$C,$A7)</f>
        <v/>
      </c>
      <c r="E7">
        <f>SUM(D7:D7)</f>
        <v/>
      </c>
      <c r="F7">
        <f>G7+H7</f>
        <v/>
      </c>
      <c r="G7">
        <f>COUNTIFS(data_adj!$A:$A,"moonset",data_adj!$C:$C,$A7,data_adj!$E:$E,"TP")</f>
        <v/>
      </c>
      <c r="H7">
        <f>COUNTIFS(data_adj!$A:$A,"moonset",data_adj!$C:$C,$A7,data_adj!$E:$E,"FP")</f>
        <v/>
      </c>
      <c r="I7">
        <f>IF(F7=0,"",ROUND(100*G7/F7,1))</f>
        <v/>
      </c>
      <c r="J7">
        <f>COUNTIFS(data_llm!$A:$A,"moonset",data_llm!$C:$C,$A7)</f>
        <v/>
      </c>
      <c r="K7">
        <f>COUNTIFS(data_llm!$A:$A,"moonset",data_llm!$C:$C,$A7,data_llm!$F:$F,TRUE)</f>
        <v/>
      </c>
      <c r="L7">
        <f>J7-K7</f>
        <v/>
      </c>
      <c r="M7">
        <f>IF(J7=0,"",ROUND(100*K7/J7,1))</f>
        <v/>
      </c>
      <c r="N7">
        <f>IF(F7=0,"",ROUND(E7*G7/F7,0))</f>
        <v/>
      </c>
    </row>
    <row r="8">
      <c r="A8" t="inlineStr">
        <is>
          <t>arch-12</t>
        </is>
      </c>
      <c r="B8" t="inlineStr">
        <is>
          <t>Major</t>
        </is>
      </c>
      <c r="C8" t="inlineStr">
        <is>
          <t>Cache Key Lifecycle Mismatch</t>
        </is>
      </c>
      <c r="D8">
        <f>COUNTIFS(data_hits!$A:$A,"moonset",data_hits!$C:$C,$A8)</f>
        <v/>
      </c>
      <c r="E8">
        <f>SUM(D8:D8)</f>
        <v/>
      </c>
      <c r="F8">
        <f>G8+H8</f>
        <v/>
      </c>
      <c r="G8">
        <f>COUNTIFS(data_adj!$A:$A,"moonset",data_adj!$C:$C,$A8,data_adj!$E:$E,"TP")</f>
        <v/>
      </c>
      <c r="H8">
        <f>COUNTIFS(data_adj!$A:$A,"moonset",data_adj!$C:$C,$A8,data_adj!$E:$E,"FP")</f>
        <v/>
      </c>
      <c r="I8">
        <f>IF(F8=0,"",ROUND(100*G8/F8,1))</f>
        <v/>
      </c>
      <c r="J8">
        <f>COUNTIFS(data_llm!$A:$A,"moonset",data_llm!$C:$C,$A8)</f>
        <v/>
      </c>
      <c r="K8">
        <f>COUNTIFS(data_llm!$A:$A,"moonset",data_llm!$C:$C,$A8,data_llm!$F:$F,TRUE)</f>
        <v/>
      </c>
      <c r="L8">
        <f>J8-K8</f>
        <v/>
      </c>
      <c r="M8">
        <f>IF(J8=0,"",ROUND(100*K8/J8,1))</f>
        <v/>
      </c>
      <c r="N8">
        <f>IF(F8=0,"",ROUND(E8*G8/F8,0))</f>
        <v/>
      </c>
    </row>
    <row r="9">
      <c r="A9" t="inlineStr">
        <is>
          <t>clarity-06</t>
        </is>
      </c>
      <c r="B9" t="inlineStr">
        <is>
          <t>Minor</t>
        </is>
      </c>
      <c r="C9" t="inlineStr">
        <is>
          <t>Noise Words in Names</t>
        </is>
      </c>
      <c r="D9">
        <f>COUNTIFS(data_hits!$A:$A,"moonset",data_hits!$C:$C,$A9)</f>
        <v/>
      </c>
      <c r="E9">
        <f>SUM(D9:D9)</f>
        <v/>
      </c>
      <c r="F9">
        <f>G9+H9</f>
        <v/>
      </c>
      <c r="G9">
        <f>COUNTIFS(data_adj!$A:$A,"moonset",data_adj!$C:$C,$A9,data_adj!$E:$E,"TP")</f>
        <v/>
      </c>
      <c r="H9">
        <f>COUNTIFS(data_adj!$A:$A,"moonset",data_adj!$C:$C,$A9,data_adj!$E:$E,"FP")</f>
        <v/>
      </c>
      <c r="I9">
        <f>IF(F9=0,"",ROUND(100*G9/F9,1))</f>
        <v/>
      </c>
      <c r="J9">
        <f>COUNTIFS(data_llm!$A:$A,"moonset",data_llm!$C:$C,$A9)</f>
        <v/>
      </c>
      <c r="K9">
        <f>COUNTIFS(data_llm!$A:$A,"moonset",data_llm!$C:$C,$A9,data_llm!$F:$F,TRUE)</f>
        <v/>
      </c>
      <c r="L9">
        <f>J9-K9</f>
        <v/>
      </c>
      <c r="M9">
        <f>IF(J9=0,"",ROUND(100*K9/J9,1))</f>
        <v/>
      </c>
      <c r="N9">
        <f>IF(F9=0,"",ROUND(E9*G9/F9,0))</f>
        <v/>
      </c>
    </row>
    <row r="10">
      <c r="A10" t="inlineStr">
        <is>
          <t>clarity-09</t>
        </is>
      </c>
      <c r="B10" t="inlineStr">
        <is>
          <t>Moderate</t>
        </is>
      </c>
      <c r="C10" t="inlineStr">
        <is>
          <t>Complex Boolean Conditions Not Extracted</t>
        </is>
      </c>
      <c r="D10">
        <f>COUNTIFS(data_hits!$A:$A,"moonset",data_hits!$C:$C,$A10)</f>
        <v/>
      </c>
      <c r="E10">
        <f>SUM(D10:D10)</f>
        <v/>
      </c>
      <c r="F10">
        <f>G10+H10</f>
        <v/>
      </c>
      <c r="G10">
        <f>COUNTIFS(data_adj!$A:$A,"moonset",data_adj!$C:$C,$A10,data_adj!$E:$E,"TP")</f>
        <v/>
      </c>
      <c r="H10">
        <f>COUNTIFS(data_adj!$A:$A,"moonset",data_adj!$C:$C,$A10,data_adj!$E:$E,"FP")</f>
        <v/>
      </c>
      <c r="I10">
        <f>IF(F10=0,"",ROUND(100*G10/F10,1))</f>
        <v/>
      </c>
      <c r="J10">
        <f>COUNTIFS(data_llm!$A:$A,"moonset",data_llm!$C:$C,$A10)</f>
        <v/>
      </c>
      <c r="K10">
        <f>COUNTIFS(data_llm!$A:$A,"moonset",data_llm!$C:$C,$A10,data_llm!$F:$F,TRUE)</f>
        <v/>
      </c>
      <c r="L10">
        <f>J10-K10</f>
        <v/>
      </c>
      <c r="M10">
        <f>IF(J10=0,"",ROUND(100*K10/J10,1))</f>
        <v/>
      </c>
      <c r="N10">
        <f>IF(F10=0,"",ROUND(E10*G10/F10,0))</f>
        <v/>
      </c>
    </row>
    <row r="11">
      <c r="A11" t="inlineStr">
        <is>
          <t>clarity-16</t>
        </is>
      </c>
      <c r="B11" t="inlineStr">
        <is>
          <t>Major</t>
        </is>
      </c>
      <c r="C11" t="inlineStr">
        <is>
          <t>Cyclomatic Complexity</t>
        </is>
      </c>
      <c r="D11">
        <f>COUNTIFS(data_hits!$A:$A,"moonset",data_hits!$C:$C,$A11)</f>
        <v/>
      </c>
      <c r="E11">
        <f>SUM(D11:D11)</f>
        <v/>
      </c>
      <c r="F11">
        <f>G11+H11</f>
        <v/>
      </c>
      <c r="G11">
        <f>COUNTIFS(data_adj!$A:$A,"moonset",data_adj!$C:$C,$A11,data_adj!$E:$E,"TP")</f>
        <v/>
      </c>
      <c r="H11">
        <f>COUNTIFS(data_adj!$A:$A,"moonset",data_adj!$C:$C,$A11,data_adj!$E:$E,"FP")</f>
        <v/>
      </c>
      <c r="I11">
        <f>IF(F11=0,"",ROUND(100*G11/F11,1))</f>
        <v/>
      </c>
      <c r="J11">
        <f>COUNTIFS(data_llm!$A:$A,"moonset",data_llm!$C:$C,$A11)</f>
        <v/>
      </c>
      <c r="K11">
        <f>COUNTIFS(data_llm!$A:$A,"moonset",data_llm!$C:$C,$A11,data_llm!$F:$F,TRUE)</f>
        <v/>
      </c>
      <c r="L11">
        <f>J11-K11</f>
        <v/>
      </c>
      <c r="M11">
        <f>IF(J11=0,"",ROUND(100*K11/J11,1))</f>
        <v/>
      </c>
      <c r="N11">
        <f>IF(F11=0,"",ROUND(E11*G11/F11,0))</f>
        <v/>
      </c>
    </row>
    <row r="12">
      <c r="A12" t="inlineStr">
        <is>
          <t>clarity-17</t>
        </is>
      </c>
      <c r="B12" t="inlineStr">
        <is>
          <t>Moderate</t>
        </is>
      </c>
      <c r="C12" t="inlineStr">
        <is>
          <t>Function Length</t>
        </is>
      </c>
      <c r="D12">
        <f>COUNTIFS(data_hits!$A:$A,"moonset",data_hits!$C:$C,$A12)</f>
        <v/>
      </c>
      <c r="E12">
        <f>SUM(D12:D12)</f>
        <v/>
      </c>
      <c r="F12">
        <f>G12+H12</f>
        <v/>
      </c>
      <c r="G12">
        <f>COUNTIFS(data_adj!$A:$A,"moonset",data_adj!$C:$C,$A12,data_adj!$E:$E,"TP")</f>
        <v/>
      </c>
      <c r="H12">
        <f>COUNTIFS(data_adj!$A:$A,"moonset",data_adj!$C:$C,$A12,data_adj!$E:$E,"FP")</f>
        <v/>
      </c>
      <c r="I12">
        <f>IF(F12=0,"",ROUND(100*G12/F12,1))</f>
        <v/>
      </c>
      <c r="J12">
        <f>COUNTIFS(data_llm!$A:$A,"moonset",data_llm!$C:$C,$A12)</f>
        <v/>
      </c>
      <c r="K12">
        <f>COUNTIFS(data_llm!$A:$A,"moonset",data_llm!$C:$C,$A12,data_llm!$F:$F,TRUE)</f>
        <v/>
      </c>
      <c r="L12">
        <f>J12-K12</f>
        <v/>
      </c>
      <c r="M12">
        <f>IF(J12=0,"",ROUND(100*K12/J12,1))</f>
        <v/>
      </c>
      <c r="N12">
        <f>IF(F12=0,"",ROUND(E12*G12/F12,0))</f>
        <v/>
      </c>
    </row>
    <row r="13">
      <c r="A13" t="inlineStr">
        <is>
          <t>ddd-01</t>
        </is>
      </c>
      <c r="B13" t="inlineStr">
        <is>
          <t>Major</t>
        </is>
      </c>
      <c r="C13" t="inlineStr">
        <is>
          <t>Value Object Mutability</t>
        </is>
      </c>
      <c r="D13">
        <f>COUNTIFS(data_hits!$A:$A,"moonset",data_hits!$C:$C,$A13)</f>
        <v/>
      </c>
      <c r="E13">
        <f>SUM(D13:D13)</f>
        <v/>
      </c>
      <c r="F13">
        <f>G13+H13</f>
        <v/>
      </c>
      <c r="G13">
        <f>COUNTIFS(data_adj!$A:$A,"moonset",data_adj!$C:$C,$A13,data_adj!$E:$E,"TP")</f>
        <v/>
      </c>
      <c r="H13">
        <f>COUNTIFS(data_adj!$A:$A,"moonset",data_adj!$C:$C,$A13,data_adj!$E:$E,"FP")</f>
        <v/>
      </c>
      <c r="I13">
        <f>IF(F13=0,"",ROUND(100*G13/F13,1))</f>
        <v/>
      </c>
      <c r="J13">
        <f>COUNTIFS(data_llm!$A:$A,"moonset",data_llm!$C:$C,$A13)</f>
        <v/>
      </c>
      <c r="K13">
        <f>COUNTIFS(data_llm!$A:$A,"moonset",data_llm!$C:$C,$A13,data_llm!$F:$F,TRUE)</f>
        <v/>
      </c>
      <c r="L13">
        <f>J13-K13</f>
        <v/>
      </c>
      <c r="M13">
        <f>IF(J13=0,"",ROUND(100*K13/J13,1))</f>
        <v/>
      </c>
      <c r="N13">
        <f>IF(F13=0,"",ROUND(E13*G13/F13,0))</f>
        <v/>
      </c>
    </row>
    <row r="14">
      <c r="A14" t="inlineStr">
        <is>
          <t>ddd-06</t>
        </is>
      </c>
      <c r="B14" t="inlineStr">
        <is>
          <t>Major</t>
        </is>
      </c>
      <c r="C14" t="inlineStr">
        <is>
          <t>Bounded Context Coupling</t>
        </is>
      </c>
      <c r="D14">
        <f>COUNTIFS(data_hits!$A:$A,"moonset",data_hits!$C:$C,$A14)</f>
        <v/>
      </c>
      <c r="E14">
        <f>SUM(D14:D14)</f>
        <v/>
      </c>
      <c r="F14">
        <f>G14+H14</f>
        <v/>
      </c>
      <c r="G14">
        <f>COUNTIFS(data_adj!$A:$A,"moonset",data_adj!$C:$C,$A14,data_adj!$E:$E,"TP")</f>
        <v/>
      </c>
      <c r="H14">
        <f>COUNTIFS(data_adj!$A:$A,"moonset",data_adj!$C:$C,$A14,data_adj!$E:$E,"FP")</f>
        <v/>
      </c>
      <c r="I14">
        <f>IF(F14=0,"",ROUND(100*G14/F14,1))</f>
        <v/>
      </c>
      <c r="J14">
        <f>COUNTIFS(data_llm!$A:$A,"moonset",data_llm!$C:$C,$A14)</f>
        <v/>
      </c>
      <c r="K14">
        <f>COUNTIFS(data_llm!$A:$A,"moonset",data_llm!$C:$C,$A14,data_llm!$F:$F,TRUE)</f>
        <v/>
      </c>
      <c r="L14">
        <f>J14-K14</f>
        <v/>
      </c>
      <c r="M14">
        <f>IF(J14=0,"",ROUND(100*K14/J14,1))</f>
        <v/>
      </c>
      <c r="N14">
        <f>IF(F14=0,"",ROUND(E14*G14/F14,0))</f>
        <v/>
      </c>
    </row>
    <row r="15">
      <c r="A15" t="inlineStr">
        <is>
          <t>ddd-07</t>
        </is>
      </c>
      <c r="B15" t="inlineStr">
        <is>
          <t>Major</t>
        </is>
      </c>
      <c r="C15" t="inlineStr">
        <is>
          <t>Mutable Collection Leaked from Aggregate</t>
        </is>
      </c>
      <c r="D15">
        <f>COUNTIFS(data_hits!$A:$A,"moonset",data_hits!$C:$C,$A15)</f>
        <v/>
      </c>
      <c r="E15">
        <f>SUM(D15:D15)</f>
        <v/>
      </c>
      <c r="F15">
        <f>G15+H15</f>
        <v/>
      </c>
      <c r="G15">
        <f>COUNTIFS(data_adj!$A:$A,"moonset",data_adj!$C:$C,$A15,data_adj!$E:$E,"TP")</f>
        <v/>
      </c>
      <c r="H15">
        <f>COUNTIFS(data_adj!$A:$A,"moonset",data_adj!$C:$C,$A15,data_adj!$E:$E,"FP")</f>
        <v/>
      </c>
      <c r="I15">
        <f>IF(F15=0,"",ROUND(100*G15/F15,1))</f>
        <v/>
      </c>
      <c r="J15">
        <f>COUNTIFS(data_llm!$A:$A,"moonset",data_llm!$C:$C,$A15)</f>
        <v/>
      </c>
      <c r="K15">
        <f>COUNTIFS(data_llm!$A:$A,"moonset",data_llm!$C:$C,$A15,data_llm!$F:$F,TRUE)</f>
        <v/>
      </c>
      <c r="L15">
        <f>J15-K15</f>
        <v/>
      </c>
      <c r="M15">
        <f>IF(J15=0,"",ROUND(100*K15/J15,1))</f>
        <v/>
      </c>
      <c r="N15">
        <f>IF(F15=0,"",ROUND(E15*G15/F15,0))</f>
        <v/>
      </c>
    </row>
    <row r="16">
      <c r="A16" t="inlineStr">
        <is>
          <t>safety-01</t>
        </is>
      </c>
      <c r="B16" t="inlineStr">
        <is>
          <t>Critical</t>
        </is>
      </c>
      <c r="C16" t="inlineStr">
        <is>
          <t>Resource Leak</t>
        </is>
      </c>
      <c r="D16">
        <f>COUNTIFS(data_hits!$A:$A,"moonset",data_hits!$C:$C,$A16)</f>
        <v/>
      </c>
      <c r="E16">
        <f>SUM(D16:D16)</f>
        <v/>
      </c>
      <c r="F16">
        <f>G16+H16</f>
        <v/>
      </c>
      <c r="G16">
        <f>COUNTIFS(data_adj!$A:$A,"moonset",data_adj!$C:$C,$A16,data_adj!$E:$E,"TP")</f>
        <v/>
      </c>
      <c r="H16">
        <f>COUNTIFS(data_adj!$A:$A,"moonset",data_adj!$C:$C,$A16,data_adj!$E:$E,"FP")</f>
        <v/>
      </c>
      <c r="I16">
        <f>IF(F16=0,"",ROUND(100*G16/F16,1))</f>
        <v/>
      </c>
      <c r="J16">
        <f>COUNTIFS(data_llm!$A:$A,"moonset",data_llm!$C:$C,$A16)</f>
        <v/>
      </c>
      <c r="K16">
        <f>COUNTIFS(data_llm!$A:$A,"moonset",data_llm!$C:$C,$A16,data_llm!$F:$F,TRUE)</f>
        <v/>
      </c>
      <c r="L16">
        <f>J16-K16</f>
        <v/>
      </c>
      <c r="M16">
        <f>IF(J16=0,"",ROUND(100*K16/J16,1))</f>
        <v/>
      </c>
      <c r="N16">
        <f>IF(F16=0,"",ROUND(E16*G16/F16,0))</f>
        <v/>
      </c>
    </row>
    <row r="17">
      <c r="A17" t="inlineStr">
        <is>
          <t>safety-02</t>
        </is>
      </c>
      <c r="B17" t="inlineStr">
        <is>
          <t>Critical</t>
        </is>
      </c>
      <c r="C17" t="inlineStr">
        <is>
          <t>Unsafe Null Dereference / Force Unwrap</t>
        </is>
      </c>
      <c r="D17">
        <f>COUNTIFS(data_hits!$A:$A,"moonset",data_hits!$C:$C,$A17)</f>
        <v/>
      </c>
      <c r="E17">
        <f>SUM(D17:D17)</f>
        <v/>
      </c>
      <c r="F17">
        <f>G17+H17</f>
        <v/>
      </c>
      <c r="G17">
        <f>COUNTIFS(data_adj!$A:$A,"moonset",data_adj!$C:$C,$A17,data_adj!$E:$E,"TP")</f>
        <v/>
      </c>
      <c r="H17">
        <f>COUNTIFS(data_adj!$A:$A,"moonset",data_adj!$C:$C,$A17,data_adj!$E:$E,"FP")</f>
        <v/>
      </c>
      <c r="I17">
        <f>IF(F17=0,"",ROUND(100*G17/F17,1))</f>
        <v/>
      </c>
      <c r="J17">
        <f>COUNTIFS(data_llm!$A:$A,"moonset",data_llm!$C:$C,$A17)</f>
        <v/>
      </c>
      <c r="K17">
        <f>COUNTIFS(data_llm!$A:$A,"moonset",data_llm!$C:$C,$A17,data_llm!$F:$F,TRUE)</f>
        <v/>
      </c>
      <c r="L17">
        <f>J17-K17</f>
        <v/>
      </c>
      <c r="M17">
        <f>IF(J17=0,"",ROUND(100*K17/J17,1))</f>
        <v/>
      </c>
      <c r="N17">
        <f>IF(F17=0,"",ROUND(E17*G17/F17,0))</f>
        <v/>
      </c>
    </row>
    <row r="18">
      <c r="A18" t="inlineStr">
        <is>
          <t>safety-03</t>
        </is>
      </c>
      <c r="B18" t="inlineStr">
        <is>
          <t>Major</t>
        </is>
      </c>
      <c r="C18" t="inlineStr">
        <is>
          <t>Fire-and-Forget Async Without Error Handling</t>
        </is>
      </c>
      <c r="D18">
        <f>COUNTIFS(data_hits!$A:$A,"moonset",data_hits!$C:$C,$A18)</f>
        <v/>
      </c>
      <c r="E18">
        <f>SUM(D18:D18)</f>
        <v/>
      </c>
      <c r="F18">
        <f>G18+H18</f>
        <v/>
      </c>
      <c r="G18">
        <f>COUNTIFS(data_adj!$A:$A,"moonset",data_adj!$C:$C,$A18,data_adj!$E:$E,"TP")</f>
        <v/>
      </c>
      <c r="H18">
        <f>COUNTIFS(data_adj!$A:$A,"moonset",data_adj!$C:$C,$A18,data_adj!$E:$E,"FP")</f>
        <v/>
      </c>
      <c r="I18">
        <f>IF(F18=0,"",ROUND(100*G18/F18,1))</f>
        <v/>
      </c>
      <c r="J18">
        <f>COUNTIFS(data_llm!$A:$A,"moonset",data_llm!$C:$C,$A18)</f>
        <v/>
      </c>
      <c r="K18">
        <f>COUNTIFS(data_llm!$A:$A,"moonset",data_llm!$C:$C,$A18,data_llm!$F:$F,TRUE)</f>
        <v/>
      </c>
      <c r="L18">
        <f>J18-K18</f>
        <v/>
      </c>
      <c r="M18">
        <f>IF(J18=0,"",ROUND(100*K18/J18,1))</f>
        <v/>
      </c>
      <c r="N18">
        <f>IF(F18=0,"",ROUND(E18*G18/F18,0))</f>
        <v/>
      </c>
    </row>
    <row r="19">
      <c r="A19" t="inlineStr">
        <is>
          <t>safety-05</t>
        </is>
      </c>
      <c r="B19" t="inlineStr">
        <is>
          <t>Critical</t>
        </is>
      </c>
      <c r="C19" t="inlineStr">
        <is>
          <t>Check-Then-Act Race Condition</t>
        </is>
      </c>
      <c r="D19">
        <f>COUNTIFS(data_hits!$A:$A,"moonset",data_hits!$C:$C,$A19)</f>
        <v/>
      </c>
      <c r="E19">
        <f>SUM(D19:D19)</f>
        <v/>
      </c>
      <c r="F19">
        <f>G19+H19</f>
        <v/>
      </c>
      <c r="G19">
        <f>COUNTIFS(data_adj!$A:$A,"moonset",data_adj!$C:$C,$A19,data_adj!$E:$E,"TP")</f>
        <v/>
      </c>
      <c r="H19">
        <f>COUNTIFS(data_adj!$A:$A,"moonset",data_adj!$C:$C,$A19,data_adj!$E:$E,"FP")</f>
        <v/>
      </c>
      <c r="I19">
        <f>IF(F19=0,"",ROUND(100*G19/F19,1))</f>
        <v/>
      </c>
      <c r="J19">
        <f>COUNTIFS(data_llm!$A:$A,"moonset",data_llm!$C:$C,$A19)</f>
        <v/>
      </c>
      <c r="K19">
        <f>COUNTIFS(data_llm!$A:$A,"moonset",data_llm!$C:$C,$A19,data_llm!$F:$F,TRUE)</f>
        <v/>
      </c>
      <c r="L19">
        <f>J19-K19</f>
        <v/>
      </c>
      <c r="M19">
        <f>IF(J19=0,"",ROUND(100*K19/J19,1))</f>
        <v/>
      </c>
      <c r="N19">
        <f>IF(F19=0,"",ROUND(E19*G19/F19,0))</f>
        <v/>
      </c>
    </row>
    <row r="20">
      <c r="A20" t="inlineStr">
        <is>
          <t>safety-06</t>
        </is>
      </c>
      <c r="B20" t="inlineStr">
        <is>
          <t>Major</t>
        </is>
      </c>
      <c r="C20" t="inlineStr">
        <is>
          <t>Blocking I/O in Async Context</t>
        </is>
      </c>
      <c r="D20">
        <f>COUNTIFS(data_hits!$A:$A,"moonset",data_hits!$C:$C,$A20)</f>
        <v/>
      </c>
      <c r="E20">
        <f>SUM(D20:D20)</f>
        <v/>
      </c>
      <c r="F20">
        <f>G20+H20</f>
        <v/>
      </c>
      <c r="G20">
        <f>COUNTIFS(data_adj!$A:$A,"moonset",data_adj!$C:$C,$A20,data_adj!$E:$E,"TP")</f>
        <v/>
      </c>
      <c r="H20">
        <f>COUNTIFS(data_adj!$A:$A,"moonset",data_adj!$C:$C,$A20,data_adj!$E:$E,"FP")</f>
        <v/>
      </c>
      <c r="I20">
        <f>IF(F20=0,"",ROUND(100*G20/F20,1))</f>
        <v/>
      </c>
      <c r="J20">
        <f>COUNTIFS(data_llm!$A:$A,"moonset",data_llm!$C:$C,$A20)</f>
        <v/>
      </c>
      <c r="K20">
        <f>COUNTIFS(data_llm!$A:$A,"moonset",data_llm!$C:$C,$A20,data_llm!$F:$F,TRUE)</f>
        <v/>
      </c>
      <c r="L20">
        <f>J20-K20</f>
        <v/>
      </c>
      <c r="M20">
        <f>IF(J20=0,"",ROUND(100*K20/J20,1))</f>
        <v/>
      </c>
      <c r="N20">
        <f>IF(F20=0,"",ROUND(E20*G20/F20,0))</f>
        <v/>
      </c>
    </row>
    <row r="21">
      <c r="A21" t="inlineStr">
        <is>
          <t>safety-07</t>
        </is>
      </c>
      <c r="B21" t="inlineStr">
        <is>
          <t>Moderate</t>
        </is>
      </c>
      <c r="C21" t="inlineStr">
        <is>
          <t>Suppressed Compiler/Linter Warnings</t>
        </is>
      </c>
      <c r="D21">
        <f>COUNTIFS(data_hits!$A:$A,"moonset",data_hits!$C:$C,$A21)</f>
        <v/>
      </c>
      <c r="E21">
        <f>SUM(D21:D21)</f>
        <v/>
      </c>
      <c r="F21">
        <f>G21+H21</f>
        <v/>
      </c>
      <c r="G21">
        <f>COUNTIFS(data_adj!$A:$A,"moonset",data_adj!$C:$C,$A21,data_adj!$E:$E,"TP")</f>
        <v/>
      </c>
      <c r="H21">
        <f>COUNTIFS(data_adj!$A:$A,"moonset",data_adj!$C:$C,$A21,data_adj!$E:$E,"FP")</f>
        <v/>
      </c>
      <c r="I21">
        <f>IF(F21=0,"",ROUND(100*G21/F21,1))</f>
        <v/>
      </c>
      <c r="J21">
        <f>COUNTIFS(data_llm!$A:$A,"moonset",data_llm!$C:$C,$A21)</f>
        <v/>
      </c>
      <c r="K21">
        <f>COUNTIFS(data_llm!$A:$A,"moonset",data_llm!$C:$C,$A21,data_llm!$F:$F,TRUE)</f>
        <v/>
      </c>
      <c r="L21">
        <f>J21-K21</f>
        <v/>
      </c>
      <c r="M21">
        <f>IF(J21=0,"",ROUND(100*K21/J21,1))</f>
        <v/>
      </c>
      <c r="N21">
        <f>IF(F21=0,"",ROUND(E21*G21/F21,0))</f>
        <v/>
      </c>
    </row>
    <row r="22">
      <c r="A22" t="inlineStr">
        <is>
          <t>safety-08</t>
        </is>
      </c>
      <c r="B22" t="inlineStr">
        <is>
          <t>Major</t>
        </is>
      </c>
      <c r="C22" t="inlineStr">
        <is>
          <t>External Call Without Timeout or Cancellation</t>
        </is>
      </c>
      <c r="D22">
        <f>COUNTIFS(data_hits!$A:$A,"moonset",data_hits!$C:$C,$A22)</f>
        <v/>
      </c>
      <c r="E22">
        <f>SUM(D22:D22)</f>
        <v/>
      </c>
      <c r="F22">
        <f>G22+H22</f>
        <v/>
      </c>
      <c r="G22">
        <f>COUNTIFS(data_adj!$A:$A,"moonset",data_adj!$C:$C,$A22,data_adj!$E:$E,"TP")</f>
        <v/>
      </c>
      <c r="H22">
        <f>COUNTIFS(data_adj!$A:$A,"moonset",data_adj!$C:$C,$A22,data_adj!$E:$E,"FP")</f>
        <v/>
      </c>
      <c r="I22">
        <f>IF(F22=0,"",ROUND(100*G22/F22,1))</f>
        <v/>
      </c>
      <c r="J22">
        <f>COUNTIFS(data_llm!$A:$A,"moonset",data_llm!$C:$C,$A22)</f>
        <v/>
      </c>
      <c r="K22">
        <f>COUNTIFS(data_llm!$A:$A,"moonset",data_llm!$C:$C,$A22,data_llm!$F:$F,TRUE)</f>
        <v/>
      </c>
      <c r="L22">
        <f>J22-K22</f>
        <v/>
      </c>
      <c r="M22">
        <f>IF(J22=0,"",ROUND(100*K22/J22,1))</f>
        <v/>
      </c>
      <c r="N22">
        <f>IF(F22=0,"",ROUND(E22*G22/F22,0))</f>
        <v/>
      </c>
    </row>
    <row r="23">
      <c r="A23" t="inlineStr">
        <is>
          <t>safety-09</t>
        </is>
      </c>
      <c r="B23" t="inlineStr">
        <is>
          <t>Critical</t>
        </is>
      </c>
      <c r="C23" t="inlineStr">
        <is>
          <t>Fire-and-Forget Async Method Declaration</t>
        </is>
      </c>
      <c r="D23">
        <f>COUNTIFS(data_hits!$A:$A,"moonset",data_hits!$C:$C,$A23)</f>
        <v/>
      </c>
      <c r="E23">
        <f>SUM(D23:D23)</f>
        <v/>
      </c>
      <c r="F23">
        <f>G23+H23</f>
        <v/>
      </c>
      <c r="G23">
        <f>COUNTIFS(data_adj!$A:$A,"moonset",data_adj!$C:$C,$A23,data_adj!$E:$E,"TP")</f>
        <v/>
      </c>
      <c r="H23">
        <f>COUNTIFS(data_adj!$A:$A,"moonset",data_adj!$C:$C,$A23,data_adj!$E:$E,"FP")</f>
        <v/>
      </c>
      <c r="I23">
        <f>IF(F23=0,"",ROUND(100*G23/F23,1))</f>
        <v/>
      </c>
      <c r="J23">
        <f>COUNTIFS(data_llm!$A:$A,"moonset",data_llm!$C:$C,$A23)</f>
        <v/>
      </c>
      <c r="K23">
        <f>COUNTIFS(data_llm!$A:$A,"moonset",data_llm!$C:$C,$A23,data_llm!$F:$F,TRUE)</f>
        <v/>
      </c>
      <c r="L23">
        <f>J23-K23</f>
        <v/>
      </c>
      <c r="M23">
        <f>IF(J23=0,"",ROUND(100*K23/J23,1))</f>
        <v/>
      </c>
      <c r="N23">
        <f>IF(F23=0,"",ROUND(E23*G23/F23,0))</f>
        <v/>
      </c>
    </row>
    <row r="24">
      <c r="A24" t="inlineStr">
        <is>
          <t>safety-10</t>
        </is>
      </c>
      <c r="B24" t="inlineStr">
        <is>
          <t>Major</t>
        </is>
      </c>
      <c r="C24" t="inlineStr">
        <is>
          <t>Exception Cause Discarded on Rethrow</t>
        </is>
      </c>
      <c r="D24">
        <f>COUNTIFS(data_hits!$A:$A,"moonset",data_hits!$C:$C,$A24)</f>
        <v/>
      </c>
      <c r="E24">
        <f>SUM(D24:D24)</f>
        <v/>
      </c>
      <c r="F24">
        <f>G24+H24</f>
        <v/>
      </c>
      <c r="G24">
        <f>COUNTIFS(data_adj!$A:$A,"moonset",data_adj!$C:$C,$A24,data_adj!$E:$E,"TP")</f>
        <v/>
      </c>
      <c r="H24">
        <f>COUNTIFS(data_adj!$A:$A,"moonset",data_adj!$C:$C,$A24,data_adj!$E:$E,"FP")</f>
        <v/>
      </c>
      <c r="I24">
        <f>IF(F24=0,"",ROUND(100*G24/F24,1))</f>
        <v/>
      </c>
      <c r="J24">
        <f>COUNTIFS(data_llm!$A:$A,"moonset",data_llm!$C:$C,$A24)</f>
        <v/>
      </c>
      <c r="K24">
        <f>COUNTIFS(data_llm!$A:$A,"moonset",data_llm!$C:$C,$A24,data_llm!$F:$F,TRUE)</f>
        <v/>
      </c>
      <c r="L24">
        <f>J24-K24</f>
        <v/>
      </c>
      <c r="M24">
        <f>IF(J24=0,"",ROUND(100*K24/J24,1))</f>
        <v/>
      </c>
      <c r="N24">
        <f>IF(F24=0,"",ROUND(E24*G24/F24,0))</f>
        <v/>
      </c>
    </row>
    <row r="25">
      <c r="A25" t="inlineStr">
        <is>
          <t>safety-11</t>
        </is>
      </c>
      <c r="B25" t="inlineStr">
        <is>
          <t>Major</t>
        </is>
      </c>
      <c r="C25" t="inlineStr">
        <is>
          <t>Unabstracted Clock, Randomness, or Identifier in Production Code</t>
        </is>
      </c>
      <c r="D25">
        <f>COUNTIFS(data_hits!$A:$A,"moonset",data_hits!$C:$C,$A25)</f>
        <v/>
      </c>
      <c r="E25">
        <f>SUM(D25:D25)</f>
        <v/>
      </c>
      <c r="F25">
        <f>G25+H25</f>
        <v/>
      </c>
      <c r="G25">
        <f>COUNTIFS(data_adj!$A:$A,"moonset",data_adj!$C:$C,$A25,data_adj!$E:$E,"TP")</f>
        <v/>
      </c>
      <c r="H25">
        <f>COUNTIFS(data_adj!$A:$A,"moonset",data_adj!$C:$C,$A25,data_adj!$E:$E,"FP")</f>
        <v/>
      </c>
      <c r="I25">
        <f>IF(F25=0,"",ROUND(100*G25/F25,1))</f>
        <v/>
      </c>
      <c r="J25">
        <f>COUNTIFS(data_llm!$A:$A,"moonset",data_llm!$C:$C,$A25)</f>
        <v/>
      </c>
      <c r="K25">
        <f>COUNTIFS(data_llm!$A:$A,"moonset",data_llm!$C:$C,$A25,data_llm!$F:$F,TRUE)</f>
        <v/>
      </c>
      <c r="L25">
        <f>J25-K25</f>
        <v/>
      </c>
      <c r="M25">
        <f>IF(J25=0,"",ROUND(100*K25/J25,1))</f>
        <v/>
      </c>
      <c r="N25">
        <f>IF(F25=0,"",ROUND(E25*G25/F25,0))</f>
        <v/>
      </c>
    </row>
    <row r="26">
      <c r="A26" t="inlineStr">
        <is>
          <t>safety-12</t>
        </is>
      </c>
      <c r="B26" t="inlineStr">
        <is>
          <t>Major</t>
        </is>
      </c>
      <c r="C26" t="inlineStr">
        <is>
          <t>Mutable Default Parameter Value</t>
        </is>
      </c>
      <c r="D26">
        <f>COUNTIFS(data_hits!$A:$A,"moonset",data_hits!$C:$C,$A26)</f>
        <v/>
      </c>
      <c r="E26">
        <f>SUM(D26:D26)</f>
        <v/>
      </c>
      <c r="F26">
        <f>G26+H26</f>
        <v/>
      </c>
      <c r="G26">
        <f>COUNTIFS(data_adj!$A:$A,"moonset",data_adj!$C:$C,$A26,data_adj!$E:$E,"TP")</f>
        <v/>
      </c>
      <c r="H26">
        <f>COUNTIFS(data_adj!$A:$A,"moonset",data_adj!$C:$C,$A26,data_adj!$E:$E,"FP")</f>
        <v/>
      </c>
      <c r="I26">
        <f>IF(F26=0,"",ROUND(100*G26/F26,1))</f>
        <v/>
      </c>
      <c r="J26">
        <f>COUNTIFS(data_llm!$A:$A,"moonset",data_llm!$C:$C,$A26)</f>
        <v/>
      </c>
      <c r="K26">
        <f>COUNTIFS(data_llm!$A:$A,"moonset",data_llm!$C:$C,$A26,data_llm!$F:$F,TRUE)</f>
        <v/>
      </c>
      <c r="L26">
        <f>J26-K26</f>
        <v/>
      </c>
      <c r="M26">
        <f>IF(J26=0,"",ROUND(100*K26/J26,1))</f>
        <v/>
      </c>
      <c r="N26">
        <f>IF(F26=0,"",ROUND(E26*G26/F26,0))</f>
        <v/>
      </c>
    </row>
    <row r="27">
      <c r="A27" t="inlineStr">
        <is>
          <t>safety-13</t>
        </is>
      </c>
      <c r="B27" t="inlineStr">
        <is>
          <t>Major</t>
        </is>
      </c>
      <c r="C27" t="inlineStr">
        <is>
          <t>Assertion Used as Production Validation</t>
        </is>
      </c>
      <c r="D27">
        <f>COUNTIFS(data_hits!$A:$A,"moonset",data_hits!$C:$C,$A27)</f>
        <v/>
      </c>
      <c r="E27">
        <f>SUM(D27:D27)</f>
        <v/>
      </c>
      <c r="F27">
        <f>G27+H27</f>
        <v/>
      </c>
      <c r="G27">
        <f>COUNTIFS(data_adj!$A:$A,"moonset",data_adj!$C:$C,$A27,data_adj!$E:$E,"TP")</f>
        <v/>
      </c>
      <c r="H27">
        <f>COUNTIFS(data_adj!$A:$A,"moonset",data_adj!$C:$C,$A27,data_adj!$E:$E,"FP")</f>
        <v/>
      </c>
      <c r="I27">
        <f>IF(F27=0,"",ROUND(100*G27/F27,1))</f>
        <v/>
      </c>
      <c r="J27">
        <f>COUNTIFS(data_llm!$A:$A,"moonset",data_llm!$C:$C,$A27)</f>
        <v/>
      </c>
      <c r="K27">
        <f>COUNTIFS(data_llm!$A:$A,"moonset",data_llm!$C:$C,$A27,data_llm!$F:$F,TRUE)</f>
        <v/>
      </c>
      <c r="L27">
        <f>J27-K27</f>
        <v/>
      </c>
      <c r="M27">
        <f>IF(J27=0,"",ROUND(100*K27/J27,1))</f>
        <v/>
      </c>
      <c r="N27">
        <f>IF(F27=0,"",ROUND(E27*G27/F27,0))</f>
        <v/>
      </c>
    </row>
    <row r="28">
      <c r="A28" t="inlineStr">
        <is>
          <t>safety-14</t>
        </is>
      </c>
      <c r="B28" t="inlineStr">
        <is>
          <t>Critical</t>
        </is>
      </c>
      <c r="C28" t="inlineStr">
        <is>
          <t>Hardcoded Credential</t>
        </is>
      </c>
      <c r="D28">
        <f>COUNTIFS(data_hits!$A:$A,"moonset",data_hits!$C:$C,$A28)</f>
        <v/>
      </c>
      <c r="E28">
        <f>SUM(D28:D28)</f>
        <v/>
      </c>
      <c r="F28">
        <f>G28+H28</f>
        <v/>
      </c>
      <c r="G28">
        <f>COUNTIFS(data_adj!$A:$A,"moonset",data_adj!$C:$C,$A28,data_adj!$E:$E,"TP")</f>
        <v/>
      </c>
      <c r="H28">
        <f>COUNTIFS(data_adj!$A:$A,"moonset",data_adj!$C:$C,$A28,data_adj!$E:$E,"FP")</f>
        <v/>
      </c>
      <c r="I28">
        <f>IF(F28=0,"",ROUND(100*G28/F28,1))</f>
        <v/>
      </c>
      <c r="J28">
        <f>COUNTIFS(data_llm!$A:$A,"moonset",data_llm!$C:$C,$A28)</f>
        <v/>
      </c>
      <c r="K28">
        <f>COUNTIFS(data_llm!$A:$A,"moonset",data_llm!$C:$C,$A28,data_llm!$F:$F,TRUE)</f>
        <v/>
      </c>
      <c r="L28">
        <f>J28-K28</f>
        <v/>
      </c>
      <c r="M28">
        <f>IF(J28=0,"",ROUND(100*K28/J28,1))</f>
        <v/>
      </c>
      <c r="N28">
        <f>IF(F28=0,"",ROUND(E28*G28/F28,0))</f>
        <v/>
      </c>
    </row>
    <row r="29">
      <c r="A29" t="inlineStr">
        <is>
          <t>safety-15</t>
        </is>
      </c>
      <c r="B29" t="inlineStr">
        <is>
          <t>Critical</t>
        </is>
      </c>
      <c r="C29" t="inlineStr">
        <is>
          <t>Query Built by String Concatenation</t>
        </is>
      </c>
      <c r="D29">
        <f>COUNTIFS(data_hits!$A:$A,"moonset",data_hits!$C:$C,$A29)</f>
        <v/>
      </c>
      <c r="E29">
        <f>SUM(D29:D29)</f>
        <v/>
      </c>
      <c r="F29">
        <f>G29+H29</f>
        <v/>
      </c>
      <c r="G29">
        <f>COUNTIFS(data_adj!$A:$A,"moonset",data_adj!$C:$C,$A29,data_adj!$E:$E,"TP")</f>
        <v/>
      </c>
      <c r="H29">
        <f>COUNTIFS(data_adj!$A:$A,"moonset",data_adj!$C:$C,$A29,data_adj!$E:$E,"FP")</f>
        <v/>
      </c>
      <c r="I29">
        <f>IF(F29=0,"",ROUND(100*G29/F29,1))</f>
        <v/>
      </c>
      <c r="J29">
        <f>COUNTIFS(data_llm!$A:$A,"moonset",data_llm!$C:$C,$A29)</f>
        <v/>
      </c>
      <c r="K29">
        <f>COUNTIFS(data_llm!$A:$A,"moonset",data_llm!$C:$C,$A29,data_llm!$F:$F,TRUE)</f>
        <v/>
      </c>
      <c r="L29">
        <f>J29-K29</f>
        <v/>
      </c>
      <c r="M29">
        <f>IF(J29=0,"",ROUND(100*K29/J29,1))</f>
        <v/>
      </c>
      <c r="N29">
        <f>IF(F29=0,"",ROUND(E29*G29/F29,0))</f>
        <v/>
      </c>
    </row>
    <row r="30">
      <c r="A30" t="inlineStr">
        <is>
          <t>safety-16</t>
        </is>
      </c>
      <c r="B30" t="inlineStr">
        <is>
          <t>Major</t>
        </is>
      </c>
      <c r="C30" t="inlineStr">
        <is>
          <t>Money Held in a Binary Floating-Point Type</t>
        </is>
      </c>
      <c r="D30">
        <f>COUNTIFS(data_hits!$A:$A,"moonset",data_hits!$C:$C,$A30)</f>
        <v/>
      </c>
      <c r="E30">
        <f>SUM(D30:D30)</f>
        <v/>
      </c>
      <c r="F30">
        <f>G30+H30</f>
        <v/>
      </c>
      <c r="G30">
        <f>COUNTIFS(data_adj!$A:$A,"moonset",data_adj!$C:$C,$A30,data_adj!$E:$E,"TP")</f>
        <v/>
      </c>
      <c r="H30">
        <f>COUNTIFS(data_adj!$A:$A,"moonset",data_adj!$C:$C,$A30,data_adj!$E:$E,"FP")</f>
        <v/>
      </c>
      <c r="I30">
        <f>IF(F30=0,"",ROUND(100*G30/F30,1))</f>
        <v/>
      </c>
      <c r="J30">
        <f>COUNTIFS(data_llm!$A:$A,"moonset",data_llm!$C:$C,$A30)</f>
        <v/>
      </c>
      <c r="K30">
        <f>COUNTIFS(data_llm!$A:$A,"moonset",data_llm!$C:$C,$A30,data_llm!$F:$F,TRUE)</f>
        <v/>
      </c>
      <c r="L30">
        <f>J30-K30</f>
        <v/>
      </c>
      <c r="M30">
        <f>IF(J30=0,"",ROUND(100*K30/J30,1))</f>
        <v/>
      </c>
      <c r="N30">
        <f>IF(F30=0,"",ROUND(E30*G30/F30,0))</f>
        <v/>
      </c>
    </row>
    <row r="31">
      <c r="A31" t="inlineStr">
        <is>
          <t>safety-17</t>
        </is>
      </c>
      <c r="B31" t="inlineStr">
        <is>
          <t>Critical</t>
        </is>
      </c>
      <c r="C31" t="inlineStr">
        <is>
          <t>Weak or Broken Cryptographic Primitive</t>
        </is>
      </c>
      <c r="D31">
        <f>COUNTIFS(data_hits!$A:$A,"moonset",data_hits!$C:$C,$A31)</f>
        <v/>
      </c>
      <c r="E31">
        <f>SUM(D31:D31)</f>
        <v/>
      </c>
      <c r="F31">
        <f>G31+H31</f>
        <v/>
      </c>
      <c r="G31">
        <f>COUNTIFS(data_adj!$A:$A,"moonset",data_adj!$C:$C,$A31,data_adj!$E:$E,"TP")</f>
        <v/>
      </c>
      <c r="H31">
        <f>COUNTIFS(data_adj!$A:$A,"moonset",data_adj!$C:$C,$A31,data_adj!$E:$E,"FP")</f>
        <v/>
      </c>
      <c r="I31">
        <f>IF(F31=0,"",ROUND(100*G31/F31,1))</f>
        <v/>
      </c>
      <c r="J31">
        <f>COUNTIFS(data_llm!$A:$A,"moonset",data_llm!$C:$C,$A31)</f>
        <v/>
      </c>
      <c r="K31">
        <f>COUNTIFS(data_llm!$A:$A,"moonset",data_llm!$C:$C,$A31,data_llm!$F:$F,TRUE)</f>
        <v/>
      </c>
      <c r="L31">
        <f>J31-K31</f>
        <v/>
      </c>
      <c r="M31">
        <f>IF(J31=0,"",ROUND(100*K31/J31,1))</f>
        <v/>
      </c>
      <c r="N31">
        <f>IF(F31=0,"",ROUND(E31*G31/F31,0))</f>
        <v/>
      </c>
    </row>
    <row r="32">
      <c r="A32" t="inlineStr">
        <is>
          <t>safety-18</t>
        </is>
      </c>
      <c r="B32" t="inlineStr">
        <is>
          <t>Critical</t>
        </is>
      </c>
      <c r="C32" t="inlineStr">
        <is>
          <t>TLS or Certificate Verification Disabled</t>
        </is>
      </c>
      <c r="D32">
        <f>COUNTIFS(data_hits!$A:$A,"moonset",data_hits!$C:$C,$A32)</f>
        <v/>
      </c>
      <c r="E32">
        <f>SUM(D32:D32)</f>
        <v/>
      </c>
      <c r="F32">
        <f>G32+H32</f>
        <v/>
      </c>
      <c r="G32">
        <f>COUNTIFS(data_adj!$A:$A,"moonset",data_adj!$C:$C,$A32,data_adj!$E:$E,"TP")</f>
        <v/>
      </c>
      <c r="H32">
        <f>COUNTIFS(data_adj!$A:$A,"moonset",data_adj!$C:$C,$A32,data_adj!$E:$E,"FP")</f>
        <v/>
      </c>
      <c r="I32">
        <f>IF(F32=0,"",ROUND(100*G32/F32,1))</f>
        <v/>
      </c>
      <c r="J32">
        <f>COUNTIFS(data_llm!$A:$A,"moonset",data_llm!$C:$C,$A32)</f>
        <v/>
      </c>
      <c r="K32">
        <f>COUNTIFS(data_llm!$A:$A,"moonset",data_llm!$C:$C,$A32,data_llm!$F:$F,TRUE)</f>
        <v/>
      </c>
      <c r="L32">
        <f>J32-K32</f>
        <v/>
      </c>
      <c r="M32">
        <f>IF(J32=0,"",ROUND(100*K32/J32,1))</f>
        <v/>
      </c>
      <c r="N32">
        <f>IF(F32=0,"",ROUND(E32*G32/F32,0))</f>
        <v/>
      </c>
    </row>
    <row r="33">
      <c r="A33" t="inlineStr">
        <is>
          <t>safety-19</t>
        </is>
      </c>
      <c r="B33" t="inlineStr">
        <is>
          <t>Critical</t>
        </is>
      </c>
      <c r="C33" t="inlineStr">
        <is>
          <t>OS Command or Code Injection Surface</t>
        </is>
      </c>
      <c r="D33">
        <f>COUNTIFS(data_hits!$A:$A,"moonset",data_hits!$C:$C,$A33)</f>
        <v/>
      </c>
      <c r="E33">
        <f>SUM(D33:D33)</f>
        <v/>
      </c>
      <c r="F33">
        <f>G33+H33</f>
        <v/>
      </c>
      <c r="G33">
        <f>COUNTIFS(data_adj!$A:$A,"moonset",data_adj!$C:$C,$A33,data_adj!$E:$E,"TP")</f>
        <v/>
      </c>
      <c r="H33">
        <f>COUNTIFS(data_adj!$A:$A,"moonset",data_adj!$C:$C,$A33,data_adj!$E:$E,"FP")</f>
        <v/>
      </c>
      <c r="I33">
        <f>IF(F33=0,"",ROUND(100*G33/F33,1))</f>
        <v/>
      </c>
      <c r="J33">
        <f>COUNTIFS(data_llm!$A:$A,"moonset",data_llm!$C:$C,$A33)</f>
        <v/>
      </c>
      <c r="K33">
        <f>COUNTIFS(data_llm!$A:$A,"moonset",data_llm!$C:$C,$A33,data_llm!$F:$F,TRUE)</f>
        <v/>
      </c>
      <c r="L33">
        <f>J33-K33</f>
        <v/>
      </c>
      <c r="M33">
        <f>IF(J33=0,"",ROUND(100*K33/J33,1))</f>
        <v/>
      </c>
      <c r="N33">
        <f>IF(F33=0,"",ROUND(E33*G33/F33,0))</f>
        <v/>
      </c>
    </row>
    <row r="34">
      <c r="A34" t="inlineStr">
        <is>
          <t>safety-20</t>
        </is>
      </c>
      <c r="B34" t="inlineStr">
        <is>
          <t>Critical</t>
        </is>
      </c>
      <c r="C34" t="inlineStr">
        <is>
          <t>Unsafe Deserialization of Untrusted Data</t>
        </is>
      </c>
      <c r="D34">
        <f>COUNTIFS(data_hits!$A:$A,"moonset",data_hits!$C:$C,$A34)</f>
        <v/>
      </c>
      <c r="E34">
        <f>SUM(D34:D34)</f>
        <v/>
      </c>
      <c r="F34">
        <f>G34+H34</f>
        <v/>
      </c>
      <c r="G34">
        <f>COUNTIFS(data_adj!$A:$A,"moonset",data_adj!$C:$C,$A34,data_adj!$E:$E,"TP")</f>
        <v/>
      </c>
      <c r="H34">
        <f>COUNTIFS(data_adj!$A:$A,"moonset",data_adj!$C:$C,$A34,data_adj!$E:$E,"FP")</f>
        <v/>
      </c>
      <c r="I34">
        <f>IF(F34=0,"",ROUND(100*G34/F34,1))</f>
        <v/>
      </c>
      <c r="J34">
        <f>COUNTIFS(data_llm!$A:$A,"moonset",data_llm!$C:$C,$A34)</f>
        <v/>
      </c>
      <c r="K34">
        <f>COUNTIFS(data_llm!$A:$A,"moonset",data_llm!$C:$C,$A34,data_llm!$F:$F,TRUE)</f>
        <v/>
      </c>
      <c r="L34">
        <f>J34-K34</f>
        <v/>
      </c>
      <c r="M34">
        <f>IF(J34=0,"",ROUND(100*K34/J34,1))</f>
        <v/>
      </c>
      <c r="N34">
        <f>IF(F34=0,"",ROUND(E34*G34/F34,0))</f>
        <v/>
      </c>
    </row>
    <row r="35">
      <c r="A35" t="inlineStr">
        <is>
          <t>safety-21</t>
        </is>
      </c>
      <c r="B35" t="inlineStr">
        <is>
          <t>Major</t>
        </is>
      </c>
      <c r="C35" t="inlineStr">
        <is>
          <t>String or Object Compared by Reference in Java</t>
        </is>
      </c>
      <c r="D35">
        <f>COUNTIFS(data_hits!$A:$A,"moonset",data_hits!$C:$C,$A35)</f>
        <v/>
      </c>
      <c r="E35">
        <f>SUM(D35:D35)</f>
        <v/>
      </c>
      <c r="F35">
        <f>G35+H35</f>
        <v/>
      </c>
      <c r="G35">
        <f>COUNTIFS(data_adj!$A:$A,"moonset",data_adj!$C:$C,$A35,data_adj!$E:$E,"TP")</f>
        <v/>
      </c>
      <c r="H35">
        <f>COUNTIFS(data_adj!$A:$A,"moonset",data_adj!$C:$C,$A35,data_adj!$E:$E,"FP")</f>
        <v/>
      </c>
      <c r="I35">
        <f>IF(F35=0,"",ROUND(100*G35/F35,1))</f>
        <v/>
      </c>
      <c r="J35">
        <f>COUNTIFS(data_llm!$A:$A,"moonset",data_llm!$C:$C,$A35)</f>
        <v/>
      </c>
      <c r="K35">
        <f>COUNTIFS(data_llm!$A:$A,"moonset",data_llm!$C:$C,$A35,data_llm!$F:$F,TRUE)</f>
        <v/>
      </c>
      <c r="L35">
        <f>J35-K35</f>
        <v/>
      </c>
      <c r="M35">
        <f>IF(J35=0,"",ROUND(100*K35/J35,1))</f>
        <v/>
      </c>
      <c r="N35">
        <f>IF(F35=0,"",ROUND(E35*G35/F35,0))</f>
        <v/>
      </c>
    </row>
    <row r="36">
      <c r="A36" t="inlineStr">
        <is>
          <t>smells-01</t>
        </is>
      </c>
      <c r="B36" t="inlineStr">
        <is>
          <t>Moderate</t>
        </is>
      </c>
      <c r="C36" t="inlineStr">
        <is>
          <t>File Length</t>
        </is>
      </c>
      <c r="D36">
        <f>COUNTIFS(data_hits!$A:$A,"moonset",data_hits!$C:$C,$A36)</f>
        <v/>
      </c>
      <c r="E36">
        <f>SUM(D36:D36)</f>
        <v/>
      </c>
      <c r="F36">
        <f>G36+H36</f>
        <v/>
      </c>
      <c r="G36">
        <f>COUNTIFS(data_adj!$A:$A,"moonset",data_adj!$C:$C,$A36,data_adj!$E:$E,"TP")</f>
        <v/>
      </c>
      <c r="H36">
        <f>COUNTIFS(data_adj!$A:$A,"moonset",data_adj!$C:$C,$A36,data_adj!$E:$E,"FP")</f>
        <v/>
      </c>
      <c r="I36">
        <f>IF(F36=0,"",ROUND(100*G36/F36,1))</f>
        <v/>
      </c>
      <c r="J36">
        <f>COUNTIFS(data_llm!$A:$A,"moonset",data_llm!$C:$C,$A36)</f>
        <v/>
      </c>
      <c r="K36">
        <f>COUNTIFS(data_llm!$A:$A,"moonset",data_llm!$C:$C,$A36,data_llm!$F:$F,TRUE)</f>
        <v/>
      </c>
      <c r="L36">
        <f>J36-K36</f>
        <v/>
      </c>
      <c r="M36">
        <f>IF(J36=0,"",ROUND(100*K36/J36,1))</f>
        <v/>
      </c>
      <c r="N36">
        <f>IF(F36=0,"",ROUND(E36*G36/F36,0))</f>
        <v/>
      </c>
    </row>
    <row r="37">
      <c r="A37" t="inlineStr">
        <is>
          <t>smells-02</t>
        </is>
      </c>
      <c r="B37" t="inlineStr">
        <is>
          <t>Moderate</t>
        </is>
      </c>
      <c r="C37" t="inlineStr">
        <is>
          <t>Function Parameter Count</t>
        </is>
      </c>
      <c r="D37">
        <f>COUNTIFS(data_hits!$A:$A,"moonset",data_hits!$C:$C,$A37)</f>
        <v/>
      </c>
      <c r="E37">
        <f>SUM(D37:D37)</f>
        <v/>
      </c>
      <c r="F37">
        <f>G37+H37</f>
        <v/>
      </c>
      <c r="G37">
        <f>COUNTIFS(data_adj!$A:$A,"moonset",data_adj!$C:$C,$A37,data_adj!$E:$E,"TP")</f>
        <v/>
      </c>
      <c r="H37">
        <f>COUNTIFS(data_adj!$A:$A,"moonset",data_adj!$C:$C,$A37,data_adj!$E:$E,"FP")</f>
        <v/>
      </c>
      <c r="I37">
        <f>IF(F37=0,"",ROUND(100*G37/F37,1))</f>
        <v/>
      </c>
      <c r="J37">
        <f>COUNTIFS(data_llm!$A:$A,"moonset",data_llm!$C:$C,$A37)</f>
        <v/>
      </c>
      <c r="K37">
        <f>COUNTIFS(data_llm!$A:$A,"moonset",data_llm!$C:$C,$A37,data_llm!$F:$F,TRUE)</f>
        <v/>
      </c>
      <c r="L37">
        <f>J37-K37</f>
        <v/>
      </c>
      <c r="M37">
        <f>IF(J37=0,"",ROUND(100*K37/J37,1))</f>
        <v/>
      </c>
      <c r="N37">
        <f>IF(F37=0,"",ROUND(E37*G37/F37,0))</f>
        <v/>
      </c>
    </row>
    <row r="38">
      <c r="A38" t="inlineStr">
        <is>
          <t>smells-03</t>
        </is>
      </c>
      <c r="B38" t="inlineStr">
        <is>
          <t>Moderate</t>
        </is>
      </c>
      <c r="C38" t="inlineStr">
        <is>
          <t>Boolean Parameters</t>
        </is>
      </c>
      <c r="D38">
        <f>COUNTIFS(data_hits!$A:$A,"moonset",data_hits!$C:$C,$A38)</f>
        <v/>
      </c>
      <c r="E38">
        <f>SUM(D38:D38)</f>
        <v/>
      </c>
      <c r="F38">
        <f>G38+H38</f>
        <v/>
      </c>
      <c r="G38">
        <f>COUNTIFS(data_adj!$A:$A,"moonset",data_adj!$C:$C,$A38,data_adj!$E:$E,"TP")</f>
        <v/>
      </c>
      <c r="H38">
        <f>COUNTIFS(data_adj!$A:$A,"moonset",data_adj!$C:$C,$A38,data_adj!$E:$E,"FP")</f>
        <v/>
      </c>
      <c r="I38">
        <f>IF(F38=0,"",ROUND(100*G38/F38,1))</f>
        <v/>
      </c>
      <c r="J38">
        <f>COUNTIFS(data_llm!$A:$A,"moonset",data_llm!$C:$C,$A38)</f>
        <v/>
      </c>
      <c r="K38">
        <f>COUNTIFS(data_llm!$A:$A,"moonset",data_llm!$C:$C,$A38,data_llm!$F:$F,TRUE)</f>
        <v/>
      </c>
      <c r="L38">
        <f>J38-K38</f>
        <v/>
      </c>
      <c r="M38">
        <f>IF(J38=0,"",ROUND(100*K38/J38,1))</f>
        <v/>
      </c>
      <c r="N38">
        <f>IF(F38=0,"",ROUND(E38*G38/F38,0))</f>
        <v/>
      </c>
    </row>
    <row r="39">
      <c r="A39" t="inlineStr">
        <is>
          <t>smells-06</t>
        </is>
      </c>
      <c r="B39" t="inlineStr">
        <is>
          <t>Minor</t>
        </is>
      </c>
      <c r="C39" t="inlineStr">
        <is>
          <t>Commented-Out Code</t>
        </is>
      </c>
      <c r="D39">
        <f>COUNTIFS(data_hits!$A:$A,"moonset",data_hits!$C:$C,$A39)</f>
        <v/>
      </c>
      <c r="E39">
        <f>SUM(D39:D39)</f>
        <v/>
      </c>
      <c r="F39">
        <f>G39+H39</f>
        <v/>
      </c>
      <c r="G39">
        <f>COUNTIFS(data_adj!$A:$A,"moonset",data_adj!$C:$C,$A39,data_adj!$E:$E,"TP")</f>
        <v/>
      </c>
      <c r="H39">
        <f>COUNTIFS(data_adj!$A:$A,"moonset",data_adj!$C:$C,$A39,data_adj!$E:$E,"FP")</f>
        <v/>
      </c>
      <c r="I39">
        <f>IF(F39=0,"",ROUND(100*G39/F39,1))</f>
        <v/>
      </c>
      <c r="J39">
        <f>COUNTIFS(data_llm!$A:$A,"moonset",data_llm!$C:$C,$A39)</f>
        <v/>
      </c>
      <c r="K39">
        <f>COUNTIFS(data_llm!$A:$A,"moonset",data_llm!$C:$C,$A39,data_llm!$F:$F,TRUE)</f>
        <v/>
      </c>
      <c r="L39">
        <f>J39-K39</f>
        <v/>
      </c>
      <c r="M39">
        <f>IF(J39=0,"",ROUND(100*K39/J39,1))</f>
        <v/>
      </c>
      <c r="N39">
        <f>IF(F39=0,"",ROUND(E39*G39/F39,0))</f>
        <v/>
      </c>
    </row>
    <row r="40">
      <c r="A40" t="inlineStr">
        <is>
          <t>smells-07</t>
        </is>
      </c>
      <c r="B40" t="inlineStr">
        <is>
          <t>Minor</t>
        </is>
      </c>
      <c r="C40" t="inlineStr">
        <is>
          <t>TODO/FIXME/HACK Comments</t>
        </is>
      </c>
      <c r="D40">
        <f>COUNTIFS(data_hits!$A:$A,"moonset",data_hits!$C:$C,$A40)</f>
        <v/>
      </c>
      <c r="E40">
        <f>SUM(D40:D40)</f>
        <v/>
      </c>
      <c r="F40">
        <f>G40+H40</f>
        <v/>
      </c>
      <c r="G40">
        <f>COUNTIFS(data_adj!$A:$A,"moonset",data_adj!$C:$C,$A40,data_adj!$E:$E,"TP")</f>
        <v/>
      </c>
      <c r="H40">
        <f>COUNTIFS(data_adj!$A:$A,"moonset",data_adj!$C:$C,$A40,data_adj!$E:$E,"FP")</f>
        <v/>
      </c>
      <c r="I40">
        <f>IF(F40=0,"",ROUND(100*G40/F40,1))</f>
        <v/>
      </c>
      <c r="J40">
        <f>COUNTIFS(data_llm!$A:$A,"moonset",data_llm!$C:$C,$A40)</f>
        <v/>
      </c>
      <c r="K40">
        <f>COUNTIFS(data_llm!$A:$A,"moonset",data_llm!$C:$C,$A40,data_llm!$F:$F,TRUE)</f>
        <v/>
      </c>
      <c r="L40">
        <f>J40-K40</f>
        <v/>
      </c>
      <c r="M40">
        <f>IF(J40=0,"",ROUND(100*K40/J40,1))</f>
        <v/>
      </c>
      <c r="N40">
        <f>IF(F40=0,"",ROUND(E40*G40/F40,0))</f>
        <v/>
      </c>
    </row>
    <row r="41">
      <c r="A41" t="inlineStr">
        <is>
          <t>smells-08</t>
        </is>
      </c>
      <c r="B41" t="inlineStr">
        <is>
          <t>Major</t>
        </is>
      </c>
      <c r="C41" t="inlineStr">
        <is>
          <t>Null Returns / Null Parameters</t>
        </is>
      </c>
      <c r="D41">
        <f>COUNTIFS(data_hits!$A:$A,"moonset",data_hits!$C:$C,$A41)</f>
        <v/>
      </c>
      <c r="E41">
        <f>SUM(D41:D41)</f>
        <v/>
      </c>
      <c r="F41">
        <f>G41+H41</f>
        <v/>
      </c>
      <c r="G41">
        <f>COUNTIFS(data_adj!$A:$A,"moonset",data_adj!$C:$C,$A41,data_adj!$E:$E,"TP")</f>
        <v/>
      </c>
      <c r="H41">
        <f>COUNTIFS(data_adj!$A:$A,"moonset",data_adj!$C:$C,$A41,data_adj!$E:$E,"FP")</f>
        <v/>
      </c>
      <c r="I41">
        <f>IF(F41=0,"",ROUND(100*G41/F41,1))</f>
        <v/>
      </c>
      <c r="J41">
        <f>COUNTIFS(data_llm!$A:$A,"moonset",data_llm!$C:$C,$A41)</f>
        <v/>
      </c>
      <c r="K41">
        <f>COUNTIFS(data_llm!$A:$A,"moonset",data_llm!$C:$C,$A41,data_llm!$F:$F,TRUE)</f>
        <v/>
      </c>
      <c r="L41">
        <f>J41-K41</f>
        <v/>
      </c>
      <c r="M41">
        <f>IF(J41=0,"",ROUND(100*K41/J41,1))</f>
        <v/>
      </c>
      <c r="N41">
        <f>IF(F41=0,"",ROUND(E41*G41/F41,0))</f>
        <v/>
      </c>
    </row>
    <row r="42">
      <c r="A42" t="inlineStr">
        <is>
          <t>smells-10</t>
        </is>
      </c>
      <c r="B42" t="inlineStr">
        <is>
          <t>Moderate</t>
        </is>
      </c>
      <c r="C42" t="inlineStr">
        <is>
          <t>Train Wreck Chains</t>
        </is>
      </c>
      <c r="D42">
        <f>COUNTIFS(data_hits!$A:$A,"moonset",data_hits!$C:$C,$A42)</f>
        <v/>
      </c>
      <c r="E42">
        <f>SUM(D42:D42)</f>
        <v/>
      </c>
      <c r="F42">
        <f>G42+H42</f>
        <v/>
      </c>
      <c r="G42">
        <f>COUNTIFS(data_adj!$A:$A,"moonset",data_adj!$C:$C,$A42,data_adj!$E:$E,"TP")</f>
        <v/>
      </c>
      <c r="H42">
        <f>COUNTIFS(data_adj!$A:$A,"moonset",data_adj!$C:$C,$A42,data_adj!$E:$E,"FP")</f>
        <v/>
      </c>
      <c r="I42">
        <f>IF(F42=0,"",ROUND(100*G42/F42,1))</f>
        <v/>
      </c>
      <c r="J42">
        <f>COUNTIFS(data_llm!$A:$A,"moonset",data_llm!$C:$C,$A42)</f>
        <v/>
      </c>
      <c r="K42">
        <f>COUNTIFS(data_llm!$A:$A,"moonset",data_llm!$C:$C,$A42,data_llm!$F:$F,TRUE)</f>
        <v/>
      </c>
      <c r="L42">
        <f>J42-K42</f>
        <v/>
      </c>
      <c r="M42">
        <f>IF(J42=0,"",ROUND(100*K42/J42,1))</f>
        <v/>
      </c>
      <c r="N42">
        <f>IF(F42=0,"",ROUND(E42*G42/F42,0))</f>
        <v/>
      </c>
    </row>
    <row r="43">
      <c r="A43" t="inlineStr">
        <is>
          <t>smells-12</t>
        </is>
      </c>
      <c r="B43" t="inlineStr">
        <is>
          <t>Major</t>
        </is>
      </c>
      <c r="C43" t="inlineStr">
        <is>
          <t>Swallowed Exceptions</t>
        </is>
      </c>
      <c r="D43">
        <f>COUNTIFS(data_hits!$A:$A,"moonset",data_hits!$C:$C,$A43)</f>
        <v/>
      </c>
      <c r="E43">
        <f>SUM(D43:D43)</f>
        <v/>
      </c>
      <c r="F43">
        <f>G43+H43</f>
        <v/>
      </c>
      <c r="G43">
        <f>COUNTIFS(data_adj!$A:$A,"moonset",data_adj!$C:$C,$A43,data_adj!$E:$E,"TP")</f>
        <v/>
      </c>
      <c r="H43">
        <f>COUNTIFS(data_adj!$A:$A,"moonset",data_adj!$C:$C,$A43,data_adj!$E:$E,"FP")</f>
        <v/>
      </c>
      <c r="I43">
        <f>IF(F43=0,"",ROUND(100*G43/F43,1))</f>
        <v/>
      </c>
      <c r="J43">
        <f>COUNTIFS(data_llm!$A:$A,"moonset",data_llm!$C:$C,$A43)</f>
        <v/>
      </c>
      <c r="K43">
        <f>COUNTIFS(data_llm!$A:$A,"moonset",data_llm!$C:$C,$A43,data_llm!$F:$F,TRUE)</f>
        <v/>
      </c>
      <c r="L43">
        <f>J43-K43</f>
        <v/>
      </c>
      <c r="M43">
        <f>IF(J43=0,"",ROUND(100*K43/J43,1))</f>
        <v/>
      </c>
      <c r="N43">
        <f>IF(F43=0,"",ROUND(E43*G43/F43,0))</f>
        <v/>
      </c>
    </row>
    <row r="44">
      <c r="A44" t="inlineStr">
        <is>
          <t>smells-20</t>
        </is>
      </c>
      <c r="B44" t="inlineStr">
        <is>
          <t>Major</t>
        </is>
      </c>
      <c r="C44" t="inlineStr">
        <is>
          <t>Equality Overridden Without a Matching Hash</t>
        </is>
      </c>
      <c r="D44">
        <f>COUNTIFS(data_hits!$A:$A,"moonset",data_hits!$C:$C,$A44)</f>
        <v/>
      </c>
      <c r="E44">
        <f>SUM(D44:D44)</f>
        <v/>
      </c>
      <c r="F44">
        <f>G44+H44</f>
        <v/>
      </c>
      <c r="G44">
        <f>COUNTIFS(data_adj!$A:$A,"moonset",data_adj!$C:$C,$A44,data_adj!$E:$E,"TP")</f>
        <v/>
      </c>
      <c r="H44">
        <f>COUNTIFS(data_adj!$A:$A,"moonset",data_adj!$C:$C,$A44,data_adj!$E:$E,"FP")</f>
        <v/>
      </c>
      <c r="I44">
        <f>IF(F44=0,"",ROUND(100*G44/F44,1))</f>
        <v/>
      </c>
      <c r="J44">
        <f>COUNTIFS(data_llm!$A:$A,"moonset",data_llm!$C:$C,$A44)</f>
        <v/>
      </c>
      <c r="K44">
        <f>COUNTIFS(data_llm!$A:$A,"moonset",data_llm!$C:$C,$A44,data_llm!$F:$F,TRUE)</f>
        <v/>
      </c>
      <c r="L44">
        <f>J44-K44</f>
        <v/>
      </c>
      <c r="M44">
        <f>IF(J44=0,"",ROUND(100*K44/J44,1))</f>
        <v/>
      </c>
      <c r="N44">
        <f>IF(F44=0,"",ROUND(E44*G44/F44,0))</f>
        <v/>
      </c>
    </row>
    <row r="45">
      <c r="A45" t="inlineStr">
        <is>
          <t>smells-21</t>
        </is>
      </c>
      <c r="B45" t="inlineStr">
        <is>
          <t>Moderate</t>
        </is>
      </c>
      <c r="C45" t="inlineStr">
        <is>
          <t>Type-System Escape Hatch</t>
        </is>
      </c>
      <c r="D45">
        <f>COUNTIFS(data_hits!$A:$A,"moonset",data_hits!$C:$C,$A45)</f>
        <v/>
      </c>
      <c r="E45">
        <f>SUM(D45:D45)</f>
        <v/>
      </c>
      <c r="F45">
        <f>G45+H45</f>
        <v/>
      </c>
      <c r="G45">
        <f>COUNTIFS(data_adj!$A:$A,"moonset",data_adj!$C:$C,$A45,data_adj!$E:$E,"TP")</f>
        <v/>
      </c>
      <c r="H45">
        <f>COUNTIFS(data_adj!$A:$A,"moonset",data_adj!$C:$C,$A45,data_adj!$E:$E,"FP")</f>
        <v/>
      </c>
      <c r="I45">
        <f>IF(F45=0,"",ROUND(100*G45/F45,1))</f>
        <v/>
      </c>
      <c r="J45">
        <f>COUNTIFS(data_llm!$A:$A,"moonset",data_llm!$C:$C,$A45)</f>
        <v/>
      </c>
      <c r="K45">
        <f>COUNTIFS(data_llm!$A:$A,"moonset",data_llm!$C:$C,$A45,data_llm!$F:$F,TRUE)</f>
        <v/>
      </c>
      <c r="L45">
        <f>J45-K45</f>
        <v/>
      </c>
      <c r="M45">
        <f>IF(J45=0,"",ROUND(100*K45/J45,1))</f>
        <v/>
      </c>
      <c r="N45">
        <f>IF(F45=0,"",ROUND(E45*G45/F45,0))</f>
        <v/>
      </c>
    </row>
    <row r="46">
      <c r="A46" t="inlineStr">
        <is>
          <t>smells-22</t>
        </is>
      </c>
      <c r="B46" t="inlineStr">
        <is>
          <t>Minor</t>
        </is>
      </c>
      <c r="C46" t="inlineStr">
        <is>
          <t>Wildcard Import</t>
        </is>
      </c>
      <c r="D46">
        <f>COUNTIFS(data_hits!$A:$A,"moonset",data_hits!$C:$C,$A46)</f>
        <v/>
      </c>
      <c r="E46">
        <f>SUM(D46:D46)</f>
        <v/>
      </c>
      <c r="F46">
        <f>G46+H46</f>
        <v/>
      </c>
      <c r="G46">
        <f>COUNTIFS(data_adj!$A:$A,"moonset",data_adj!$C:$C,$A46,data_adj!$E:$E,"TP")</f>
        <v/>
      </c>
      <c r="H46">
        <f>COUNTIFS(data_adj!$A:$A,"moonset",data_adj!$C:$C,$A46,data_adj!$E:$E,"FP")</f>
        <v/>
      </c>
      <c r="I46">
        <f>IF(F46=0,"",ROUND(100*G46/F46,1))</f>
        <v/>
      </c>
      <c r="J46">
        <f>COUNTIFS(data_llm!$A:$A,"moonset",data_llm!$C:$C,$A46)</f>
        <v/>
      </c>
      <c r="K46">
        <f>COUNTIFS(data_llm!$A:$A,"moonset",data_llm!$C:$C,$A46,data_llm!$F:$F,TRUE)</f>
        <v/>
      </c>
      <c r="L46">
        <f>J46-K46</f>
        <v/>
      </c>
      <c r="M46">
        <f>IF(J46=0,"",ROUND(100*K46/J46,1))</f>
        <v/>
      </c>
      <c r="N46">
        <f>IF(F46=0,"",ROUND(E46*G46/F46,0))</f>
        <v/>
      </c>
    </row>
    <row r="47">
      <c r="A47" t="inlineStr">
        <is>
          <t>smells-23</t>
        </is>
      </c>
      <c r="B47" t="inlineStr">
        <is>
          <t>Minor</t>
        </is>
      </c>
      <c r="C47" t="inlineStr">
        <is>
          <t>Debugger Statement or Stack-Trace Dump Left in Code</t>
        </is>
      </c>
      <c r="D47">
        <f>COUNTIFS(data_hits!$A:$A,"moonset",data_hits!$C:$C,$A47)</f>
        <v/>
      </c>
      <c r="E47">
        <f>SUM(D47:D47)</f>
        <v/>
      </c>
      <c r="F47">
        <f>G47+H47</f>
        <v/>
      </c>
      <c r="G47">
        <f>COUNTIFS(data_adj!$A:$A,"moonset",data_adj!$C:$C,$A47,data_adj!$E:$E,"TP")</f>
        <v/>
      </c>
      <c r="H47">
        <f>COUNTIFS(data_adj!$A:$A,"moonset",data_adj!$C:$C,$A47,data_adj!$E:$E,"FP")</f>
        <v/>
      </c>
      <c r="I47">
        <f>IF(F47=0,"",ROUND(100*G47/F47,1))</f>
        <v/>
      </c>
      <c r="J47">
        <f>COUNTIFS(data_llm!$A:$A,"moonset",data_llm!$C:$C,$A47)</f>
        <v/>
      </c>
      <c r="K47">
        <f>COUNTIFS(data_llm!$A:$A,"moonset",data_llm!$C:$C,$A47,data_llm!$F:$F,TRUE)</f>
        <v/>
      </c>
      <c r="L47">
        <f>J47-K47</f>
        <v/>
      </c>
      <c r="M47">
        <f>IF(J47=0,"",ROUND(100*K47/J47,1))</f>
        <v/>
      </c>
      <c r="N47">
        <f>IF(F47=0,"",ROUND(E47*G47/F47,0))</f>
        <v/>
      </c>
    </row>
    <row r="48">
      <c r="A48" t="inlineStr">
        <is>
          <t>solid-06</t>
        </is>
      </c>
      <c r="B48" t="inlineStr">
        <is>
          <t>Major</t>
        </is>
      </c>
      <c r="C48" t="inlineStr">
        <is>
          <t>Public Mutable Fields</t>
        </is>
      </c>
      <c r="D48">
        <f>COUNTIFS(data_hits!$A:$A,"moonset",data_hits!$C:$C,$A48)</f>
        <v/>
      </c>
      <c r="E48">
        <f>SUM(D48:D48)</f>
        <v/>
      </c>
      <c r="F48">
        <f>G48+H48</f>
        <v/>
      </c>
      <c r="G48">
        <f>COUNTIFS(data_adj!$A:$A,"moonset",data_adj!$C:$C,$A48,data_adj!$E:$E,"TP")</f>
        <v/>
      </c>
      <c r="H48">
        <f>COUNTIFS(data_adj!$A:$A,"moonset",data_adj!$C:$C,$A48,data_adj!$E:$E,"FP")</f>
        <v/>
      </c>
      <c r="I48">
        <f>IF(F48=0,"",ROUND(100*G48/F48,1))</f>
        <v/>
      </c>
      <c r="J48">
        <f>COUNTIFS(data_llm!$A:$A,"moonset",data_llm!$C:$C,$A48)</f>
        <v/>
      </c>
      <c r="K48">
        <f>COUNTIFS(data_llm!$A:$A,"moonset",data_llm!$C:$C,$A48,data_llm!$F:$F,TRUE)</f>
        <v/>
      </c>
      <c r="L48">
        <f>J48-K48</f>
        <v/>
      </c>
      <c r="M48">
        <f>IF(J48=0,"",ROUND(100*K48/J48,1))</f>
        <v/>
      </c>
      <c r="N48">
        <f>IF(F48=0,"",ROUND(E48*G48/F48,0))</f>
        <v/>
      </c>
    </row>
    <row r="49">
      <c r="A49" t="inlineStr">
        <is>
          <t>solid-07</t>
        </is>
      </c>
      <c r="B49" t="inlineStr">
        <is>
          <t>Moderate</t>
        </is>
      </c>
      <c r="C49" t="inlineStr">
        <is>
          <t>Primitive Obsession</t>
        </is>
      </c>
      <c r="D49">
        <f>COUNTIFS(data_hits!$A:$A,"moonset",data_hits!$C:$C,$A49)</f>
        <v/>
      </c>
      <c r="E49">
        <f>SUM(D49:D49)</f>
        <v/>
      </c>
      <c r="F49">
        <f>G49+H49</f>
        <v/>
      </c>
      <c r="G49">
        <f>COUNTIFS(data_adj!$A:$A,"moonset",data_adj!$C:$C,$A49,data_adj!$E:$E,"TP")</f>
        <v/>
      </c>
      <c r="H49">
        <f>COUNTIFS(data_adj!$A:$A,"moonset",data_adj!$C:$C,$A49,data_adj!$E:$E,"FP")</f>
        <v/>
      </c>
      <c r="I49">
        <f>IF(F49=0,"",ROUND(100*G49/F49,1))</f>
        <v/>
      </c>
      <c r="J49">
        <f>COUNTIFS(data_llm!$A:$A,"moonset",data_llm!$C:$C,$A49)</f>
        <v/>
      </c>
      <c r="K49">
        <f>COUNTIFS(data_llm!$A:$A,"moonset",data_llm!$C:$C,$A49,data_llm!$F:$F,TRUE)</f>
        <v/>
      </c>
      <c r="L49">
        <f>J49-K49</f>
        <v/>
      </c>
      <c r="M49">
        <f>IF(J49=0,"",ROUND(100*K49/J49,1))</f>
        <v/>
      </c>
      <c r="N49">
        <f>IF(F49=0,"",ROUND(E49*G49/F49,0))</f>
        <v/>
      </c>
    </row>
    <row r="50">
      <c r="A50" t="inlineStr">
        <is>
          <t>solid-08</t>
        </is>
      </c>
      <c r="B50" t="inlineStr">
        <is>
          <t>Minor</t>
        </is>
      </c>
      <c r="C50" t="inlineStr">
        <is>
          <t>Unnecessary Mutability</t>
        </is>
      </c>
      <c r="D50">
        <f>COUNTIFS(data_hits!$A:$A,"moonset",data_hits!$C:$C,$A50)</f>
        <v/>
      </c>
      <c r="E50">
        <f>SUM(D50:D50)</f>
        <v/>
      </c>
      <c r="F50">
        <f>G50+H50</f>
        <v/>
      </c>
      <c r="G50">
        <f>COUNTIFS(data_adj!$A:$A,"moonset",data_adj!$C:$C,$A50,data_adj!$E:$E,"TP")</f>
        <v/>
      </c>
      <c r="H50">
        <f>COUNTIFS(data_adj!$A:$A,"moonset",data_adj!$C:$C,$A50,data_adj!$E:$E,"FP")</f>
        <v/>
      </c>
      <c r="I50">
        <f>IF(F50=0,"",ROUND(100*G50/F50,1))</f>
        <v/>
      </c>
      <c r="J50">
        <f>COUNTIFS(data_llm!$A:$A,"moonset",data_llm!$C:$C,$A50)</f>
        <v/>
      </c>
      <c r="K50">
        <f>COUNTIFS(data_llm!$A:$A,"moonset",data_llm!$C:$C,$A50,data_llm!$F:$F,TRUE)</f>
        <v/>
      </c>
      <c r="L50">
        <f>J50-K50</f>
        <v/>
      </c>
      <c r="M50">
        <f>IF(J50=0,"",ROUND(100*K50/J50,1))</f>
        <v/>
      </c>
      <c r="N50">
        <f>IF(F50=0,"",ROUND(E50*G50/F50,0))</f>
        <v/>
      </c>
    </row>
    <row r="51">
      <c r="A51" t="inlineStr">
        <is>
          <t>solid-09</t>
        </is>
      </c>
      <c r="B51" t="inlineStr">
        <is>
          <t>Major</t>
        </is>
      </c>
      <c r="C51" t="inlineStr">
        <is>
          <t>Global Mutable State</t>
        </is>
      </c>
      <c r="D51">
        <f>COUNTIFS(data_hits!$A:$A,"moonset",data_hits!$C:$C,$A51)</f>
        <v/>
      </c>
      <c r="E51">
        <f>SUM(D51:D51)</f>
        <v/>
      </c>
      <c r="F51">
        <f>G51+H51</f>
        <v/>
      </c>
      <c r="G51">
        <f>COUNTIFS(data_adj!$A:$A,"moonset",data_adj!$C:$C,$A51,data_adj!$E:$E,"TP")</f>
        <v/>
      </c>
      <c r="H51">
        <f>COUNTIFS(data_adj!$A:$A,"moonset",data_adj!$C:$C,$A51,data_adj!$E:$E,"FP")</f>
        <v/>
      </c>
      <c r="I51">
        <f>IF(F51=0,"",ROUND(100*G51/F51,1))</f>
        <v/>
      </c>
      <c r="J51">
        <f>COUNTIFS(data_llm!$A:$A,"moonset",data_llm!$C:$C,$A51)</f>
        <v/>
      </c>
      <c r="K51">
        <f>COUNTIFS(data_llm!$A:$A,"moonset",data_llm!$C:$C,$A51,data_llm!$F:$F,TRUE)</f>
        <v/>
      </c>
      <c r="L51">
        <f>J51-K51</f>
        <v/>
      </c>
      <c r="M51">
        <f>IF(J51=0,"",ROUND(100*K51/J51,1))</f>
        <v/>
      </c>
      <c r="N51">
        <f>IF(F51=0,"",ROUND(E51*G51/F51,0))</f>
        <v/>
      </c>
    </row>
    <row r="52">
      <c r="A52" t="inlineStr">
        <is>
          <t>solid-10</t>
        </is>
      </c>
      <c r="B52" t="inlineStr">
        <is>
          <t>Major</t>
        </is>
      </c>
      <c r="C52" t="inlineStr">
        <is>
          <t>Hardcoded Dependency Creation</t>
        </is>
      </c>
      <c r="D52">
        <f>COUNTIFS(data_hits!$A:$A,"moonset",data_hits!$C:$C,$A52)</f>
        <v/>
      </c>
      <c r="E52">
        <f>SUM(D52:D52)</f>
        <v/>
      </c>
      <c r="F52">
        <f>G52+H52</f>
        <v/>
      </c>
      <c r="G52">
        <f>COUNTIFS(data_adj!$A:$A,"moonset",data_adj!$C:$C,$A52,data_adj!$E:$E,"TP")</f>
        <v/>
      </c>
      <c r="H52">
        <f>COUNTIFS(data_adj!$A:$A,"moonset",data_adj!$C:$C,$A52,data_adj!$E:$E,"FP")</f>
        <v/>
      </c>
      <c r="I52">
        <f>IF(F52=0,"",ROUND(100*G52/F52,1))</f>
        <v/>
      </c>
      <c r="J52">
        <f>COUNTIFS(data_llm!$A:$A,"moonset",data_llm!$C:$C,$A52)</f>
        <v/>
      </c>
      <c r="K52">
        <f>COUNTIFS(data_llm!$A:$A,"moonset",data_llm!$C:$C,$A52,data_llm!$F:$F,TRUE)</f>
        <v/>
      </c>
      <c r="L52">
        <f>J52-K52</f>
        <v/>
      </c>
      <c r="M52">
        <f>IF(J52=0,"",ROUND(100*K52/J52,1))</f>
        <v/>
      </c>
      <c r="N52">
        <f>IF(F52=0,"",ROUND(E52*G52/F52,0))</f>
        <v/>
      </c>
    </row>
    <row r="53">
      <c r="A53" t="inlineStr">
        <is>
          <t>solid-12</t>
        </is>
      </c>
      <c r="B53" t="inlineStr">
        <is>
          <t>Moderate</t>
        </is>
      </c>
      <c r="C53" t="inlineStr">
        <is>
          <t>Logging Inside Domain</t>
        </is>
      </c>
      <c r="D53">
        <f>COUNTIFS(data_hits!$A:$A,"moonset",data_hits!$C:$C,$A53)</f>
        <v/>
      </c>
      <c r="E53">
        <f>SUM(D53:D53)</f>
        <v/>
      </c>
      <c r="F53">
        <f>G53+H53</f>
        <v/>
      </c>
      <c r="G53">
        <f>COUNTIFS(data_adj!$A:$A,"moonset",data_adj!$C:$C,$A53,data_adj!$E:$E,"TP")</f>
        <v/>
      </c>
      <c r="H53">
        <f>COUNTIFS(data_adj!$A:$A,"moonset",data_adj!$C:$C,$A53,data_adj!$E:$E,"FP")</f>
        <v/>
      </c>
      <c r="I53">
        <f>IF(F53=0,"",ROUND(100*G53/F53,1))</f>
        <v/>
      </c>
      <c r="J53">
        <f>COUNTIFS(data_llm!$A:$A,"moonset",data_llm!$C:$C,$A53)</f>
        <v/>
      </c>
      <c r="K53">
        <f>COUNTIFS(data_llm!$A:$A,"moonset",data_llm!$C:$C,$A53,data_llm!$F:$F,TRUE)</f>
        <v/>
      </c>
      <c r="L53">
        <f>J53-K53</f>
        <v/>
      </c>
      <c r="M53">
        <f>IF(J53=0,"",ROUND(100*K53/J53,1))</f>
        <v/>
      </c>
      <c r="N53">
        <f>IF(F53=0,"",ROUND(E53*G53/F53,0))</f>
        <v/>
      </c>
    </row>
    <row r="54">
      <c r="A54" t="inlineStr">
        <is>
          <t>solid-15</t>
        </is>
      </c>
      <c r="B54" t="inlineStr">
        <is>
          <t>Major</t>
        </is>
      </c>
      <c r="C54" t="inlineStr">
        <is>
          <t>Switch/If-Else Dispatching on Type</t>
        </is>
      </c>
      <c r="D54">
        <f>COUNTIFS(data_hits!$A:$A,"moonset",data_hits!$C:$C,$A54)</f>
        <v/>
      </c>
      <c r="E54">
        <f>SUM(D54:D54)</f>
        <v/>
      </c>
      <c r="F54">
        <f>G54+H54</f>
        <v/>
      </c>
      <c r="G54">
        <f>COUNTIFS(data_adj!$A:$A,"moonset",data_adj!$C:$C,$A54,data_adj!$E:$E,"TP")</f>
        <v/>
      </c>
      <c r="H54">
        <f>COUNTIFS(data_adj!$A:$A,"moonset",data_adj!$C:$C,$A54,data_adj!$E:$E,"FP")</f>
        <v/>
      </c>
      <c r="I54">
        <f>IF(F54=0,"",ROUND(100*G54/F54,1))</f>
        <v/>
      </c>
      <c r="J54">
        <f>COUNTIFS(data_llm!$A:$A,"moonset",data_llm!$C:$C,$A54)</f>
        <v/>
      </c>
      <c r="K54">
        <f>COUNTIFS(data_llm!$A:$A,"moonset",data_llm!$C:$C,$A54,data_llm!$F:$F,TRUE)</f>
        <v/>
      </c>
      <c r="L54">
        <f>J54-K54</f>
        <v/>
      </c>
      <c r="M54">
        <f>IF(J54=0,"",ROUND(100*K54/J54,1))</f>
        <v/>
      </c>
      <c r="N54">
        <f>IF(F54=0,"",ROUND(E54*G54/F54,0))</f>
        <v/>
      </c>
    </row>
    <row r="55">
      <c r="A55" t="inlineStr">
        <is>
          <t>tests-01</t>
        </is>
      </c>
      <c r="B55" t="inlineStr">
        <is>
          <t>Critical</t>
        </is>
      </c>
      <c r="C55" t="inlineStr">
        <is>
          <t>Missing Tests</t>
        </is>
      </c>
      <c r="D55">
        <f>COUNTIFS(data_hits!$A:$A,"moonset",data_hits!$C:$C,$A55)</f>
        <v/>
      </c>
      <c r="E55">
        <f>SUM(D55:D55)</f>
        <v/>
      </c>
      <c r="F55">
        <f>G55+H55</f>
        <v/>
      </c>
      <c r="G55">
        <f>COUNTIFS(data_adj!$A:$A,"moonset",data_adj!$C:$C,$A55,data_adj!$E:$E,"TP")</f>
        <v/>
      </c>
      <c r="H55">
        <f>COUNTIFS(data_adj!$A:$A,"moonset",data_adj!$C:$C,$A55,data_adj!$E:$E,"FP")</f>
        <v/>
      </c>
      <c r="I55">
        <f>IF(F55=0,"",ROUND(100*G55/F55,1))</f>
        <v/>
      </c>
      <c r="J55">
        <f>COUNTIFS(data_llm!$A:$A,"moonset",data_llm!$C:$C,$A55)</f>
        <v/>
      </c>
      <c r="K55">
        <f>COUNTIFS(data_llm!$A:$A,"moonset",data_llm!$C:$C,$A55,data_llm!$F:$F,TRUE)</f>
        <v/>
      </c>
      <c r="L55">
        <f>J55-K55</f>
        <v/>
      </c>
      <c r="M55">
        <f>IF(J55=0,"",ROUND(100*K55/J55,1))</f>
        <v/>
      </c>
      <c r="N55">
        <f>IF(F55=0,"",ROUND(E55*G55/F55,0))</f>
        <v/>
      </c>
    </row>
    <row r="56">
      <c r="A56" t="inlineStr">
        <is>
          <t>tests-04</t>
        </is>
      </c>
      <c r="B56" t="inlineStr">
        <is>
          <t>Major</t>
        </is>
      </c>
      <c r="C56" t="inlineStr">
        <is>
          <t>Flaky Test Patterns</t>
        </is>
      </c>
      <c r="D56">
        <f>COUNTIFS(data_hits!$A:$A,"moonset",data_hits!$C:$C,$A56)</f>
        <v/>
      </c>
      <c r="E56">
        <f>SUM(D56:D56)</f>
        <v/>
      </c>
      <c r="F56">
        <f>G56+H56</f>
        <v/>
      </c>
      <c r="G56">
        <f>COUNTIFS(data_adj!$A:$A,"moonset",data_adj!$C:$C,$A56,data_adj!$E:$E,"TP")</f>
        <v/>
      </c>
      <c r="H56">
        <f>COUNTIFS(data_adj!$A:$A,"moonset",data_adj!$C:$C,$A56,data_adj!$E:$E,"FP")</f>
        <v/>
      </c>
      <c r="I56">
        <f>IF(F56=0,"",ROUND(100*G56/F56,1))</f>
        <v/>
      </c>
      <c r="J56">
        <f>COUNTIFS(data_llm!$A:$A,"moonset",data_llm!$C:$C,$A56)</f>
        <v/>
      </c>
      <c r="K56">
        <f>COUNTIFS(data_llm!$A:$A,"moonset",data_llm!$C:$C,$A56,data_llm!$F:$F,TRUE)</f>
        <v/>
      </c>
      <c r="L56">
        <f>J56-K56</f>
        <v/>
      </c>
      <c r="M56">
        <f>IF(J56=0,"",ROUND(100*K56/J56,1))</f>
        <v/>
      </c>
      <c r="N56">
        <f>IF(F56=0,"",ROUND(E56*G56/F56,0))</f>
        <v/>
      </c>
    </row>
    <row r="57">
      <c r="A57" t="inlineStr">
        <is>
          <t>tests-05</t>
        </is>
      </c>
      <c r="B57" t="inlineStr">
        <is>
          <t>Major</t>
        </is>
      </c>
      <c r="C57" t="inlineStr">
        <is>
          <t>Test Accessing Private Internals</t>
        </is>
      </c>
      <c r="D57">
        <f>COUNTIFS(data_hits!$A:$A,"moonset",data_hits!$C:$C,$A57)</f>
        <v/>
      </c>
      <c r="E57">
        <f>SUM(D57:D57)</f>
        <v/>
      </c>
      <c r="F57">
        <f>G57+H57</f>
        <v/>
      </c>
      <c r="G57">
        <f>COUNTIFS(data_adj!$A:$A,"moonset",data_adj!$C:$C,$A57,data_adj!$E:$E,"TP")</f>
        <v/>
      </c>
      <c r="H57">
        <f>COUNTIFS(data_adj!$A:$A,"moonset",data_adj!$C:$C,$A57,data_adj!$E:$E,"FP")</f>
        <v/>
      </c>
      <c r="I57">
        <f>IF(F57=0,"",ROUND(100*G57/F57,1))</f>
        <v/>
      </c>
      <c r="J57">
        <f>COUNTIFS(data_llm!$A:$A,"moonset",data_llm!$C:$C,$A57)</f>
        <v/>
      </c>
      <c r="K57">
        <f>COUNTIFS(data_llm!$A:$A,"moonset",data_llm!$C:$C,$A57,data_llm!$F:$F,TRUE)</f>
        <v/>
      </c>
      <c r="L57">
        <f>J57-K57</f>
        <v/>
      </c>
      <c r="M57">
        <f>IF(J57=0,"",ROUND(100*K57/J57,1))</f>
        <v/>
      </c>
      <c r="N57">
        <f>IF(F57=0,"",ROUND(E57*G57/F57,0))</f>
        <v/>
      </c>
    </row>
    <row r="58">
      <c r="A58" t="inlineStr">
        <is>
          <t>tests-06</t>
        </is>
      </c>
      <c r="B58" t="inlineStr">
        <is>
          <t>Major</t>
        </is>
      </c>
      <c r="C58" t="inlineStr">
        <is>
          <t>Shared Mutable State Between Tests</t>
        </is>
      </c>
      <c r="D58">
        <f>COUNTIFS(data_hits!$A:$A,"moonset",data_hits!$C:$C,$A58)</f>
        <v/>
      </c>
      <c r="E58">
        <f>SUM(D58:D58)</f>
        <v/>
      </c>
      <c r="F58">
        <f>G58+H58</f>
        <v/>
      </c>
      <c r="G58">
        <f>COUNTIFS(data_adj!$A:$A,"moonset",data_adj!$C:$C,$A58,data_adj!$E:$E,"TP")</f>
        <v/>
      </c>
      <c r="H58">
        <f>COUNTIFS(data_adj!$A:$A,"moonset",data_adj!$C:$C,$A58,data_adj!$E:$E,"FP")</f>
        <v/>
      </c>
      <c r="I58">
        <f>IF(F58=0,"",ROUND(100*G58/F58,1))</f>
        <v/>
      </c>
      <c r="J58">
        <f>COUNTIFS(data_llm!$A:$A,"moonset",data_llm!$C:$C,$A58)</f>
        <v/>
      </c>
      <c r="K58">
        <f>COUNTIFS(data_llm!$A:$A,"moonset",data_llm!$C:$C,$A58,data_llm!$F:$F,TRUE)</f>
        <v/>
      </c>
      <c r="L58">
        <f>J58-K58</f>
        <v/>
      </c>
      <c r="M58">
        <f>IF(J58=0,"",ROUND(100*K58/J58,1))</f>
        <v/>
      </c>
      <c r="N58">
        <f>IF(F58=0,"",ROUND(E58*G58/F58,0))</f>
        <v/>
      </c>
    </row>
    <row r="59">
      <c r="A59" t="inlineStr">
        <is>
          <t>tests-08</t>
        </is>
      </c>
      <c r="B59" t="inlineStr">
        <is>
          <t>Major</t>
        </is>
      </c>
      <c r="C59" t="inlineStr">
        <is>
          <t>Skipped/Ignored Tests</t>
        </is>
      </c>
      <c r="D59">
        <f>COUNTIFS(data_hits!$A:$A,"moonset",data_hits!$C:$C,$A59)</f>
        <v/>
      </c>
      <c r="E59">
        <f>SUM(D59:D59)</f>
        <v/>
      </c>
      <c r="F59">
        <f>G59+H59</f>
        <v/>
      </c>
      <c r="G59">
        <f>COUNTIFS(data_adj!$A:$A,"moonset",data_adj!$C:$C,$A59,data_adj!$E:$E,"TP")</f>
        <v/>
      </c>
      <c r="H59">
        <f>COUNTIFS(data_adj!$A:$A,"moonset",data_adj!$C:$C,$A59,data_adj!$E:$E,"FP")</f>
        <v/>
      </c>
      <c r="I59">
        <f>IF(F59=0,"",ROUND(100*G59/F59,1))</f>
        <v/>
      </c>
      <c r="J59">
        <f>COUNTIFS(data_llm!$A:$A,"moonset",data_llm!$C:$C,$A59)</f>
        <v/>
      </c>
      <c r="K59">
        <f>COUNTIFS(data_llm!$A:$A,"moonset",data_llm!$C:$C,$A59,data_llm!$F:$F,TRUE)</f>
        <v/>
      </c>
      <c r="L59">
        <f>J59-K59</f>
        <v/>
      </c>
      <c r="M59">
        <f>IF(J59=0,"",ROUND(100*K59/J59,1))</f>
        <v/>
      </c>
      <c r="N59">
        <f>IF(F59=0,"",ROUND(E59*G59/F59,0))</f>
        <v/>
      </c>
    </row>
    <row r="60">
      <c r="A60" t="inlineStr">
        <is>
          <t>tests-09</t>
        </is>
      </c>
      <c r="B60" t="inlineStr">
        <is>
          <t>Critical</t>
        </is>
      </c>
      <c r="C60" t="inlineStr">
        <is>
          <t>Tests with No Meaningful Assertions</t>
        </is>
      </c>
      <c r="D60">
        <f>COUNTIFS(data_hits!$A:$A,"moonset",data_hits!$C:$C,$A60)</f>
        <v/>
      </c>
      <c r="E60">
        <f>SUM(D60:D60)</f>
        <v/>
      </c>
      <c r="F60">
        <f>G60+H60</f>
        <v/>
      </c>
      <c r="G60">
        <f>COUNTIFS(data_adj!$A:$A,"moonset",data_adj!$C:$C,$A60,data_adj!$E:$E,"TP")</f>
        <v/>
      </c>
      <c r="H60">
        <f>COUNTIFS(data_adj!$A:$A,"moonset",data_adj!$C:$C,$A60,data_adj!$E:$E,"FP")</f>
        <v/>
      </c>
      <c r="I60">
        <f>IF(F60=0,"",ROUND(100*G60/F60,1))</f>
        <v/>
      </c>
      <c r="J60">
        <f>COUNTIFS(data_llm!$A:$A,"moonset",data_llm!$C:$C,$A60)</f>
        <v/>
      </c>
      <c r="K60">
        <f>COUNTIFS(data_llm!$A:$A,"moonset",data_llm!$C:$C,$A60,data_llm!$F:$F,TRUE)</f>
        <v/>
      </c>
      <c r="L60">
        <f>J60-K60</f>
        <v/>
      </c>
      <c r="M60">
        <f>IF(J60=0,"",ROUND(100*K60/J60,1))</f>
        <v/>
      </c>
      <c r="N60">
        <f>IF(F60=0,"",ROUND(E60*G60/F60,0))</f>
        <v/>
      </c>
    </row>
    <row r="61">
      <c r="A61" t="inlineStr">
        <is>
          <t>tests-13</t>
        </is>
      </c>
      <c r="B61" t="inlineStr">
        <is>
          <t>Critical</t>
        </is>
      </c>
      <c r="C61" t="inlineStr">
        <is>
          <t>Test Module Containing No Assertions</t>
        </is>
      </c>
      <c r="D61">
        <f>COUNTIFS(data_hits!$A:$A,"moonset",data_hits!$C:$C,$A61)</f>
        <v/>
      </c>
      <c r="E61">
        <f>SUM(D61:D61)</f>
        <v/>
      </c>
      <c r="F61">
        <f>G61+H61</f>
        <v/>
      </c>
      <c r="G61">
        <f>COUNTIFS(data_adj!$A:$A,"moonset",data_adj!$C:$C,$A61,data_adj!$E:$E,"TP")</f>
        <v/>
      </c>
      <c r="H61">
        <f>COUNTIFS(data_adj!$A:$A,"moonset",data_adj!$C:$C,$A61,data_adj!$E:$E,"FP")</f>
        <v/>
      </c>
      <c r="I61">
        <f>IF(F61=0,"",ROUND(100*G61/F61,1))</f>
        <v/>
      </c>
      <c r="J61">
        <f>COUNTIFS(data_llm!$A:$A,"moonset",data_llm!$C:$C,$A61)</f>
        <v/>
      </c>
      <c r="K61">
        <f>COUNTIFS(data_llm!$A:$A,"moonset",data_llm!$C:$C,$A61,data_llm!$F:$F,TRUE)</f>
        <v/>
      </c>
      <c r="L61">
        <f>J61-K61</f>
        <v/>
      </c>
      <c r="M61">
        <f>IF(J61=0,"",ROUND(100*K61/J61,1))</f>
        <v/>
      </c>
      <c r="N61">
        <f>IF(F61=0,"",ROUND(E61*G61/F61,0))</f>
        <v/>
      </c>
    </row>
  </sheetData>
  <conditionalFormatting sqref="A2:N61">
    <cfRule type="expression" priority="1" dxfId="0">
      <formula>$E2=0</formula>
    </cfRule>
  </conditionalFormatting>
  <conditionalFormatting sqref="I2:I6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hits:financialwell</t>
        </is>
      </c>
      <c r="E1" s="1" t="inlineStr">
        <is>
          <t>hits total</t>
        </is>
      </c>
      <c r="F1" s="1" t="inlineStr">
        <is>
          <t>adjudicated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precision %</t>
        </is>
      </c>
      <c r="J1" s="1" t="inlineStr">
        <is>
          <t>LLM-only found</t>
        </is>
      </c>
      <c r="K1" s="1" t="inlineStr">
        <is>
          <t>overlap w/ script</t>
        </is>
      </c>
      <c r="L1" s="1" t="inlineStr">
        <is>
          <t>script misses</t>
        </is>
      </c>
      <c r="M1" s="1" t="inlineStr">
        <is>
          <t>script coverage %</t>
        </is>
      </c>
      <c r="N1" s="1" t="inlineStr">
        <is>
          <t>est. true hits</t>
        </is>
      </c>
    </row>
    <row r="2">
      <c r="A2" t="inlineStr">
        <is>
          <t>arch-02</t>
        </is>
      </c>
      <c r="B2" t="inlineStr">
        <is>
          <t>Major</t>
        </is>
      </c>
      <c r="C2" t="inlineStr">
        <is>
          <t>Use Case Depending on Framework Type</t>
        </is>
      </c>
      <c r="D2">
        <f>COUNTIFS(data_hits!$A:$A,"financialwell",data_hits!$C:$C,$A2)</f>
        <v/>
      </c>
      <c r="E2">
        <f>SUM(D2:D2)</f>
        <v/>
      </c>
      <c r="F2">
        <f>G2+H2</f>
        <v/>
      </c>
      <c r="G2">
        <f>COUNTIFS(data_adj!$A:$A,"financialwell",data_adj!$C:$C,$A2,data_adj!$E:$E,"TP")</f>
        <v/>
      </c>
      <c r="H2">
        <f>COUNTIFS(data_adj!$A:$A,"financialwell",data_adj!$C:$C,$A2,data_adj!$E:$E,"FP")</f>
        <v/>
      </c>
      <c r="I2">
        <f>IF(F2=0,"",ROUND(100*G2/F2,1))</f>
        <v/>
      </c>
      <c r="J2">
        <f>COUNTIFS(data_llm!$A:$A,"financialwell",data_llm!$C:$C,$A2)</f>
        <v/>
      </c>
      <c r="K2">
        <f>COUNTIFS(data_llm!$A:$A,"financialwell",data_llm!$C:$C,$A2,data_llm!$F:$F,TRUE)</f>
        <v/>
      </c>
      <c r="L2">
        <f>J2-K2</f>
        <v/>
      </c>
      <c r="M2">
        <f>IF(J2=0,"",ROUND(100*K2/J2,1))</f>
        <v/>
      </c>
      <c r="N2">
        <f>IF(F2=0,"",ROUND(E2*G2/F2,0))</f>
        <v/>
      </c>
    </row>
    <row r="3">
      <c r="A3" t="inlineStr">
        <is>
          <t>arch-03</t>
        </is>
      </c>
      <c r="B3" t="inlineStr">
        <is>
          <t>Major</t>
        </is>
      </c>
      <c r="C3" t="inlineStr">
        <is>
          <t>Domain Entity with ORM Annotations</t>
        </is>
      </c>
      <c r="D3">
        <f>COUNTIFS(data_hits!$A:$A,"financialwell",data_hits!$C:$C,$A3)</f>
        <v/>
      </c>
      <c r="E3">
        <f>SUM(D3:D3)</f>
        <v/>
      </c>
      <c r="F3">
        <f>G3+H3</f>
        <v/>
      </c>
      <c r="G3">
        <f>COUNTIFS(data_adj!$A:$A,"financialwell",data_adj!$C:$C,$A3,data_adj!$E:$E,"TP")</f>
        <v/>
      </c>
      <c r="H3">
        <f>COUNTIFS(data_adj!$A:$A,"financialwell",data_adj!$C:$C,$A3,data_adj!$E:$E,"FP")</f>
        <v/>
      </c>
      <c r="I3">
        <f>IF(F3=0,"",ROUND(100*G3/F3,1))</f>
        <v/>
      </c>
      <c r="J3">
        <f>COUNTIFS(data_llm!$A:$A,"financialwell",data_llm!$C:$C,$A3)</f>
        <v/>
      </c>
      <c r="K3">
        <f>COUNTIFS(data_llm!$A:$A,"financialwell",data_llm!$C:$C,$A3,data_llm!$F:$F,TRUE)</f>
        <v/>
      </c>
      <c r="L3">
        <f>J3-K3</f>
        <v/>
      </c>
      <c r="M3">
        <f>IF(J3=0,"",ROUND(100*K3/J3,1))</f>
        <v/>
      </c>
      <c r="N3">
        <f>IF(F3=0,"",ROUND(E3*G3/F3,0))</f>
        <v/>
      </c>
    </row>
    <row r="4">
      <c r="A4" t="inlineStr">
        <is>
          <t>arch-05</t>
        </is>
      </c>
      <c r="B4" t="inlineStr">
        <is>
          <t>Major</t>
        </is>
      </c>
      <c r="C4" t="inlineStr">
        <is>
          <t>Infrastructure Exception Leaking</t>
        </is>
      </c>
      <c r="D4">
        <f>COUNTIFS(data_hits!$A:$A,"financialwell",data_hits!$C:$C,$A4)</f>
        <v/>
      </c>
      <c r="E4">
        <f>SUM(D4:D4)</f>
        <v/>
      </c>
      <c r="F4">
        <f>G4+H4</f>
        <v/>
      </c>
      <c r="G4">
        <f>COUNTIFS(data_adj!$A:$A,"financialwell",data_adj!$C:$C,$A4,data_adj!$E:$E,"TP")</f>
        <v/>
      </c>
      <c r="H4">
        <f>COUNTIFS(data_adj!$A:$A,"financialwell",data_adj!$C:$C,$A4,data_adj!$E:$E,"FP")</f>
        <v/>
      </c>
      <c r="I4">
        <f>IF(F4=0,"",ROUND(100*G4/F4,1))</f>
        <v/>
      </c>
      <c r="J4">
        <f>COUNTIFS(data_llm!$A:$A,"financialwell",data_llm!$C:$C,$A4)</f>
        <v/>
      </c>
      <c r="K4">
        <f>COUNTIFS(data_llm!$A:$A,"financialwell",data_llm!$C:$C,$A4,data_llm!$F:$F,TRUE)</f>
        <v/>
      </c>
      <c r="L4">
        <f>J4-K4</f>
        <v/>
      </c>
      <c r="M4">
        <f>IF(J4=0,"",ROUND(100*K4/J4,1))</f>
        <v/>
      </c>
      <c r="N4">
        <f>IF(F4=0,"",ROUND(E4*G4/F4,0))</f>
        <v/>
      </c>
    </row>
    <row r="5">
      <c r="A5" t="inlineStr">
        <is>
          <t>arch-08</t>
        </is>
      </c>
      <c r="B5" t="inlineStr">
        <is>
          <t>Major</t>
        </is>
      </c>
      <c r="C5" t="inlineStr">
        <is>
          <t>Service Locator / Magic Container</t>
        </is>
      </c>
      <c r="D5">
        <f>COUNTIFS(data_hits!$A:$A,"financialwell",data_hits!$C:$C,$A5)</f>
        <v/>
      </c>
      <c r="E5">
        <f>SUM(D5:D5)</f>
        <v/>
      </c>
      <c r="F5">
        <f>G5+H5</f>
        <v/>
      </c>
      <c r="G5">
        <f>COUNTIFS(data_adj!$A:$A,"financialwell",data_adj!$C:$C,$A5,data_adj!$E:$E,"TP")</f>
        <v/>
      </c>
      <c r="H5">
        <f>COUNTIFS(data_adj!$A:$A,"financialwell",data_adj!$C:$C,$A5,data_adj!$E:$E,"FP")</f>
        <v/>
      </c>
      <c r="I5">
        <f>IF(F5=0,"",ROUND(100*G5/F5,1))</f>
        <v/>
      </c>
      <c r="J5">
        <f>COUNTIFS(data_llm!$A:$A,"financialwell",data_llm!$C:$C,$A5)</f>
        <v/>
      </c>
      <c r="K5">
        <f>COUNTIFS(data_llm!$A:$A,"financialwell",data_llm!$C:$C,$A5,data_llm!$F:$F,TRUE)</f>
        <v/>
      </c>
      <c r="L5">
        <f>J5-K5</f>
        <v/>
      </c>
      <c r="M5">
        <f>IF(J5=0,"",ROUND(100*K5/J5,1))</f>
        <v/>
      </c>
      <c r="N5">
        <f>IF(F5=0,"",ROUND(E5*G5/F5,0))</f>
        <v/>
      </c>
    </row>
    <row r="6">
      <c r="A6" t="inlineStr">
        <is>
          <t>arch-09</t>
        </is>
      </c>
      <c r="B6" t="inlineStr">
        <is>
          <t>Moderate</t>
        </is>
      </c>
      <c r="C6" t="inlineStr">
        <is>
          <t>Environment-Specific Branching in Business Logic</t>
        </is>
      </c>
      <c r="D6">
        <f>COUNTIFS(data_hits!$A:$A,"financialwell",data_hits!$C:$C,$A6)</f>
        <v/>
      </c>
      <c r="E6">
        <f>SUM(D6:D6)</f>
        <v/>
      </c>
      <c r="F6">
        <f>G6+H6</f>
        <v/>
      </c>
      <c r="G6">
        <f>COUNTIFS(data_adj!$A:$A,"financialwell",data_adj!$C:$C,$A6,data_adj!$E:$E,"TP")</f>
        <v/>
      </c>
      <c r="H6">
        <f>COUNTIFS(data_adj!$A:$A,"financialwell",data_adj!$C:$C,$A6,data_adj!$E:$E,"FP")</f>
        <v/>
      </c>
      <c r="I6">
        <f>IF(F6=0,"",ROUND(100*G6/F6,1))</f>
        <v/>
      </c>
      <c r="J6">
        <f>COUNTIFS(data_llm!$A:$A,"financialwell",data_llm!$C:$C,$A6)</f>
        <v/>
      </c>
      <c r="K6">
        <f>COUNTIFS(data_llm!$A:$A,"financialwell",data_llm!$C:$C,$A6,data_llm!$F:$F,TRUE)</f>
        <v/>
      </c>
      <c r="L6">
        <f>J6-K6</f>
        <v/>
      </c>
      <c r="M6">
        <f>IF(J6=0,"",ROUND(100*K6/J6,1))</f>
        <v/>
      </c>
      <c r="N6">
        <f>IF(F6=0,"",ROUND(E6*G6/F6,0))</f>
        <v/>
      </c>
    </row>
    <row r="7">
      <c r="A7" t="inlineStr">
        <is>
          <t>arch-11</t>
        </is>
      </c>
      <c r="B7" t="inlineStr">
        <is>
          <t>Moderate</t>
        </is>
      </c>
      <c r="C7" t="inlineStr">
        <is>
          <t>Environment Address Hardcoded in Code</t>
        </is>
      </c>
      <c r="D7">
        <f>COUNTIFS(data_hits!$A:$A,"financialwell",data_hits!$C:$C,$A7)</f>
        <v/>
      </c>
      <c r="E7">
        <f>SUM(D7:D7)</f>
        <v/>
      </c>
      <c r="F7">
        <f>G7+H7</f>
        <v/>
      </c>
      <c r="G7">
        <f>COUNTIFS(data_adj!$A:$A,"financialwell",data_adj!$C:$C,$A7,data_adj!$E:$E,"TP")</f>
        <v/>
      </c>
      <c r="H7">
        <f>COUNTIFS(data_adj!$A:$A,"financialwell",data_adj!$C:$C,$A7,data_adj!$E:$E,"FP")</f>
        <v/>
      </c>
      <c r="I7">
        <f>IF(F7=0,"",ROUND(100*G7/F7,1))</f>
        <v/>
      </c>
      <c r="J7">
        <f>COUNTIFS(data_llm!$A:$A,"financialwell",data_llm!$C:$C,$A7)</f>
        <v/>
      </c>
      <c r="K7">
        <f>COUNTIFS(data_llm!$A:$A,"financialwell",data_llm!$C:$C,$A7,data_llm!$F:$F,TRUE)</f>
        <v/>
      </c>
      <c r="L7">
        <f>J7-K7</f>
        <v/>
      </c>
      <c r="M7">
        <f>IF(J7=0,"",ROUND(100*K7/J7,1))</f>
        <v/>
      </c>
      <c r="N7">
        <f>IF(F7=0,"",ROUND(E7*G7/F7,0))</f>
        <v/>
      </c>
    </row>
    <row r="8">
      <c r="A8" t="inlineStr">
        <is>
          <t>arch-12</t>
        </is>
      </c>
      <c r="B8" t="inlineStr">
        <is>
          <t>Major</t>
        </is>
      </c>
      <c r="C8" t="inlineStr">
        <is>
          <t>Cache Key Lifecycle Mismatch</t>
        </is>
      </c>
      <c r="D8">
        <f>COUNTIFS(data_hits!$A:$A,"financialwell",data_hits!$C:$C,$A8)</f>
        <v/>
      </c>
      <c r="E8">
        <f>SUM(D8:D8)</f>
        <v/>
      </c>
      <c r="F8">
        <f>G8+H8</f>
        <v/>
      </c>
      <c r="G8">
        <f>COUNTIFS(data_adj!$A:$A,"financialwell",data_adj!$C:$C,$A8,data_adj!$E:$E,"TP")</f>
        <v/>
      </c>
      <c r="H8">
        <f>COUNTIFS(data_adj!$A:$A,"financialwell",data_adj!$C:$C,$A8,data_adj!$E:$E,"FP")</f>
        <v/>
      </c>
      <c r="I8">
        <f>IF(F8=0,"",ROUND(100*G8/F8,1))</f>
        <v/>
      </c>
      <c r="J8">
        <f>COUNTIFS(data_llm!$A:$A,"financialwell",data_llm!$C:$C,$A8)</f>
        <v/>
      </c>
      <c r="K8">
        <f>COUNTIFS(data_llm!$A:$A,"financialwell",data_llm!$C:$C,$A8,data_llm!$F:$F,TRUE)</f>
        <v/>
      </c>
      <c r="L8">
        <f>J8-K8</f>
        <v/>
      </c>
      <c r="M8">
        <f>IF(J8=0,"",ROUND(100*K8/J8,1))</f>
        <v/>
      </c>
      <c r="N8">
        <f>IF(F8=0,"",ROUND(E8*G8/F8,0))</f>
        <v/>
      </c>
    </row>
    <row r="9">
      <c r="A9" t="inlineStr">
        <is>
          <t>clarity-06</t>
        </is>
      </c>
      <c r="B9" t="inlineStr">
        <is>
          <t>Minor</t>
        </is>
      </c>
      <c r="C9" t="inlineStr">
        <is>
          <t>Noise Words in Names</t>
        </is>
      </c>
      <c r="D9">
        <f>COUNTIFS(data_hits!$A:$A,"financialwell",data_hits!$C:$C,$A9)</f>
        <v/>
      </c>
      <c r="E9">
        <f>SUM(D9:D9)</f>
        <v/>
      </c>
      <c r="F9">
        <f>G9+H9</f>
        <v/>
      </c>
      <c r="G9">
        <f>COUNTIFS(data_adj!$A:$A,"financialwell",data_adj!$C:$C,$A9,data_adj!$E:$E,"TP")</f>
        <v/>
      </c>
      <c r="H9">
        <f>COUNTIFS(data_adj!$A:$A,"financialwell",data_adj!$C:$C,$A9,data_adj!$E:$E,"FP")</f>
        <v/>
      </c>
      <c r="I9">
        <f>IF(F9=0,"",ROUND(100*G9/F9,1))</f>
        <v/>
      </c>
      <c r="J9">
        <f>COUNTIFS(data_llm!$A:$A,"financialwell",data_llm!$C:$C,$A9)</f>
        <v/>
      </c>
      <c r="K9">
        <f>COUNTIFS(data_llm!$A:$A,"financialwell",data_llm!$C:$C,$A9,data_llm!$F:$F,TRUE)</f>
        <v/>
      </c>
      <c r="L9">
        <f>J9-K9</f>
        <v/>
      </c>
      <c r="M9">
        <f>IF(J9=0,"",ROUND(100*K9/J9,1))</f>
        <v/>
      </c>
      <c r="N9">
        <f>IF(F9=0,"",ROUND(E9*G9/F9,0))</f>
        <v/>
      </c>
    </row>
    <row r="10">
      <c r="A10" t="inlineStr">
        <is>
          <t>clarity-09</t>
        </is>
      </c>
      <c r="B10" t="inlineStr">
        <is>
          <t>Moderate</t>
        </is>
      </c>
      <c r="C10" t="inlineStr">
        <is>
          <t>Complex Boolean Conditions Not Extracted</t>
        </is>
      </c>
      <c r="D10">
        <f>COUNTIFS(data_hits!$A:$A,"financialwell",data_hits!$C:$C,$A10)</f>
        <v/>
      </c>
      <c r="E10">
        <f>SUM(D10:D10)</f>
        <v/>
      </c>
      <c r="F10">
        <f>G10+H10</f>
        <v/>
      </c>
      <c r="G10">
        <f>COUNTIFS(data_adj!$A:$A,"financialwell",data_adj!$C:$C,$A10,data_adj!$E:$E,"TP")</f>
        <v/>
      </c>
      <c r="H10">
        <f>COUNTIFS(data_adj!$A:$A,"financialwell",data_adj!$C:$C,$A10,data_adj!$E:$E,"FP")</f>
        <v/>
      </c>
      <c r="I10">
        <f>IF(F10=0,"",ROUND(100*G10/F10,1))</f>
        <v/>
      </c>
      <c r="J10">
        <f>COUNTIFS(data_llm!$A:$A,"financialwell",data_llm!$C:$C,$A10)</f>
        <v/>
      </c>
      <c r="K10">
        <f>COUNTIFS(data_llm!$A:$A,"financialwell",data_llm!$C:$C,$A10,data_llm!$F:$F,TRUE)</f>
        <v/>
      </c>
      <c r="L10">
        <f>J10-K10</f>
        <v/>
      </c>
      <c r="M10">
        <f>IF(J10=0,"",ROUND(100*K10/J10,1))</f>
        <v/>
      </c>
      <c r="N10">
        <f>IF(F10=0,"",ROUND(E10*G10/F10,0))</f>
        <v/>
      </c>
    </row>
    <row r="11">
      <c r="A11" t="inlineStr">
        <is>
          <t>clarity-16</t>
        </is>
      </c>
      <c r="B11" t="inlineStr">
        <is>
          <t>Major</t>
        </is>
      </c>
      <c r="C11" t="inlineStr">
        <is>
          <t>Cyclomatic Complexity</t>
        </is>
      </c>
      <c r="D11">
        <f>COUNTIFS(data_hits!$A:$A,"financialwell",data_hits!$C:$C,$A11)</f>
        <v/>
      </c>
      <c r="E11">
        <f>SUM(D11:D11)</f>
        <v/>
      </c>
      <c r="F11">
        <f>G11+H11</f>
        <v/>
      </c>
      <c r="G11">
        <f>COUNTIFS(data_adj!$A:$A,"financialwell",data_adj!$C:$C,$A11,data_adj!$E:$E,"TP")</f>
        <v/>
      </c>
      <c r="H11">
        <f>COUNTIFS(data_adj!$A:$A,"financialwell",data_adj!$C:$C,$A11,data_adj!$E:$E,"FP")</f>
        <v/>
      </c>
      <c r="I11">
        <f>IF(F11=0,"",ROUND(100*G11/F11,1))</f>
        <v/>
      </c>
      <c r="J11">
        <f>COUNTIFS(data_llm!$A:$A,"financialwell",data_llm!$C:$C,$A11)</f>
        <v/>
      </c>
      <c r="K11">
        <f>COUNTIFS(data_llm!$A:$A,"financialwell",data_llm!$C:$C,$A11,data_llm!$F:$F,TRUE)</f>
        <v/>
      </c>
      <c r="L11">
        <f>J11-K11</f>
        <v/>
      </c>
      <c r="M11">
        <f>IF(J11=0,"",ROUND(100*K11/J11,1))</f>
        <v/>
      </c>
      <c r="N11">
        <f>IF(F11=0,"",ROUND(E11*G11/F11,0))</f>
        <v/>
      </c>
    </row>
    <row r="12">
      <c r="A12" t="inlineStr">
        <is>
          <t>clarity-17</t>
        </is>
      </c>
      <c r="B12" t="inlineStr">
        <is>
          <t>Moderate</t>
        </is>
      </c>
      <c r="C12" t="inlineStr">
        <is>
          <t>Function Length</t>
        </is>
      </c>
      <c r="D12">
        <f>COUNTIFS(data_hits!$A:$A,"financialwell",data_hits!$C:$C,$A12)</f>
        <v/>
      </c>
      <c r="E12">
        <f>SUM(D12:D12)</f>
        <v/>
      </c>
      <c r="F12">
        <f>G12+H12</f>
        <v/>
      </c>
      <c r="G12">
        <f>COUNTIFS(data_adj!$A:$A,"financialwell",data_adj!$C:$C,$A12,data_adj!$E:$E,"TP")</f>
        <v/>
      </c>
      <c r="H12">
        <f>COUNTIFS(data_adj!$A:$A,"financialwell",data_adj!$C:$C,$A12,data_adj!$E:$E,"FP")</f>
        <v/>
      </c>
      <c r="I12">
        <f>IF(F12=0,"",ROUND(100*G12/F12,1))</f>
        <v/>
      </c>
      <c r="J12">
        <f>COUNTIFS(data_llm!$A:$A,"financialwell",data_llm!$C:$C,$A12)</f>
        <v/>
      </c>
      <c r="K12">
        <f>COUNTIFS(data_llm!$A:$A,"financialwell",data_llm!$C:$C,$A12,data_llm!$F:$F,TRUE)</f>
        <v/>
      </c>
      <c r="L12">
        <f>J12-K12</f>
        <v/>
      </c>
      <c r="M12">
        <f>IF(J12=0,"",ROUND(100*K12/J12,1))</f>
        <v/>
      </c>
      <c r="N12">
        <f>IF(F12=0,"",ROUND(E12*G12/F12,0))</f>
        <v/>
      </c>
    </row>
    <row r="13">
      <c r="A13" t="inlineStr">
        <is>
          <t>ddd-01</t>
        </is>
      </c>
      <c r="B13" t="inlineStr">
        <is>
          <t>Major</t>
        </is>
      </c>
      <c r="C13" t="inlineStr">
        <is>
          <t>Value Object Mutability</t>
        </is>
      </c>
      <c r="D13">
        <f>COUNTIFS(data_hits!$A:$A,"financialwell",data_hits!$C:$C,$A13)</f>
        <v/>
      </c>
      <c r="E13">
        <f>SUM(D13:D13)</f>
        <v/>
      </c>
      <c r="F13">
        <f>G13+H13</f>
        <v/>
      </c>
      <c r="G13">
        <f>COUNTIFS(data_adj!$A:$A,"financialwell",data_adj!$C:$C,$A13,data_adj!$E:$E,"TP")</f>
        <v/>
      </c>
      <c r="H13">
        <f>COUNTIFS(data_adj!$A:$A,"financialwell",data_adj!$C:$C,$A13,data_adj!$E:$E,"FP")</f>
        <v/>
      </c>
      <c r="I13">
        <f>IF(F13=0,"",ROUND(100*G13/F13,1))</f>
        <v/>
      </c>
      <c r="J13">
        <f>COUNTIFS(data_llm!$A:$A,"financialwell",data_llm!$C:$C,$A13)</f>
        <v/>
      </c>
      <c r="K13">
        <f>COUNTIFS(data_llm!$A:$A,"financialwell",data_llm!$C:$C,$A13,data_llm!$F:$F,TRUE)</f>
        <v/>
      </c>
      <c r="L13">
        <f>J13-K13</f>
        <v/>
      </c>
      <c r="M13">
        <f>IF(J13=0,"",ROUND(100*K13/J13,1))</f>
        <v/>
      </c>
      <c r="N13">
        <f>IF(F13=0,"",ROUND(E13*G13/F13,0))</f>
        <v/>
      </c>
    </row>
    <row r="14">
      <c r="A14" t="inlineStr">
        <is>
          <t>ddd-06</t>
        </is>
      </c>
      <c r="B14" t="inlineStr">
        <is>
          <t>Major</t>
        </is>
      </c>
      <c r="C14" t="inlineStr">
        <is>
          <t>Bounded Context Coupling</t>
        </is>
      </c>
      <c r="D14">
        <f>COUNTIFS(data_hits!$A:$A,"financialwell",data_hits!$C:$C,$A14)</f>
        <v/>
      </c>
      <c r="E14">
        <f>SUM(D14:D14)</f>
        <v/>
      </c>
      <c r="F14">
        <f>G14+H14</f>
        <v/>
      </c>
      <c r="G14">
        <f>COUNTIFS(data_adj!$A:$A,"financialwell",data_adj!$C:$C,$A14,data_adj!$E:$E,"TP")</f>
        <v/>
      </c>
      <c r="H14">
        <f>COUNTIFS(data_adj!$A:$A,"financialwell",data_adj!$C:$C,$A14,data_adj!$E:$E,"FP")</f>
        <v/>
      </c>
      <c r="I14">
        <f>IF(F14=0,"",ROUND(100*G14/F14,1))</f>
        <v/>
      </c>
      <c r="J14">
        <f>COUNTIFS(data_llm!$A:$A,"financialwell",data_llm!$C:$C,$A14)</f>
        <v/>
      </c>
      <c r="K14">
        <f>COUNTIFS(data_llm!$A:$A,"financialwell",data_llm!$C:$C,$A14,data_llm!$F:$F,TRUE)</f>
        <v/>
      </c>
      <c r="L14">
        <f>J14-K14</f>
        <v/>
      </c>
      <c r="M14">
        <f>IF(J14=0,"",ROUND(100*K14/J14,1))</f>
        <v/>
      </c>
      <c r="N14">
        <f>IF(F14=0,"",ROUND(E14*G14/F14,0))</f>
        <v/>
      </c>
    </row>
    <row r="15">
      <c r="A15" t="inlineStr">
        <is>
          <t>ddd-07</t>
        </is>
      </c>
      <c r="B15" t="inlineStr">
        <is>
          <t>Major</t>
        </is>
      </c>
      <c r="C15" t="inlineStr">
        <is>
          <t>Mutable Collection Leaked from Aggregate</t>
        </is>
      </c>
      <c r="D15">
        <f>COUNTIFS(data_hits!$A:$A,"financialwell",data_hits!$C:$C,$A15)</f>
        <v/>
      </c>
      <c r="E15">
        <f>SUM(D15:D15)</f>
        <v/>
      </c>
      <c r="F15">
        <f>G15+H15</f>
        <v/>
      </c>
      <c r="G15">
        <f>COUNTIFS(data_adj!$A:$A,"financialwell",data_adj!$C:$C,$A15,data_adj!$E:$E,"TP")</f>
        <v/>
      </c>
      <c r="H15">
        <f>COUNTIFS(data_adj!$A:$A,"financialwell",data_adj!$C:$C,$A15,data_adj!$E:$E,"FP")</f>
        <v/>
      </c>
      <c r="I15">
        <f>IF(F15=0,"",ROUND(100*G15/F15,1))</f>
        <v/>
      </c>
      <c r="J15">
        <f>COUNTIFS(data_llm!$A:$A,"financialwell",data_llm!$C:$C,$A15)</f>
        <v/>
      </c>
      <c r="K15">
        <f>COUNTIFS(data_llm!$A:$A,"financialwell",data_llm!$C:$C,$A15,data_llm!$F:$F,TRUE)</f>
        <v/>
      </c>
      <c r="L15">
        <f>J15-K15</f>
        <v/>
      </c>
      <c r="M15">
        <f>IF(J15=0,"",ROUND(100*K15/J15,1))</f>
        <v/>
      </c>
      <c r="N15">
        <f>IF(F15=0,"",ROUND(E15*G15/F15,0))</f>
        <v/>
      </c>
    </row>
    <row r="16">
      <c r="A16" t="inlineStr">
        <is>
          <t>safety-01</t>
        </is>
      </c>
      <c r="B16" t="inlineStr">
        <is>
          <t>Critical</t>
        </is>
      </c>
      <c r="C16" t="inlineStr">
        <is>
          <t>Resource Leak</t>
        </is>
      </c>
      <c r="D16">
        <f>COUNTIFS(data_hits!$A:$A,"financialwell",data_hits!$C:$C,$A16)</f>
        <v/>
      </c>
      <c r="E16">
        <f>SUM(D16:D16)</f>
        <v/>
      </c>
      <c r="F16">
        <f>G16+H16</f>
        <v/>
      </c>
      <c r="G16">
        <f>COUNTIFS(data_adj!$A:$A,"financialwell",data_adj!$C:$C,$A16,data_adj!$E:$E,"TP")</f>
        <v/>
      </c>
      <c r="H16">
        <f>COUNTIFS(data_adj!$A:$A,"financialwell",data_adj!$C:$C,$A16,data_adj!$E:$E,"FP")</f>
        <v/>
      </c>
      <c r="I16">
        <f>IF(F16=0,"",ROUND(100*G16/F16,1))</f>
        <v/>
      </c>
      <c r="J16">
        <f>COUNTIFS(data_llm!$A:$A,"financialwell",data_llm!$C:$C,$A16)</f>
        <v/>
      </c>
      <c r="K16">
        <f>COUNTIFS(data_llm!$A:$A,"financialwell",data_llm!$C:$C,$A16,data_llm!$F:$F,TRUE)</f>
        <v/>
      </c>
      <c r="L16">
        <f>J16-K16</f>
        <v/>
      </c>
      <c r="M16">
        <f>IF(J16=0,"",ROUND(100*K16/J16,1))</f>
        <v/>
      </c>
      <c r="N16">
        <f>IF(F16=0,"",ROUND(E16*G16/F16,0))</f>
        <v/>
      </c>
    </row>
    <row r="17">
      <c r="A17" t="inlineStr">
        <is>
          <t>safety-02</t>
        </is>
      </c>
      <c r="B17" t="inlineStr">
        <is>
          <t>Critical</t>
        </is>
      </c>
      <c r="C17" t="inlineStr">
        <is>
          <t>Unsafe Null Dereference / Force Unwrap</t>
        </is>
      </c>
      <c r="D17">
        <f>COUNTIFS(data_hits!$A:$A,"financialwell",data_hits!$C:$C,$A17)</f>
        <v/>
      </c>
      <c r="E17">
        <f>SUM(D17:D17)</f>
        <v/>
      </c>
      <c r="F17">
        <f>G17+H17</f>
        <v/>
      </c>
      <c r="G17">
        <f>COUNTIFS(data_adj!$A:$A,"financialwell",data_adj!$C:$C,$A17,data_adj!$E:$E,"TP")</f>
        <v/>
      </c>
      <c r="H17">
        <f>COUNTIFS(data_adj!$A:$A,"financialwell",data_adj!$C:$C,$A17,data_adj!$E:$E,"FP")</f>
        <v/>
      </c>
      <c r="I17">
        <f>IF(F17=0,"",ROUND(100*G17/F17,1))</f>
        <v/>
      </c>
      <c r="J17">
        <f>COUNTIFS(data_llm!$A:$A,"financialwell",data_llm!$C:$C,$A17)</f>
        <v/>
      </c>
      <c r="K17">
        <f>COUNTIFS(data_llm!$A:$A,"financialwell",data_llm!$C:$C,$A17,data_llm!$F:$F,TRUE)</f>
        <v/>
      </c>
      <c r="L17">
        <f>J17-K17</f>
        <v/>
      </c>
      <c r="M17">
        <f>IF(J17=0,"",ROUND(100*K17/J17,1))</f>
        <v/>
      </c>
      <c r="N17">
        <f>IF(F17=0,"",ROUND(E17*G17/F17,0))</f>
        <v/>
      </c>
    </row>
    <row r="18">
      <c r="A18" t="inlineStr">
        <is>
          <t>safety-03</t>
        </is>
      </c>
      <c r="B18" t="inlineStr">
        <is>
          <t>Major</t>
        </is>
      </c>
      <c r="C18" t="inlineStr">
        <is>
          <t>Fire-and-Forget Async Without Error Handling</t>
        </is>
      </c>
      <c r="D18">
        <f>COUNTIFS(data_hits!$A:$A,"financialwell",data_hits!$C:$C,$A18)</f>
        <v/>
      </c>
      <c r="E18">
        <f>SUM(D18:D18)</f>
        <v/>
      </c>
      <c r="F18">
        <f>G18+H18</f>
        <v/>
      </c>
      <c r="G18">
        <f>COUNTIFS(data_adj!$A:$A,"financialwell",data_adj!$C:$C,$A18,data_adj!$E:$E,"TP")</f>
        <v/>
      </c>
      <c r="H18">
        <f>COUNTIFS(data_adj!$A:$A,"financialwell",data_adj!$C:$C,$A18,data_adj!$E:$E,"FP")</f>
        <v/>
      </c>
      <c r="I18">
        <f>IF(F18=0,"",ROUND(100*G18/F18,1))</f>
        <v/>
      </c>
      <c r="J18">
        <f>COUNTIFS(data_llm!$A:$A,"financialwell",data_llm!$C:$C,$A18)</f>
        <v/>
      </c>
      <c r="K18">
        <f>COUNTIFS(data_llm!$A:$A,"financialwell",data_llm!$C:$C,$A18,data_llm!$F:$F,TRUE)</f>
        <v/>
      </c>
      <c r="L18">
        <f>J18-K18</f>
        <v/>
      </c>
      <c r="M18">
        <f>IF(J18=0,"",ROUND(100*K18/J18,1))</f>
        <v/>
      </c>
      <c r="N18">
        <f>IF(F18=0,"",ROUND(E18*G18/F18,0))</f>
        <v/>
      </c>
    </row>
    <row r="19">
      <c r="A19" t="inlineStr">
        <is>
          <t>safety-05</t>
        </is>
      </c>
      <c r="B19" t="inlineStr">
        <is>
          <t>Critical</t>
        </is>
      </c>
      <c r="C19" t="inlineStr">
        <is>
          <t>Check-Then-Act Race Condition</t>
        </is>
      </c>
      <c r="D19">
        <f>COUNTIFS(data_hits!$A:$A,"financialwell",data_hits!$C:$C,$A19)</f>
        <v/>
      </c>
      <c r="E19">
        <f>SUM(D19:D19)</f>
        <v/>
      </c>
      <c r="F19">
        <f>G19+H19</f>
        <v/>
      </c>
      <c r="G19">
        <f>COUNTIFS(data_adj!$A:$A,"financialwell",data_adj!$C:$C,$A19,data_adj!$E:$E,"TP")</f>
        <v/>
      </c>
      <c r="H19">
        <f>COUNTIFS(data_adj!$A:$A,"financialwell",data_adj!$C:$C,$A19,data_adj!$E:$E,"FP")</f>
        <v/>
      </c>
      <c r="I19">
        <f>IF(F19=0,"",ROUND(100*G19/F19,1))</f>
        <v/>
      </c>
      <c r="J19">
        <f>COUNTIFS(data_llm!$A:$A,"financialwell",data_llm!$C:$C,$A19)</f>
        <v/>
      </c>
      <c r="K19">
        <f>COUNTIFS(data_llm!$A:$A,"financialwell",data_llm!$C:$C,$A19,data_llm!$F:$F,TRUE)</f>
        <v/>
      </c>
      <c r="L19">
        <f>J19-K19</f>
        <v/>
      </c>
      <c r="M19">
        <f>IF(J19=0,"",ROUND(100*K19/J19,1))</f>
        <v/>
      </c>
      <c r="N19">
        <f>IF(F19=0,"",ROUND(E19*G19/F19,0))</f>
        <v/>
      </c>
    </row>
    <row r="20">
      <c r="A20" t="inlineStr">
        <is>
          <t>safety-06</t>
        </is>
      </c>
      <c r="B20" t="inlineStr">
        <is>
          <t>Major</t>
        </is>
      </c>
      <c r="C20" t="inlineStr">
        <is>
          <t>Blocking I/O in Async Context</t>
        </is>
      </c>
      <c r="D20">
        <f>COUNTIFS(data_hits!$A:$A,"financialwell",data_hits!$C:$C,$A20)</f>
        <v/>
      </c>
      <c r="E20">
        <f>SUM(D20:D20)</f>
        <v/>
      </c>
      <c r="F20">
        <f>G20+H20</f>
        <v/>
      </c>
      <c r="G20">
        <f>COUNTIFS(data_adj!$A:$A,"financialwell",data_adj!$C:$C,$A20,data_adj!$E:$E,"TP")</f>
        <v/>
      </c>
      <c r="H20">
        <f>COUNTIFS(data_adj!$A:$A,"financialwell",data_adj!$C:$C,$A20,data_adj!$E:$E,"FP")</f>
        <v/>
      </c>
      <c r="I20">
        <f>IF(F20=0,"",ROUND(100*G20/F20,1))</f>
        <v/>
      </c>
      <c r="J20">
        <f>COUNTIFS(data_llm!$A:$A,"financialwell",data_llm!$C:$C,$A20)</f>
        <v/>
      </c>
      <c r="K20">
        <f>COUNTIFS(data_llm!$A:$A,"financialwell",data_llm!$C:$C,$A20,data_llm!$F:$F,TRUE)</f>
        <v/>
      </c>
      <c r="L20">
        <f>J20-K20</f>
        <v/>
      </c>
      <c r="M20">
        <f>IF(J20=0,"",ROUND(100*K20/J20,1))</f>
        <v/>
      </c>
      <c r="N20">
        <f>IF(F20=0,"",ROUND(E20*G20/F20,0))</f>
        <v/>
      </c>
    </row>
    <row r="21">
      <c r="A21" t="inlineStr">
        <is>
          <t>safety-07</t>
        </is>
      </c>
      <c r="B21" t="inlineStr">
        <is>
          <t>Moderate</t>
        </is>
      </c>
      <c r="C21" t="inlineStr">
        <is>
          <t>Suppressed Compiler/Linter Warnings</t>
        </is>
      </c>
      <c r="D21">
        <f>COUNTIFS(data_hits!$A:$A,"financialwell",data_hits!$C:$C,$A21)</f>
        <v/>
      </c>
      <c r="E21">
        <f>SUM(D21:D21)</f>
        <v/>
      </c>
      <c r="F21">
        <f>G21+H21</f>
        <v/>
      </c>
      <c r="G21">
        <f>COUNTIFS(data_adj!$A:$A,"financialwell",data_adj!$C:$C,$A21,data_adj!$E:$E,"TP")</f>
        <v/>
      </c>
      <c r="H21">
        <f>COUNTIFS(data_adj!$A:$A,"financialwell",data_adj!$C:$C,$A21,data_adj!$E:$E,"FP")</f>
        <v/>
      </c>
      <c r="I21">
        <f>IF(F21=0,"",ROUND(100*G21/F21,1))</f>
        <v/>
      </c>
      <c r="J21">
        <f>COUNTIFS(data_llm!$A:$A,"financialwell",data_llm!$C:$C,$A21)</f>
        <v/>
      </c>
      <c r="K21">
        <f>COUNTIFS(data_llm!$A:$A,"financialwell",data_llm!$C:$C,$A21,data_llm!$F:$F,TRUE)</f>
        <v/>
      </c>
      <c r="L21">
        <f>J21-K21</f>
        <v/>
      </c>
      <c r="M21">
        <f>IF(J21=0,"",ROUND(100*K21/J21,1))</f>
        <v/>
      </c>
      <c r="N21">
        <f>IF(F21=0,"",ROUND(E21*G21/F21,0))</f>
        <v/>
      </c>
    </row>
    <row r="22">
      <c r="A22" t="inlineStr">
        <is>
          <t>safety-08</t>
        </is>
      </c>
      <c r="B22" t="inlineStr">
        <is>
          <t>Major</t>
        </is>
      </c>
      <c r="C22" t="inlineStr">
        <is>
          <t>External Call Without Timeout or Cancellation</t>
        </is>
      </c>
      <c r="D22">
        <f>COUNTIFS(data_hits!$A:$A,"financialwell",data_hits!$C:$C,$A22)</f>
        <v/>
      </c>
      <c r="E22">
        <f>SUM(D22:D22)</f>
        <v/>
      </c>
      <c r="F22">
        <f>G22+H22</f>
        <v/>
      </c>
      <c r="G22">
        <f>COUNTIFS(data_adj!$A:$A,"financialwell",data_adj!$C:$C,$A22,data_adj!$E:$E,"TP")</f>
        <v/>
      </c>
      <c r="H22">
        <f>COUNTIFS(data_adj!$A:$A,"financialwell",data_adj!$C:$C,$A22,data_adj!$E:$E,"FP")</f>
        <v/>
      </c>
      <c r="I22">
        <f>IF(F22=0,"",ROUND(100*G22/F22,1))</f>
        <v/>
      </c>
      <c r="J22">
        <f>COUNTIFS(data_llm!$A:$A,"financialwell",data_llm!$C:$C,$A22)</f>
        <v/>
      </c>
      <c r="K22">
        <f>COUNTIFS(data_llm!$A:$A,"financialwell",data_llm!$C:$C,$A22,data_llm!$F:$F,TRUE)</f>
        <v/>
      </c>
      <c r="L22">
        <f>J22-K22</f>
        <v/>
      </c>
      <c r="M22">
        <f>IF(J22=0,"",ROUND(100*K22/J22,1))</f>
        <v/>
      </c>
      <c r="N22">
        <f>IF(F22=0,"",ROUND(E22*G22/F22,0))</f>
        <v/>
      </c>
    </row>
    <row r="23">
      <c r="A23" t="inlineStr">
        <is>
          <t>safety-09</t>
        </is>
      </c>
      <c r="B23" t="inlineStr">
        <is>
          <t>Critical</t>
        </is>
      </c>
      <c r="C23" t="inlineStr">
        <is>
          <t>Fire-and-Forget Async Method Declaration</t>
        </is>
      </c>
      <c r="D23">
        <f>COUNTIFS(data_hits!$A:$A,"financialwell",data_hits!$C:$C,$A23)</f>
        <v/>
      </c>
      <c r="E23">
        <f>SUM(D23:D23)</f>
        <v/>
      </c>
      <c r="F23">
        <f>G23+H23</f>
        <v/>
      </c>
      <c r="G23">
        <f>COUNTIFS(data_adj!$A:$A,"financialwell",data_adj!$C:$C,$A23,data_adj!$E:$E,"TP")</f>
        <v/>
      </c>
      <c r="H23">
        <f>COUNTIFS(data_adj!$A:$A,"financialwell",data_adj!$C:$C,$A23,data_adj!$E:$E,"FP")</f>
        <v/>
      </c>
      <c r="I23">
        <f>IF(F23=0,"",ROUND(100*G23/F23,1))</f>
        <v/>
      </c>
      <c r="J23">
        <f>COUNTIFS(data_llm!$A:$A,"financialwell",data_llm!$C:$C,$A23)</f>
        <v/>
      </c>
      <c r="K23">
        <f>COUNTIFS(data_llm!$A:$A,"financialwell",data_llm!$C:$C,$A23,data_llm!$F:$F,TRUE)</f>
        <v/>
      </c>
      <c r="L23">
        <f>J23-K23</f>
        <v/>
      </c>
      <c r="M23">
        <f>IF(J23=0,"",ROUND(100*K23/J23,1))</f>
        <v/>
      </c>
      <c r="N23">
        <f>IF(F23=0,"",ROUND(E23*G23/F23,0))</f>
        <v/>
      </c>
    </row>
    <row r="24">
      <c r="A24" t="inlineStr">
        <is>
          <t>safety-10</t>
        </is>
      </c>
      <c r="B24" t="inlineStr">
        <is>
          <t>Major</t>
        </is>
      </c>
      <c r="C24" t="inlineStr">
        <is>
          <t>Exception Cause Discarded on Rethrow</t>
        </is>
      </c>
      <c r="D24">
        <f>COUNTIFS(data_hits!$A:$A,"financialwell",data_hits!$C:$C,$A24)</f>
        <v/>
      </c>
      <c r="E24">
        <f>SUM(D24:D24)</f>
        <v/>
      </c>
      <c r="F24">
        <f>G24+H24</f>
        <v/>
      </c>
      <c r="G24">
        <f>COUNTIFS(data_adj!$A:$A,"financialwell",data_adj!$C:$C,$A24,data_adj!$E:$E,"TP")</f>
        <v/>
      </c>
      <c r="H24">
        <f>COUNTIFS(data_adj!$A:$A,"financialwell",data_adj!$C:$C,$A24,data_adj!$E:$E,"FP")</f>
        <v/>
      </c>
      <c r="I24">
        <f>IF(F24=0,"",ROUND(100*G24/F24,1))</f>
        <v/>
      </c>
      <c r="J24">
        <f>COUNTIFS(data_llm!$A:$A,"financialwell",data_llm!$C:$C,$A24)</f>
        <v/>
      </c>
      <c r="K24">
        <f>COUNTIFS(data_llm!$A:$A,"financialwell",data_llm!$C:$C,$A24,data_llm!$F:$F,TRUE)</f>
        <v/>
      </c>
      <c r="L24">
        <f>J24-K24</f>
        <v/>
      </c>
      <c r="M24">
        <f>IF(J24=0,"",ROUND(100*K24/J24,1))</f>
        <v/>
      </c>
      <c r="N24">
        <f>IF(F24=0,"",ROUND(E24*G24/F24,0))</f>
        <v/>
      </c>
    </row>
    <row r="25">
      <c r="A25" t="inlineStr">
        <is>
          <t>safety-11</t>
        </is>
      </c>
      <c r="B25" t="inlineStr">
        <is>
          <t>Major</t>
        </is>
      </c>
      <c r="C25" t="inlineStr">
        <is>
          <t>Unabstracted Clock, Randomness, or Identifier in Production Code</t>
        </is>
      </c>
      <c r="D25">
        <f>COUNTIFS(data_hits!$A:$A,"financialwell",data_hits!$C:$C,$A25)</f>
        <v/>
      </c>
      <c r="E25">
        <f>SUM(D25:D25)</f>
        <v/>
      </c>
      <c r="F25">
        <f>G25+H25</f>
        <v/>
      </c>
      <c r="G25">
        <f>COUNTIFS(data_adj!$A:$A,"financialwell",data_adj!$C:$C,$A25,data_adj!$E:$E,"TP")</f>
        <v/>
      </c>
      <c r="H25">
        <f>COUNTIFS(data_adj!$A:$A,"financialwell",data_adj!$C:$C,$A25,data_adj!$E:$E,"FP")</f>
        <v/>
      </c>
      <c r="I25">
        <f>IF(F25=0,"",ROUND(100*G25/F25,1))</f>
        <v/>
      </c>
      <c r="J25">
        <f>COUNTIFS(data_llm!$A:$A,"financialwell",data_llm!$C:$C,$A25)</f>
        <v/>
      </c>
      <c r="K25">
        <f>COUNTIFS(data_llm!$A:$A,"financialwell",data_llm!$C:$C,$A25,data_llm!$F:$F,TRUE)</f>
        <v/>
      </c>
      <c r="L25">
        <f>J25-K25</f>
        <v/>
      </c>
      <c r="M25">
        <f>IF(J25=0,"",ROUND(100*K25/J25,1))</f>
        <v/>
      </c>
      <c r="N25">
        <f>IF(F25=0,"",ROUND(E25*G25/F25,0))</f>
        <v/>
      </c>
    </row>
    <row r="26">
      <c r="A26" t="inlineStr">
        <is>
          <t>safety-12</t>
        </is>
      </c>
      <c r="B26" t="inlineStr">
        <is>
          <t>Major</t>
        </is>
      </c>
      <c r="C26" t="inlineStr">
        <is>
          <t>Mutable Default Parameter Value</t>
        </is>
      </c>
      <c r="D26">
        <f>COUNTIFS(data_hits!$A:$A,"financialwell",data_hits!$C:$C,$A26)</f>
        <v/>
      </c>
      <c r="E26">
        <f>SUM(D26:D26)</f>
        <v/>
      </c>
      <c r="F26">
        <f>G26+H26</f>
        <v/>
      </c>
      <c r="G26">
        <f>COUNTIFS(data_adj!$A:$A,"financialwell",data_adj!$C:$C,$A26,data_adj!$E:$E,"TP")</f>
        <v/>
      </c>
      <c r="H26">
        <f>COUNTIFS(data_adj!$A:$A,"financialwell",data_adj!$C:$C,$A26,data_adj!$E:$E,"FP")</f>
        <v/>
      </c>
      <c r="I26">
        <f>IF(F26=0,"",ROUND(100*G26/F26,1))</f>
        <v/>
      </c>
      <c r="J26">
        <f>COUNTIFS(data_llm!$A:$A,"financialwell",data_llm!$C:$C,$A26)</f>
        <v/>
      </c>
      <c r="K26">
        <f>COUNTIFS(data_llm!$A:$A,"financialwell",data_llm!$C:$C,$A26,data_llm!$F:$F,TRUE)</f>
        <v/>
      </c>
      <c r="L26">
        <f>J26-K26</f>
        <v/>
      </c>
      <c r="M26">
        <f>IF(J26=0,"",ROUND(100*K26/J26,1))</f>
        <v/>
      </c>
      <c r="N26">
        <f>IF(F26=0,"",ROUND(E26*G26/F26,0))</f>
        <v/>
      </c>
    </row>
    <row r="27">
      <c r="A27" t="inlineStr">
        <is>
          <t>safety-13</t>
        </is>
      </c>
      <c r="B27" t="inlineStr">
        <is>
          <t>Major</t>
        </is>
      </c>
      <c r="C27" t="inlineStr">
        <is>
          <t>Assertion Used as Production Validation</t>
        </is>
      </c>
      <c r="D27">
        <f>COUNTIFS(data_hits!$A:$A,"financialwell",data_hits!$C:$C,$A27)</f>
        <v/>
      </c>
      <c r="E27">
        <f>SUM(D27:D27)</f>
        <v/>
      </c>
      <c r="F27">
        <f>G27+H27</f>
        <v/>
      </c>
      <c r="G27">
        <f>COUNTIFS(data_adj!$A:$A,"financialwell",data_adj!$C:$C,$A27,data_adj!$E:$E,"TP")</f>
        <v/>
      </c>
      <c r="H27">
        <f>COUNTIFS(data_adj!$A:$A,"financialwell",data_adj!$C:$C,$A27,data_adj!$E:$E,"FP")</f>
        <v/>
      </c>
      <c r="I27">
        <f>IF(F27=0,"",ROUND(100*G27/F27,1))</f>
        <v/>
      </c>
      <c r="J27">
        <f>COUNTIFS(data_llm!$A:$A,"financialwell",data_llm!$C:$C,$A27)</f>
        <v/>
      </c>
      <c r="K27">
        <f>COUNTIFS(data_llm!$A:$A,"financialwell",data_llm!$C:$C,$A27,data_llm!$F:$F,TRUE)</f>
        <v/>
      </c>
      <c r="L27">
        <f>J27-K27</f>
        <v/>
      </c>
      <c r="M27">
        <f>IF(J27=0,"",ROUND(100*K27/J27,1))</f>
        <v/>
      </c>
      <c r="N27">
        <f>IF(F27=0,"",ROUND(E27*G27/F27,0))</f>
        <v/>
      </c>
    </row>
    <row r="28">
      <c r="A28" t="inlineStr">
        <is>
          <t>safety-14</t>
        </is>
      </c>
      <c r="B28" t="inlineStr">
        <is>
          <t>Critical</t>
        </is>
      </c>
      <c r="C28" t="inlineStr">
        <is>
          <t>Hardcoded Credential</t>
        </is>
      </c>
      <c r="D28">
        <f>COUNTIFS(data_hits!$A:$A,"financialwell",data_hits!$C:$C,$A28)</f>
        <v/>
      </c>
      <c r="E28">
        <f>SUM(D28:D28)</f>
        <v/>
      </c>
      <c r="F28">
        <f>G28+H28</f>
        <v/>
      </c>
      <c r="G28">
        <f>COUNTIFS(data_adj!$A:$A,"financialwell",data_adj!$C:$C,$A28,data_adj!$E:$E,"TP")</f>
        <v/>
      </c>
      <c r="H28">
        <f>COUNTIFS(data_adj!$A:$A,"financialwell",data_adj!$C:$C,$A28,data_adj!$E:$E,"FP")</f>
        <v/>
      </c>
      <c r="I28">
        <f>IF(F28=0,"",ROUND(100*G28/F28,1))</f>
        <v/>
      </c>
      <c r="J28">
        <f>COUNTIFS(data_llm!$A:$A,"financialwell",data_llm!$C:$C,$A28)</f>
        <v/>
      </c>
      <c r="K28">
        <f>COUNTIFS(data_llm!$A:$A,"financialwell",data_llm!$C:$C,$A28,data_llm!$F:$F,TRUE)</f>
        <v/>
      </c>
      <c r="L28">
        <f>J28-K28</f>
        <v/>
      </c>
      <c r="M28">
        <f>IF(J28=0,"",ROUND(100*K28/J28,1))</f>
        <v/>
      </c>
      <c r="N28">
        <f>IF(F28=0,"",ROUND(E28*G28/F28,0))</f>
        <v/>
      </c>
    </row>
    <row r="29">
      <c r="A29" t="inlineStr">
        <is>
          <t>safety-15</t>
        </is>
      </c>
      <c r="B29" t="inlineStr">
        <is>
          <t>Critical</t>
        </is>
      </c>
      <c r="C29" t="inlineStr">
        <is>
          <t>Query Built by String Concatenation</t>
        </is>
      </c>
      <c r="D29">
        <f>COUNTIFS(data_hits!$A:$A,"financialwell",data_hits!$C:$C,$A29)</f>
        <v/>
      </c>
      <c r="E29">
        <f>SUM(D29:D29)</f>
        <v/>
      </c>
      <c r="F29">
        <f>G29+H29</f>
        <v/>
      </c>
      <c r="G29">
        <f>COUNTIFS(data_adj!$A:$A,"financialwell",data_adj!$C:$C,$A29,data_adj!$E:$E,"TP")</f>
        <v/>
      </c>
      <c r="H29">
        <f>COUNTIFS(data_adj!$A:$A,"financialwell",data_adj!$C:$C,$A29,data_adj!$E:$E,"FP")</f>
        <v/>
      </c>
      <c r="I29">
        <f>IF(F29=0,"",ROUND(100*G29/F29,1))</f>
        <v/>
      </c>
      <c r="J29">
        <f>COUNTIFS(data_llm!$A:$A,"financialwell",data_llm!$C:$C,$A29)</f>
        <v/>
      </c>
      <c r="K29">
        <f>COUNTIFS(data_llm!$A:$A,"financialwell",data_llm!$C:$C,$A29,data_llm!$F:$F,TRUE)</f>
        <v/>
      </c>
      <c r="L29">
        <f>J29-K29</f>
        <v/>
      </c>
      <c r="M29">
        <f>IF(J29=0,"",ROUND(100*K29/J29,1))</f>
        <v/>
      </c>
      <c r="N29">
        <f>IF(F29=0,"",ROUND(E29*G29/F29,0))</f>
        <v/>
      </c>
    </row>
    <row r="30">
      <c r="A30" t="inlineStr">
        <is>
          <t>safety-16</t>
        </is>
      </c>
      <c r="B30" t="inlineStr">
        <is>
          <t>Major</t>
        </is>
      </c>
      <c r="C30" t="inlineStr">
        <is>
          <t>Money Held in a Binary Floating-Point Type</t>
        </is>
      </c>
      <c r="D30">
        <f>COUNTIFS(data_hits!$A:$A,"financialwell",data_hits!$C:$C,$A30)</f>
        <v/>
      </c>
      <c r="E30">
        <f>SUM(D30:D30)</f>
        <v/>
      </c>
      <c r="F30">
        <f>G30+H30</f>
        <v/>
      </c>
      <c r="G30">
        <f>COUNTIFS(data_adj!$A:$A,"financialwell",data_adj!$C:$C,$A30,data_adj!$E:$E,"TP")</f>
        <v/>
      </c>
      <c r="H30">
        <f>COUNTIFS(data_adj!$A:$A,"financialwell",data_adj!$C:$C,$A30,data_adj!$E:$E,"FP")</f>
        <v/>
      </c>
      <c r="I30">
        <f>IF(F30=0,"",ROUND(100*G30/F30,1))</f>
        <v/>
      </c>
      <c r="J30">
        <f>COUNTIFS(data_llm!$A:$A,"financialwell",data_llm!$C:$C,$A30)</f>
        <v/>
      </c>
      <c r="K30">
        <f>COUNTIFS(data_llm!$A:$A,"financialwell",data_llm!$C:$C,$A30,data_llm!$F:$F,TRUE)</f>
        <v/>
      </c>
      <c r="L30">
        <f>J30-K30</f>
        <v/>
      </c>
      <c r="M30">
        <f>IF(J30=0,"",ROUND(100*K30/J30,1))</f>
        <v/>
      </c>
      <c r="N30">
        <f>IF(F30=0,"",ROUND(E30*G30/F30,0))</f>
        <v/>
      </c>
    </row>
    <row r="31">
      <c r="A31" t="inlineStr">
        <is>
          <t>safety-17</t>
        </is>
      </c>
      <c r="B31" t="inlineStr">
        <is>
          <t>Critical</t>
        </is>
      </c>
      <c r="C31" t="inlineStr">
        <is>
          <t>Weak or Broken Cryptographic Primitive</t>
        </is>
      </c>
      <c r="D31">
        <f>COUNTIFS(data_hits!$A:$A,"financialwell",data_hits!$C:$C,$A31)</f>
        <v/>
      </c>
      <c r="E31">
        <f>SUM(D31:D31)</f>
        <v/>
      </c>
      <c r="F31">
        <f>G31+H31</f>
        <v/>
      </c>
      <c r="G31">
        <f>COUNTIFS(data_adj!$A:$A,"financialwell",data_adj!$C:$C,$A31,data_adj!$E:$E,"TP")</f>
        <v/>
      </c>
      <c r="H31">
        <f>COUNTIFS(data_adj!$A:$A,"financialwell",data_adj!$C:$C,$A31,data_adj!$E:$E,"FP")</f>
        <v/>
      </c>
      <c r="I31">
        <f>IF(F31=0,"",ROUND(100*G31/F31,1))</f>
        <v/>
      </c>
      <c r="J31">
        <f>COUNTIFS(data_llm!$A:$A,"financialwell",data_llm!$C:$C,$A31)</f>
        <v/>
      </c>
      <c r="K31">
        <f>COUNTIFS(data_llm!$A:$A,"financialwell",data_llm!$C:$C,$A31,data_llm!$F:$F,TRUE)</f>
        <v/>
      </c>
      <c r="L31">
        <f>J31-K31</f>
        <v/>
      </c>
      <c r="M31">
        <f>IF(J31=0,"",ROUND(100*K31/J31,1))</f>
        <v/>
      </c>
      <c r="N31">
        <f>IF(F31=0,"",ROUND(E31*G31/F31,0))</f>
        <v/>
      </c>
    </row>
    <row r="32">
      <c r="A32" t="inlineStr">
        <is>
          <t>safety-18</t>
        </is>
      </c>
      <c r="B32" t="inlineStr">
        <is>
          <t>Critical</t>
        </is>
      </c>
      <c r="C32" t="inlineStr">
        <is>
          <t>TLS or Certificate Verification Disabled</t>
        </is>
      </c>
      <c r="D32">
        <f>COUNTIFS(data_hits!$A:$A,"financialwell",data_hits!$C:$C,$A32)</f>
        <v/>
      </c>
      <c r="E32">
        <f>SUM(D32:D32)</f>
        <v/>
      </c>
      <c r="F32">
        <f>G32+H32</f>
        <v/>
      </c>
      <c r="G32">
        <f>COUNTIFS(data_adj!$A:$A,"financialwell",data_adj!$C:$C,$A32,data_adj!$E:$E,"TP")</f>
        <v/>
      </c>
      <c r="H32">
        <f>COUNTIFS(data_adj!$A:$A,"financialwell",data_adj!$C:$C,$A32,data_adj!$E:$E,"FP")</f>
        <v/>
      </c>
      <c r="I32">
        <f>IF(F32=0,"",ROUND(100*G32/F32,1))</f>
        <v/>
      </c>
      <c r="J32">
        <f>COUNTIFS(data_llm!$A:$A,"financialwell",data_llm!$C:$C,$A32)</f>
        <v/>
      </c>
      <c r="K32">
        <f>COUNTIFS(data_llm!$A:$A,"financialwell",data_llm!$C:$C,$A32,data_llm!$F:$F,TRUE)</f>
        <v/>
      </c>
      <c r="L32">
        <f>J32-K32</f>
        <v/>
      </c>
      <c r="M32">
        <f>IF(J32=0,"",ROUND(100*K32/J32,1))</f>
        <v/>
      </c>
      <c r="N32">
        <f>IF(F32=0,"",ROUND(E32*G32/F32,0))</f>
        <v/>
      </c>
    </row>
    <row r="33">
      <c r="A33" t="inlineStr">
        <is>
          <t>safety-19</t>
        </is>
      </c>
      <c r="B33" t="inlineStr">
        <is>
          <t>Critical</t>
        </is>
      </c>
      <c r="C33" t="inlineStr">
        <is>
          <t>OS Command or Code Injection Surface</t>
        </is>
      </c>
      <c r="D33">
        <f>COUNTIFS(data_hits!$A:$A,"financialwell",data_hits!$C:$C,$A33)</f>
        <v/>
      </c>
      <c r="E33">
        <f>SUM(D33:D33)</f>
        <v/>
      </c>
      <c r="F33">
        <f>G33+H33</f>
        <v/>
      </c>
      <c r="G33">
        <f>COUNTIFS(data_adj!$A:$A,"financialwell",data_adj!$C:$C,$A33,data_adj!$E:$E,"TP")</f>
        <v/>
      </c>
      <c r="H33">
        <f>COUNTIFS(data_adj!$A:$A,"financialwell",data_adj!$C:$C,$A33,data_adj!$E:$E,"FP")</f>
        <v/>
      </c>
      <c r="I33">
        <f>IF(F33=0,"",ROUND(100*G33/F33,1))</f>
        <v/>
      </c>
      <c r="J33">
        <f>COUNTIFS(data_llm!$A:$A,"financialwell",data_llm!$C:$C,$A33)</f>
        <v/>
      </c>
      <c r="K33">
        <f>COUNTIFS(data_llm!$A:$A,"financialwell",data_llm!$C:$C,$A33,data_llm!$F:$F,TRUE)</f>
        <v/>
      </c>
      <c r="L33">
        <f>J33-K33</f>
        <v/>
      </c>
      <c r="M33">
        <f>IF(J33=0,"",ROUND(100*K33/J33,1))</f>
        <v/>
      </c>
      <c r="N33">
        <f>IF(F33=0,"",ROUND(E33*G33/F33,0))</f>
        <v/>
      </c>
    </row>
    <row r="34">
      <c r="A34" t="inlineStr">
        <is>
          <t>safety-20</t>
        </is>
      </c>
      <c r="B34" t="inlineStr">
        <is>
          <t>Critical</t>
        </is>
      </c>
      <c r="C34" t="inlineStr">
        <is>
          <t>Unsafe Deserialization of Untrusted Data</t>
        </is>
      </c>
      <c r="D34">
        <f>COUNTIFS(data_hits!$A:$A,"financialwell",data_hits!$C:$C,$A34)</f>
        <v/>
      </c>
      <c r="E34">
        <f>SUM(D34:D34)</f>
        <v/>
      </c>
      <c r="F34">
        <f>G34+H34</f>
        <v/>
      </c>
      <c r="G34">
        <f>COUNTIFS(data_adj!$A:$A,"financialwell",data_adj!$C:$C,$A34,data_adj!$E:$E,"TP")</f>
        <v/>
      </c>
      <c r="H34">
        <f>COUNTIFS(data_adj!$A:$A,"financialwell",data_adj!$C:$C,$A34,data_adj!$E:$E,"FP")</f>
        <v/>
      </c>
      <c r="I34">
        <f>IF(F34=0,"",ROUND(100*G34/F34,1))</f>
        <v/>
      </c>
      <c r="J34">
        <f>COUNTIFS(data_llm!$A:$A,"financialwell",data_llm!$C:$C,$A34)</f>
        <v/>
      </c>
      <c r="K34">
        <f>COUNTIFS(data_llm!$A:$A,"financialwell",data_llm!$C:$C,$A34,data_llm!$F:$F,TRUE)</f>
        <v/>
      </c>
      <c r="L34">
        <f>J34-K34</f>
        <v/>
      </c>
      <c r="M34">
        <f>IF(J34=0,"",ROUND(100*K34/J34,1))</f>
        <v/>
      </c>
      <c r="N34">
        <f>IF(F34=0,"",ROUND(E34*G34/F34,0))</f>
        <v/>
      </c>
    </row>
    <row r="35">
      <c r="A35" t="inlineStr">
        <is>
          <t>safety-21</t>
        </is>
      </c>
      <c r="B35" t="inlineStr">
        <is>
          <t>Major</t>
        </is>
      </c>
      <c r="C35" t="inlineStr">
        <is>
          <t>String or Object Compared by Reference in Java</t>
        </is>
      </c>
      <c r="D35">
        <f>COUNTIFS(data_hits!$A:$A,"financialwell",data_hits!$C:$C,$A35)</f>
        <v/>
      </c>
      <c r="E35">
        <f>SUM(D35:D35)</f>
        <v/>
      </c>
      <c r="F35">
        <f>G35+H35</f>
        <v/>
      </c>
      <c r="G35">
        <f>COUNTIFS(data_adj!$A:$A,"financialwell",data_adj!$C:$C,$A35,data_adj!$E:$E,"TP")</f>
        <v/>
      </c>
      <c r="H35">
        <f>COUNTIFS(data_adj!$A:$A,"financialwell",data_adj!$C:$C,$A35,data_adj!$E:$E,"FP")</f>
        <v/>
      </c>
      <c r="I35">
        <f>IF(F35=0,"",ROUND(100*G35/F35,1))</f>
        <v/>
      </c>
      <c r="J35">
        <f>COUNTIFS(data_llm!$A:$A,"financialwell",data_llm!$C:$C,$A35)</f>
        <v/>
      </c>
      <c r="K35">
        <f>COUNTIFS(data_llm!$A:$A,"financialwell",data_llm!$C:$C,$A35,data_llm!$F:$F,TRUE)</f>
        <v/>
      </c>
      <c r="L35">
        <f>J35-K35</f>
        <v/>
      </c>
      <c r="M35">
        <f>IF(J35=0,"",ROUND(100*K35/J35,1))</f>
        <v/>
      </c>
      <c r="N35">
        <f>IF(F35=0,"",ROUND(E35*G35/F35,0))</f>
        <v/>
      </c>
    </row>
    <row r="36">
      <c r="A36" t="inlineStr">
        <is>
          <t>smells-01</t>
        </is>
      </c>
      <c r="B36" t="inlineStr">
        <is>
          <t>Moderate</t>
        </is>
      </c>
      <c r="C36" t="inlineStr">
        <is>
          <t>File Length</t>
        </is>
      </c>
      <c r="D36">
        <f>COUNTIFS(data_hits!$A:$A,"financialwell",data_hits!$C:$C,$A36)</f>
        <v/>
      </c>
      <c r="E36">
        <f>SUM(D36:D36)</f>
        <v/>
      </c>
      <c r="F36">
        <f>G36+H36</f>
        <v/>
      </c>
      <c r="G36">
        <f>COUNTIFS(data_adj!$A:$A,"financialwell",data_adj!$C:$C,$A36,data_adj!$E:$E,"TP")</f>
        <v/>
      </c>
      <c r="H36">
        <f>COUNTIFS(data_adj!$A:$A,"financialwell",data_adj!$C:$C,$A36,data_adj!$E:$E,"FP")</f>
        <v/>
      </c>
      <c r="I36">
        <f>IF(F36=0,"",ROUND(100*G36/F36,1))</f>
        <v/>
      </c>
      <c r="J36">
        <f>COUNTIFS(data_llm!$A:$A,"financialwell",data_llm!$C:$C,$A36)</f>
        <v/>
      </c>
      <c r="K36">
        <f>COUNTIFS(data_llm!$A:$A,"financialwell",data_llm!$C:$C,$A36,data_llm!$F:$F,TRUE)</f>
        <v/>
      </c>
      <c r="L36">
        <f>J36-K36</f>
        <v/>
      </c>
      <c r="M36">
        <f>IF(J36=0,"",ROUND(100*K36/J36,1))</f>
        <v/>
      </c>
      <c r="N36">
        <f>IF(F36=0,"",ROUND(E36*G36/F36,0))</f>
        <v/>
      </c>
    </row>
    <row r="37">
      <c r="A37" t="inlineStr">
        <is>
          <t>smells-02</t>
        </is>
      </c>
      <c r="B37" t="inlineStr">
        <is>
          <t>Moderate</t>
        </is>
      </c>
      <c r="C37" t="inlineStr">
        <is>
          <t>Function Parameter Count</t>
        </is>
      </c>
      <c r="D37">
        <f>COUNTIFS(data_hits!$A:$A,"financialwell",data_hits!$C:$C,$A37)</f>
        <v/>
      </c>
      <c r="E37">
        <f>SUM(D37:D37)</f>
        <v/>
      </c>
      <c r="F37">
        <f>G37+H37</f>
        <v/>
      </c>
      <c r="G37">
        <f>COUNTIFS(data_adj!$A:$A,"financialwell",data_adj!$C:$C,$A37,data_adj!$E:$E,"TP")</f>
        <v/>
      </c>
      <c r="H37">
        <f>COUNTIFS(data_adj!$A:$A,"financialwell",data_adj!$C:$C,$A37,data_adj!$E:$E,"FP")</f>
        <v/>
      </c>
      <c r="I37">
        <f>IF(F37=0,"",ROUND(100*G37/F37,1))</f>
        <v/>
      </c>
      <c r="J37">
        <f>COUNTIFS(data_llm!$A:$A,"financialwell",data_llm!$C:$C,$A37)</f>
        <v/>
      </c>
      <c r="K37">
        <f>COUNTIFS(data_llm!$A:$A,"financialwell",data_llm!$C:$C,$A37,data_llm!$F:$F,TRUE)</f>
        <v/>
      </c>
      <c r="L37">
        <f>J37-K37</f>
        <v/>
      </c>
      <c r="M37">
        <f>IF(J37=0,"",ROUND(100*K37/J37,1))</f>
        <v/>
      </c>
      <c r="N37">
        <f>IF(F37=0,"",ROUND(E37*G37/F37,0))</f>
        <v/>
      </c>
    </row>
    <row r="38">
      <c r="A38" t="inlineStr">
        <is>
          <t>smells-03</t>
        </is>
      </c>
      <c r="B38" t="inlineStr">
        <is>
          <t>Moderate</t>
        </is>
      </c>
      <c r="C38" t="inlineStr">
        <is>
          <t>Boolean Parameters</t>
        </is>
      </c>
      <c r="D38">
        <f>COUNTIFS(data_hits!$A:$A,"financialwell",data_hits!$C:$C,$A38)</f>
        <v/>
      </c>
      <c r="E38">
        <f>SUM(D38:D38)</f>
        <v/>
      </c>
      <c r="F38">
        <f>G38+H38</f>
        <v/>
      </c>
      <c r="G38">
        <f>COUNTIFS(data_adj!$A:$A,"financialwell",data_adj!$C:$C,$A38,data_adj!$E:$E,"TP")</f>
        <v/>
      </c>
      <c r="H38">
        <f>COUNTIFS(data_adj!$A:$A,"financialwell",data_adj!$C:$C,$A38,data_adj!$E:$E,"FP")</f>
        <v/>
      </c>
      <c r="I38">
        <f>IF(F38=0,"",ROUND(100*G38/F38,1))</f>
        <v/>
      </c>
      <c r="J38">
        <f>COUNTIFS(data_llm!$A:$A,"financialwell",data_llm!$C:$C,$A38)</f>
        <v/>
      </c>
      <c r="K38">
        <f>COUNTIFS(data_llm!$A:$A,"financialwell",data_llm!$C:$C,$A38,data_llm!$F:$F,TRUE)</f>
        <v/>
      </c>
      <c r="L38">
        <f>J38-K38</f>
        <v/>
      </c>
      <c r="M38">
        <f>IF(J38=0,"",ROUND(100*K38/J38,1))</f>
        <v/>
      </c>
      <c r="N38">
        <f>IF(F38=0,"",ROUND(E38*G38/F38,0))</f>
        <v/>
      </c>
    </row>
    <row r="39">
      <c r="A39" t="inlineStr">
        <is>
          <t>smells-06</t>
        </is>
      </c>
      <c r="B39" t="inlineStr">
        <is>
          <t>Minor</t>
        </is>
      </c>
      <c r="C39" t="inlineStr">
        <is>
          <t>Commented-Out Code</t>
        </is>
      </c>
      <c r="D39">
        <f>COUNTIFS(data_hits!$A:$A,"financialwell",data_hits!$C:$C,$A39)</f>
        <v/>
      </c>
      <c r="E39">
        <f>SUM(D39:D39)</f>
        <v/>
      </c>
      <c r="F39">
        <f>G39+H39</f>
        <v/>
      </c>
      <c r="G39">
        <f>COUNTIFS(data_adj!$A:$A,"financialwell",data_adj!$C:$C,$A39,data_adj!$E:$E,"TP")</f>
        <v/>
      </c>
      <c r="H39">
        <f>COUNTIFS(data_adj!$A:$A,"financialwell",data_adj!$C:$C,$A39,data_adj!$E:$E,"FP")</f>
        <v/>
      </c>
      <c r="I39">
        <f>IF(F39=0,"",ROUND(100*G39/F39,1))</f>
        <v/>
      </c>
      <c r="J39">
        <f>COUNTIFS(data_llm!$A:$A,"financialwell",data_llm!$C:$C,$A39)</f>
        <v/>
      </c>
      <c r="K39">
        <f>COUNTIFS(data_llm!$A:$A,"financialwell",data_llm!$C:$C,$A39,data_llm!$F:$F,TRUE)</f>
        <v/>
      </c>
      <c r="L39">
        <f>J39-K39</f>
        <v/>
      </c>
      <c r="M39">
        <f>IF(J39=0,"",ROUND(100*K39/J39,1))</f>
        <v/>
      </c>
      <c r="N39">
        <f>IF(F39=0,"",ROUND(E39*G39/F39,0))</f>
        <v/>
      </c>
    </row>
    <row r="40">
      <c r="A40" t="inlineStr">
        <is>
          <t>smells-07</t>
        </is>
      </c>
      <c r="B40" t="inlineStr">
        <is>
          <t>Minor</t>
        </is>
      </c>
      <c r="C40" t="inlineStr">
        <is>
          <t>TODO/FIXME/HACK Comments</t>
        </is>
      </c>
      <c r="D40">
        <f>COUNTIFS(data_hits!$A:$A,"financialwell",data_hits!$C:$C,$A40)</f>
        <v/>
      </c>
      <c r="E40">
        <f>SUM(D40:D40)</f>
        <v/>
      </c>
      <c r="F40">
        <f>G40+H40</f>
        <v/>
      </c>
      <c r="G40">
        <f>COUNTIFS(data_adj!$A:$A,"financialwell",data_adj!$C:$C,$A40,data_adj!$E:$E,"TP")</f>
        <v/>
      </c>
      <c r="H40">
        <f>COUNTIFS(data_adj!$A:$A,"financialwell",data_adj!$C:$C,$A40,data_adj!$E:$E,"FP")</f>
        <v/>
      </c>
      <c r="I40">
        <f>IF(F40=0,"",ROUND(100*G40/F40,1))</f>
        <v/>
      </c>
      <c r="J40">
        <f>COUNTIFS(data_llm!$A:$A,"financialwell",data_llm!$C:$C,$A40)</f>
        <v/>
      </c>
      <c r="K40">
        <f>COUNTIFS(data_llm!$A:$A,"financialwell",data_llm!$C:$C,$A40,data_llm!$F:$F,TRUE)</f>
        <v/>
      </c>
      <c r="L40">
        <f>J40-K40</f>
        <v/>
      </c>
      <c r="M40">
        <f>IF(J40=0,"",ROUND(100*K40/J40,1))</f>
        <v/>
      </c>
      <c r="N40">
        <f>IF(F40=0,"",ROUND(E40*G40/F40,0))</f>
        <v/>
      </c>
    </row>
    <row r="41">
      <c r="A41" t="inlineStr">
        <is>
          <t>smells-08</t>
        </is>
      </c>
      <c r="B41" t="inlineStr">
        <is>
          <t>Major</t>
        </is>
      </c>
      <c r="C41" t="inlineStr">
        <is>
          <t>Null Returns / Null Parameters</t>
        </is>
      </c>
      <c r="D41">
        <f>COUNTIFS(data_hits!$A:$A,"financialwell",data_hits!$C:$C,$A41)</f>
        <v/>
      </c>
      <c r="E41">
        <f>SUM(D41:D41)</f>
        <v/>
      </c>
      <c r="F41">
        <f>G41+H41</f>
        <v/>
      </c>
      <c r="G41">
        <f>COUNTIFS(data_adj!$A:$A,"financialwell",data_adj!$C:$C,$A41,data_adj!$E:$E,"TP")</f>
        <v/>
      </c>
      <c r="H41">
        <f>COUNTIFS(data_adj!$A:$A,"financialwell",data_adj!$C:$C,$A41,data_adj!$E:$E,"FP")</f>
        <v/>
      </c>
      <c r="I41">
        <f>IF(F41=0,"",ROUND(100*G41/F41,1))</f>
        <v/>
      </c>
      <c r="J41">
        <f>COUNTIFS(data_llm!$A:$A,"financialwell",data_llm!$C:$C,$A41)</f>
        <v/>
      </c>
      <c r="K41">
        <f>COUNTIFS(data_llm!$A:$A,"financialwell",data_llm!$C:$C,$A41,data_llm!$F:$F,TRUE)</f>
        <v/>
      </c>
      <c r="L41">
        <f>J41-K41</f>
        <v/>
      </c>
      <c r="M41">
        <f>IF(J41=0,"",ROUND(100*K41/J41,1))</f>
        <v/>
      </c>
      <c r="N41">
        <f>IF(F41=0,"",ROUND(E41*G41/F41,0))</f>
        <v/>
      </c>
    </row>
    <row r="42">
      <c r="A42" t="inlineStr">
        <is>
          <t>smells-10</t>
        </is>
      </c>
      <c r="B42" t="inlineStr">
        <is>
          <t>Moderate</t>
        </is>
      </c>
      <c r="C42" t="inlineStr">
        <is>
          <t>Train Wreck Chains</t>
        </is>
      </c>
      <c r="D42">
        <f>COUNTIFS(data_hits!$A:$A,"financialwell",data_hits!$C:$C,$A42)</f>
        <v/>
      </c>
      <c r="E42">
        <f>SUM(D42:D42)</f>
        <v/>
      </c>
      <c r="F42">
        <f>G42+H42</f>
        <v/>
      </c>
      <c r="G42">
        <f>COUNTIFS(data_adj!$A:$A,"financialwell",data_adj!$C:$C,$A42,data_adj!$E:$E,"TP")</f>
        <v/>
      </c>
      <c r="H42">
        <f>COUNTIFS(data_adj!$A:$A,"financialwell",data_adj!$C:$C,$A42,data_adj!$E:$E,"FP")</f>
        <v/>
      </c>
      <c r="I42">
        <f>IF(F42=0,"",ROUND(100*G42/F42,1))</f>
        <v/>
      </c>
      <c r="J42">
        <f>COUNTIFS(data_llm!$A:$A,"financialwell",data_llm!$C:$C,$A42)</f>
        <v/>
      </c>
      <c r="K42">
        <f>COUNTIFS(data_llm!$A:$A,"financialwell",data_llm!$C:$C,$A42,data_llm!$F:$F,TRUE)</f>
        <v/>
      </c>
      <c r="L42">
        <f>J42-K42</f>
        <v/>
      </c>
      <c r="M42">
        <f>IF(J42=0,"",ROUND(100*K42/J42,1))</f>
        <v/>
      </c>
      <c r="N42">
        <f>IF(F42=0,"",ROUND(E42*G42/F42,0))</f>
        <v/>
      </c>
    </row>
    <row r="43">
      <c r="A43" t="inlineStr">
        <is>
          <t>smells-12</t>
        </is>
      </c>
      <c r="B43" t="inlineStr">
        <is>
          <t>Major</t>
        </is>
      </c>
      <c r="C43" t="inlineStr">
        <is>
          <t>Swallowed Exceptions</t>
        </is>
      </c>
      <c r="D43">
        <f>COUNTIFS(data_hits!$A:$A,"financialwell",data_hits!$C:$C,$A43)</f>
        <v/>
      </c>
      <c r="E43">
        <f>SUM(D43:D43)</f>
        <v/>
      </c>
      <c r="F43">
        <f>G43+H43</f>
        <v/>
      </c>
      <c r="G43">
        <f>COUNTIFS(data_adj!$A:$A,"financialwell",data_adj!$C:$C,$A43,data_adj!$E:$E,"TP")</f>
        <v/>
      </c>
      <c r="H43">
        <f>COUNTIFS(data_adj!$A:$A,"financialwell",data_adj!$C:$C,$A43,data_adj!$E:$E,"FP")</f>
        <v/>
      </c>
      <c r="I43">
        <f>IF(F43=0,"",ROUND(100*G43/F43,1))</f>
        <v/>
      </c>
      <c r="J43">
        <f>COUNTIFS(data_llm!$A:$A,"financialwell",data_llm!$C:$C,$A43)</f>
        <v/>
      </c>
      <c r="K43">
        <f>COUNTIFS(data_llm!$A:$A,"financialwell",data_llm!$C:$C,$A43,data_llm!$F:$F,TRUE)</f>
        <v/>
      </c>
      <c r="L43">
        <f>J43-K43</f>
        <v/>
      </c>
      <c r="M43">
        <f>IF(J43=0,"",ROUND(100*K43/J43,1))</f>
        <v/>
      </c>
      <c r="N43">
        <f>IF(F43=0,"",ROUND(E43*G43/F43,0))</f>
        <v/>
      </c>
    </row>
    <row r="44">
      <c r="A44" t="inlineStr">
        <is>
          <t>smells-20</t>
        </is>
      </c>
      <c r="B44" t="inlineStr">
        <is>
          <t>Major</t>
        </is>
      </c>
      <c r="C44" t="inlineStr">
        <is>
          <t>Equality Overridden Without a Matching Hash</t>
        </is>
      </c>
      <c r="D44">
        <f>COUNTIFS(data_hits!$A:$A,"financialwell",data_hits!$C:$C,$A44)</f>
        <v/>
      </c>
      <c r="E44">
        <f>SUM(D44:D44)</f>
        <v/>
      </c>
      <c r="F44">
        <f>G44+H44</f>
        <v/>
      </c>
      <c r="G44">
        <f>COUNTIFS(data_adj!$A:$A,"financialwell",data_adj!$C:$C,$A44,data_adj!$E:$E,"TP")</f>
        <v/>
      </c>
      <c r="H44">
        <f>COUNTIFS(data_adj!$A:$A,"financialwell",data_adj!$C:$C,$A44,data_adj!$E:$E,"FP")</f>
        <v/>
      </c>
      <c r="I44">
        <f>IF(F44=0,"",ROUND(100*G44/F44,1))</f>
        <v/>
      </c>
      <c r="J44">
        <f>COUNTIFS(data_llm!$A:$A,"financialwell",data_llm!$C:$C,$A44)</f>
        <v/>
      </c>
      <c r="K44">
        <f>COUNTIFS(data_llm!$A:$A,"financialwell",data_llm!$C:$C,$A44,data_llm!$F:$F,TRUE)</f>
        <v/>
      </c>
      <c r="L44">
        <f>J44-K44</f>
        <v/>
      </c>
      <c r="M44">
        <f>IF(J44=0,"",ROUND(100*K44/J44,1))</f>
        <v/>
      </c>
      <c r="N44">
        <f>IF(F44=0,"",ROUND(E44*G44/F44,0))</f>
        <v/>
      </c>
    </row>
    <row r="45">
      <c r="A45" t="inlineStr">
        <is>
          <t>smells-21</t>
        </is>
      </c>
      <c r="B45" t="inlineStr">
        <is>
          <t>Moderate</t>
        </is>
      </c>
      <c r="C45" t="inlineStr">
        <is>
          <t>Type-System Escape Hatch</t>
        </is>
      </c>
      <c r="D45">
        <f>COUNTIFS(data_hits!$A:$A,"financialwell",data_hits!$C:$C,$A45)</f>
        <v/>
      </c>
      <c r="E45">
        <f>SUM(D45:D45)</f>
        <v/>
      </c>
      <c r="F45">
        <f>G45+H45</f>
        <v/>
      </c>
      <c r="G45">
        <f>COUNTIFS(data_adj!$A:$A,"financialwell",data_adj!$C:$C,$A45,data_adj!$E:$E,"TP")</f>
        <v/>
      </c>
      <c r="H45">
        <f>COUNTIFS(data_adj!$A:$A,"financialwell",data_adj!$C:$C,$A45,data_adj!$E:$E,"FP")</f>
        <v/>
      </c>
      <c r="I45">
        <f>IF(F45=0,"",ROUND(100*G45/F45,1))</f>
        <v/>
      </c>
      <c r="J45">
        <f>COUNTIFS(data_llm!$A:$A,"financialwell",data_llm!$C:$C,$A45)</f>
        <v/>
      </c>
      <c r="K45">
        <f>COUNTIFS(data_llm!$A:$A,"financialwell",data_llm!$C:$C,$A45,data_llm!$F:$F,TRUE)</f>
        <v/>
      </c>
      <c r="L45">
        <f>J45-K45</f>
        <v/>
      </c>
      <c r="M45">
        <f>IF(J45=0,"",ROUND(100*K45/J45,1))</f>
        <v/>
      </c>
      <c r="N45">
        <f>IF(F45=0,"",ROUND(E45*G45/F45,0))</f>
        <v/>
      </c>
    </row>
    <row r="46">
      <c r="A46" t="inlineStr">
        <is>
          <t>smells-22</t>
        </is>
      </c>
      <c r="B46" t="inlineStr">
        <is>
          <t>Minor</t>
        </is>
      </c>
      <c r="C46" t="inlineStr">
        <is>
          <t>Wildcard Import</t>
        </is>
      </c>
      <c r="D46">
        <f>COUNTIFS(data_hits!$A:$A,"financialwell",data_hits!$C:$C,$A46)</f>
        <v/>
      </c>
      <c r="E46">
        <f>SUM(D46:D46)</f>
        <v/>
      </c>
      <c r="F46">
        <f>G46+H46</f>
        <v/>
      </c>
      <c r="G46">
        <f>COUNTIFS(data_adj!$A:$A,"financialwell",data_adj!$C:$C,$A46,data_adj!$E:$E,"TP")</f>
        <v/>
      </c>
      <c r="H46">
        <f>COUNTIFS(data_adj!$A:$A,"financialwell",data_adj!$C:$C,$A46,data_adj!$E:$E,"FP")</f>
        <v/>
      </c>
      <c r="I46">
        <f>IF(F46=0,"",ROUND(100*G46/F46,1))</f>
        <v/>
      </c>
      <c r="J46">
        <f>COUNTIFS(data_llm!$A:$A,"financialwell",data_llm!$C:$C,$A46)</f>
        <v/>
      </c>
      <c r="K46">
        <f>COUNTIFS(data_llm!$A:$A,"financialwell",data_llm!$C:$C,$A46,data_llm!$F:$F,TRUE)</f>
        <v/>
      </c>
      <c r="L46">
        <f>J46-K46</f>
        <v/>
      </c>
      <c r="M46">
        <f>IF(J46=0,"",ROUND(100*K46/J46,1))</f>
        <v/>
      </c>
      <c r="N46">
        <f>IF(F46=0,"",ROUND(E46*G46/F46,0))</f>
        <v/>
      </c>
    </row>
    <row r="47">
      <c r="A47" t="inlineStr">
        <is>
          <t>smells-23</t>
        </is>
      </c>
      <c r="B47" t="inlineStr">
        <is>
          <t>Minor</t>
        </is>
      </c>
      <c r="C47" t="inlineStr">
        <is>
          <t>Debugger Statement or Stack-Trace Dump Left in Code</t>
        </is>
      </c>
      <c r="D47">
        <f>COUNTIFS(data_hits!$A:$A,"financialwell",data_hits!$C:$C,$A47)</f>
        <v/>
      </c>
      <c r="E47">
        <f>SUM(D47:D47)</f>
        <v/>
      </c>
      <c r="F47">
        <f>G47+H47</f>
        <v/>
      </c>
      <c r="G47">
        <f>COUNTIFS(data_adj!$A:$A,"financialwell",data_adj!$C:$C,$A47,data_adj!$E:$E,"TP")</f>
        <v/>
      </c>
      <c r="H47">
        <f>COUNTIFS(data_adj!$A:$A,"financialwell",data_adj!$C:$C,$A47,data_adj!$E:$E,"FP")</f>
        <v/>
      </c>
      <c r="I47">
        <f>IF(F47=0,"",ROUND(100*G47/F47,1))</f>
        <v/>
      </c>
      <c r="J47">
        <f>COUNTIFS(data_llm!$A:$A,"financialwell",data_llm!$C:$C,$A47)</f>
        <v/>
      </c>
      <c r="K47">
        <f>COUNTIFS(data_llm!$A:$A,"financialwell",data_llm!$C:$C,$A47,data_llm!$F:$F,TRUE)</f>
        <v/>
      </c>
      <c r="L47">
        <f>J47-K47</f>
        <v/>
      </c>
      <c r="M47">
        <f>IF(J47=0,"",ROUND(100*K47/J47,1))</f>
        <v/>
      </c>
      <c r="N47">
        <f>IF(F47=0,"",ROUND(E47*G47/F47,0))</f>
        <v/>
      </c>
    </row>
    <row r="48">
      <c r="A48" t="inlineStr">
        <is>
          <t>solid-06</t>
        </is>
      </c>
      <c r="B48" t="inlineStr">
        <is>
          <t>Major</t>
        </is>
      </c>
      <c r="C48" t="inlineStr">
        <is>
          <t>Public Mutable Fields</t>
        </is>
      </c>
      <c r="D48">
        <f>COUNTIFS(data_hits!$A:$A,"financialwell",data_hits!$C:$C,$A48)</f>
        <v/>
      </c>
      <c r="E48">
        <f>SUM(D48:D48)</f>
        <v/>
      </c>
      <c r="F48">
        <f>G48+H48</f>
        <v/>
      </c>
      <c r="G48">
        <f>COUNTIFS(data_adj!$A:$A,"financialwell",data_adj!$C:$C,$A48,data_adj!$E:$E,"TP")</f>
        <v/>
      </c>
      <c r="H48">
        <f>COUNTIFS(data_adj!$A:$A,"financialwell",data_adj!$C:$C,$A48,data_adj!$E:$E,"FP")</f>
        <v/>
      </c>
      <c r="I48">
        <f>IF(F48=0,"",ROUND(100*G48/F48,1))</f>
        <v/>
      </c>
      <c r="J48">
        <f>COUNTIFS(data_llm!$A:$A,"financialwell",data_llm!$C:$C,$A48)</f>
        <v/>
      </c>
      <c r="K48">
        <f>COUNTIFS(data_llm!$A:$A,"financialwell",data_llm!$C:$C,$A48,data_llm!$F:$F,TRUE)</f>
        <v/>
      </c>
      <c r="L48">
        <f>J48-K48</f>
        <v/>
      </c>
      <c r="M48">
        <f>IF(J48=0,"",ROUND(100*K48/J48,1))</f>
        <v/>
      </c>
      <c r="N48">
        <f>IF(F48=0,"",ROUND(E48*G48/F48,0))</f>
        <v/>
      </c>
    </row>
    <row r="49">
      <c r="A49" t="inlineStr">
        <is>
          <t>solid-07</t>
        </is>
      </c>
      <c r="B49" t="inlineStr">
        <is>
          <t>Moderate</t>
        </is>
      </c>
      <c r="C49" t="inlineStr">
        <is>
          <t>Primitive Obsession</t>
        </is>
      </c>
      <c r="D49">
        <f>COUNTIFS(data_hits!$A:$A,"financialwell",data_hits!$C:$C,$A49)</f>
        <v/>
      </c>
      <c r="E49">
        <f>SUM(D49:D49)</f>
        <v/>
      </c>
      <c r="F49">
        <f>G49+H49</f>
        <v/>
      </c>
      <c r="G49">
        <f>COUNTIFS(data_adj!$A:$A,"financialwell",data_adj!$C:$C,$A49,data_adj!$E:$E,"TP")</f>
        <v/>
      </c>
      <c r="H49">
        <f>COUNTIFS(data_adj!$A:$A,"financialwell",data_adj!$C:$C,$A49,data_adj!$E:$E,"FP")</f>
        <v/>
      </c>
      <c r="I49">
        <f>IF(F49=0,"",ROUND(100*G49/F49,1))</f>
        <v/>
      </c>
      <c r="J49">
        <f>COUNTIFS(data_llm!$A:$A,"financialwell",data_llm!$C:$C,$A49)</f>
        <v/>
      </c>
      <c r="K49">
        <f>COUNTIFS(data_llm!$A:$A,"financialwell",data_llm!$C:$C,$A49,data_llm!$F:$F,TRUE)</f>
        <v/>
      </c>
      <c r="L49">
        <f>J49-K49</f>
        <v/>
      </c>
      <c r="M49">
        <f>IF(J49=0,"",ROUND(100*K49/J49,1))</f>
        <v/>
      </c>
      <c r="N49">
        <f>IF(F49=0,"",ROUND(E49*G49/F49,0))</f>
        <v/>
      </c>
    </row>
    <row r="50">
      <c r="A50" t="inlineStr">
        <is>
          <t>solid-08</t>
        </is>
      </c>
      <c r="B50" t="inlineStr">
        <is>
          <t>Minor</t>
        </is>
      </c>
      <c r="C50" t="inlineStr">
        <is>
          <t>Unnecessary Mutability</t>
        </is>
      </c>
      <c r="D50">
        <f>COUNTIFS(data_hits!$A:$A,"financialwell",data_hits!$C:$C,$A50)</f>
        <v/>
      </c>
      <c r="E50">
        <f>SUM(D50:D50)</f>
        <v/>
      </c>
      <c r="F50">
        <f>G50+H50</f>
        <v/>
      </c>
      <c r="G50">
        <f>COUNTIFS(data_adj!$A:$A,"financialwell",data_adj!$C:$C,$A50,data_adj!$E:$E,"TP")</f>
        <v/>
      </c>
      <c r="H50">
        <f>COUNTIFS(data_adj!$A:$A,"financialwell",data_adj!$C:$C,$A50,data_adj!$E:$E,"FP")</f>
        <v/>
      </c>
      <c r="I50">
        <f>IF(F50=0,"",ROUND(100*G50/F50,1))</f>
        <v/>
      </c>
      <c r="J50">
        <f>COUNTIFS(data_llm!$A:$A,"financialwell",data_llm!$C:$C,$A50)</f>
        <v/>
      </c>
      <c r="K50">
        <f>COUNTIFS(data_llm!$A:$A,"financialwell",data_llm!$C:$C,$A50,data_llm!$F:$F,TRUE)</f>
        <v/>
      </c>
      <c r="L50">
        <f>J50-K50</f>
        <v/>
      </c>
      <c r="M50">
        <f>IF(J50=0,"",ROUND(100*K50/J50,1))</f>
        <v/>
      </c>
      <c r="N50">
        <f>IF(F50=0,"",ROUND(E50*G50/F50,0))</f>
        <v/>
      </c>
    </row>
    <row r="51">
      <c r="A51" t="inlineStr">
        <is>
          <t>solid-09</t>
        </is>
      </c>
      <c r="B51" t="inlineStr">
        <is>
          <t>Major</t>
        </is>
      </c>
      <c r="C51" t="inlineStr">
        <is>
          <t>Global Mutable State</t>
        </is>
      </c>
      <c r="D51">
        <f>COUNTIFS(data_hits!$A:$A,"financialwell",data_hits!$C:$C,$A51)</f>
        <v/>
      </c>
      <c r="E51">
        <f>SUM(D51:D51)</f>
        <v/>
      </c>
      <c r="F51">
        <f>G51+H51</f>
        <v/>
      </c>
      <c r="G51">
        <f>COUNTIFS(data_adj!$A:$A,"financialwell",data_adj!$C:$C,$A51,data_adj!$E:$E,"TP")</f>
        <v/>
      </c>
      <c r="H51">
        <f>COUNTIFS(data_adj!$A:$A,"financialwell",data_adj!$C:$C,$A51,data_adj!$E:$E,"FP")</f>
        <v/>
      </c>
      <c r="I51">
        <f>IF(F51=0,"",ROUND(100*G51/F51,1))</f>
        <v/>
      </c>
      <c r="J51">
        <f>COUNTIFS(data_llm!$A:$A,"financialwell",data_llm!$C:$C,$A51)</f>
        <v/>
      </c>
      <c r="K51">
        <f>COUNTIFS(data_llm!$A:$A,"financialwell",data_llm!$C:$C,$A51,data_llm!$F:$F,TRUE)</f>
        <v/>
      </c>
      <c r="L51">
        <f>J51-K51</f>
        <v/>
      </c>
      <c r="M51">
        <f>IF(J51=0,"",ROUND(100*K51/J51,1))</f>
        <v/>
      </c>
      <c r="N51">
        <f>IF(F51=0,"",ROUND(E51*G51/F51,0))</f>
        <v/>
      </c>
    </row>
    <row r="52">
      <c r="A52" t="inlineStr">
        <is>
          <t>solid-10</t>
        </is>
      </c>
      <c r="B52" t="inlineStr">
        <is>
          <t>Major</t>
        </is>
      </c>
      <c r="C52" t="inlineStr">
        <is>
          <t>Hardcoded Dependency Creation</t>
        </is>
      </c>
      <c r="D52">
        <f>COUNTIFS(data_hits!$A:$A,"financialwell",data_hits!$C:$C,$A52)</f>
        <v/>
      </c>
      <c r="E52">
        <f>SUM(D52:D52)</f>
        <v/>
      </c>
      <c r="F52">
        <f>G52+H52</f>
        <v/>
      </c>
      <c r="G52">
        <f>COUNTIFS(data_adj!$A:$A,"financialwell",data_adj!$C:$C,$A52,data_adj!$E:$E,"TP")</f>
        <v/>
      </c>
      <c r="H52">
        <f>COUNTIFS(data_adj!$A:$A,"financialwell",data_adj!$C:$C,$A52,data_adj!$E:$E,"FP")</f>
        <v/>
      </c>
      <c r="I52">
        <f>IF(F52=0,"",ROUND(100*G52/F52,1))</f>
        <v/>
      </c>
      <c r="J52">
        <f>COUNTIFS(data_llm!$A:$A,"financialwell",data_llm!$C:$C,$A52)</f>
        <v/>
      </c>
      <c r="K52">
        <f>COUNTIFS(data_llm!$A:$A,"financialwell",data_llm!$C:$C,$A52,data_llm!$F:$F,TRUE)</f>
        <v/>
      </c>
      <c r="L52">
        <f>J52-K52</f>
        <v/>
      </c>
      <c r="M52">
        <f>IF(J52=0,"",ROUND(100*K52/J52,1))</f>
        <v/>
      </c>
      <c r="N52">
        <f>IF(F52=0,"",ROUND(E52*G52/F52,0))</f>
        <v/>
      </c>
    </row>
    <row r="53">
      <c r="A53" t="inlineStr">
        <is>
          <t>solid-12</t>
        </is>
      </c>
      <c r="B53" t="inlineStr">
        <is>
          <t>Moderate</t>
        </is>
      </c>
      <c r="C53" t="inlineStr">
        <is>
          <t>Logging Inside Domain</t>
        </is>
      </c>
      <c r="D53">
        <f>COUNTIFS(data_hits!$A:$A,"financialwell",data_hits!$C:$C,$A53)</f>
        <v/>
      </c>
      <c r="E53">
        <f>SUM(D53:D53)</f>
        <v/>
      </c>
      <c r="F53">
        <f>G53+H53</f>
        <v/>
      </c>
      <c r="G53">
        <f>COUNTIFS(data_adj!$A:$A,"financialwell",data_adj!$C:$C,$A53,data_adj!$E:$E,"TP")</f>
        <v/>
      </c>
      <c r="H53">
        <f>COUNTIFS(data_adj!$A:$A,"financialwell",data_adj!$C:$C,$A53,data_adj!$E:$E,"FP")</f>
        <v/>
      </c>
      <c r="I53">
        <f>IF(F53=0,"",ROUND(100*G53/F53,1))</f>
        <v/>
      </c>
      <c r="J53">
        <f>COUNTIFS(data_llm!$A:$A,"financialwell",data_llm!$C:$C,$A53)</f>
        <v/>
      </c>
      <c r="K53">
        <f>COUNTIFS(data_llm!$A:$A,"financialwell",data_llm!$C:$C,$A53,data_llm!$F:$F,TRUE)</f>
        <v/>
      </c>
      <c r="L53">
        <f>J53-K53</f>
        <v/>
      </c>
      <c r="M53">
        <f>IF(J53=0,"",ROUND(100*K53/J53,1))</f>
        <v/>
      </c>
      <c r="N53">
        <f>IF(F53=0,"",ROUND(E53*G53/F53,0))</f>
        <v/>
      </c>
    </row>
    <row r="54">
      <c r="A54" t="inlineStr">
        <is>
          <t>solid-15</t>
        </is>
      </c>
      <c r="B54" t="inlineStr">
        <is>
          <t>Major</t>
        </is>
      </c>
      <c r="C54" t="inlineStr">
        <is>
          <t>Switch/If-Else Dispatching on Type</t>
        </is>
      </c>
      <c r="D54">
        <f>COUNTIFS(data_hits!$A:$A,"financialwell",data_hits!$C:$C,$A54)</f>
        <v/>
      </c>
      <c r="E54">
        <f>SUM(D54:D54)</f>
        <v/>
      </c>
      <c r="F54">
        <f>G54+H54</f>
        <v/>
      </c>
      <c r="G54">
        <f>COUNTIFS(data_adj!$A:$A,"financialwell",data_adj!$C:$C,$A54,data_adj!$E:$E,"TP")</f>
        <v/>
      </c>
      <c r="H54">
        <f>COUNTIFS(data_adj!$A:$A,"financialwell",data_adj!$C:$C,$A54,data_adj!$E:$E,"FP")</f>
        <v/>
      </c>
      <c r="I54">
        <f>IF(F54=0,"",ROUND(100*G54/F54,1))</f>
        <v/>
      </c>
      <c r="J54">
        <f>COUNTIFS(data_llm!$A:$A,"financialwell",data_llm!$C:$C,$A54)</f>
        <v/>
      </c>
      <c r="K54">
        <f>COUNTIFS(data_llm!$A:$A,"financialwell",data_llm!$C:$C,$A54,data_llm!$F:$F,TRUE)</f>
        <v/>
      </c>
      <c r="L54">
        <f>J54-K54</f>
        <v/>
      </c>
      <c r="M54">
        <f>IF(J54=0,"",ROUND(100*K54/J54,1))</f>
        <v/>
      </c>
      <c r="N54">
        <f>IF(F54=0,"",ROUND(E54*G54/F54,0))</f>
        <v/>
      </c>
    </row>
    <row r="55">
      <c r="A55" t="inlineStr">
        <is>
          <t>tests-01</t>
        </is>
      </c>
      <c r="B55" t="inlineStr">
        <is>
          <t>Critical</t>
        </is>
      </c>
      <c r="C55" t="inlineStr">
        <is>
          <t>Missing Tests</t>
        </is>
      </c>
      <c r="D55">
        <f>COUNTIFS(data_hits!$A:$A,"financialwell",data_hits!$C:$C,$A55)</f>
        <v/>
      </c>
      <c r="E55">
        <f>SUM(D55:D55)</f>
        <v/>
      </c>
      <c r="F55">
        <f>G55+H55</f>
        <v/>
      </c>
      <c r="G55">
        <f>COUNTIFS(data_adj!$A:$A,"financialwell",data_adj!$C:$C,$A55,data_adj!$E:$E,"TP")</f>
        <v/>
      </c>
      <c r="H55">
        <f>COUNTIFS(data_adj!$A:$A,"financialwell",data_adj!$C:$C,$A55,data_adj!$E:$E,"FP")</f>
        <v/>
      </c>
      <c r="I55">
        <f>IF(F55=0,"",ROUND(100*G55/F55,1))</f>
        <v/>
      </c>
      <c r="J55">
        <f>COUNTIFS(data_llm!$A:$A,"financialwell",data_llm!$C:$C,$A55)</f>
        <v/>
      </c>
      <c r="K55">
        <f>COUNTIFS(data_llm!$A:$A,"financialwell",data_llm!$C:$C,$A55,data_llm!$F:$F,TRUE)</f>
        <v/>
      </c>
      <c r="L55">
        <f>J55-K55</f>
        <v/>
      </c>
      <c r="M55">
        <f>IF(J55=0,"",ROUND(100*K55/J55,1))</f>
        <v/>
      </c>
      <c r="N55">
        <f>IF(F55=0,"",ROUND(E55*G55/F55,0))</f>
        <v/>
      </c>
    </row>
    <row r="56">
      <c r="A56" t="inlineStr">
        <is>
          <t>tests-04</t>
        </is>
      </c>
      <c r="B56" t="inlineStr">
        <is>
          <t>Major</t>
        </is>
      </c>
      <c r="C56" t="inlineStr">
        <is>
          <t>Flaky Test Patterns</t>
        </is>
      </c>
      <c r="D56">
        <f>COUNTIFS(data_hits!$A:$A,"financialwell",data_hits!$C:$C,$A56)</f>
        <v/>
      </c>
      <c r="E56">
        <f>SUM(D56:D56)</f>
        <v/>
      </c>
      <c r="F56">
        <f>G56+H56</f>
        <v/>
      </c>
      <c r="G56">
        <f>COUNTIFS(data_adj!$A:$A,"financialwell",data_adj!$C:$C,$A56,data_adj!$E:$E,"TP")</f>
        <v/>
      </c>
      <c r="H56">
        <f>COUNTIFS(data_adj!$A:$A,"financialwell",data_adj!$C:$C,$A56,data_adj!$E:$E,"FP")</f>
        <v/>
      </c>
      <c r="I56">
        <f>IF(F56=0,"",ROUND(100*G56/F56,1))</f>
        <v/>
      </c>
      <c r="J56">
        <f>COUNTIFS(data_llm!$A:$A,"financialwell",data_llm!$C:$C,$A56)</f>
        <v/>
      </c>
      <c r="K56">
        <f>COUNTIFS(data_llm!$A:$A,"financialwell",data_llm!$C:$C,$A56,data_llm!$F:$F,TRUE)</f>
        <v/>
      </c>
      <c r="L56">
        <f>J56-K56</f>
        <v/>
      </c>
      <c r="M56">
        <f>IF(J56=0,"",ROUND(100*K56/J56,1))</f>
        <v/>
      </c>
      <c r="N56">
        <f>IF(F56=0,"",ROUND(E56*G56/F56,0))</f>
        <v/>
      </c>
    </row>
    <row r="57">
      <c r="A57" t="inlineStr">
        <is>
          <t>tests-05</t>
        </is>
      </c>
      <c r="B57" t="inlineStr">
        <is>
          <t>Major</t>
        </is>
      </c>
      <c r="C57" t="inlineStr">
        <is>
          <t>Test Accessing Private Internals</t>
        </is>
      </c>
      <c r="D57">
        <f>COUNTIFS(data_hits!$A:$A,"financialwell",data_hits!$C:$C,$A57)</f>
        <v/>
      </c>
      <c r="E57">
        <f>SUM(D57:D57)</f>
        <v/>
      </c>
      <c r="F57">
        <f>G57+H57</f>
        <v/>
      </c>
      <c r="G57">
        <f>COUNTIFS(data_adj!$A:$A,"financialwell",data_adj!$C:$C,$A57,data_adj!$E:$E,"TP")</f>
        <v/>
      </c>
      <c r="H57">
        <f>COUNTIFS(data_adj!$A:$A,"financialwell",data_adj!$C:$C,$A57,data_adj!$E:$E,"FP")</f>
        <v/>
      </c>
      <c r="I57">
        <f>IF(F57=0,"",ROUND(100*G57/F57,1))</f>
        <v/>
      </c>
      <c r="J57">
        <f>COUNTIFS(data_llm!$A:$A,"financialwell",data_llm!$C:$C,$A57)</f>
        <v/>
      </c>
      <c r="K57">
        <f>COUNTIFS(data_llm!$A:$A,"financialwell",data_llm!$C:$C,$A57,data_llm!$F:$F,TRUE)</f>
        <v/>
      </c>
      <c r="L57">
        <f>J57-K57</f>
        <v/>
      </c>
      <c r="M57">
        <f>IF(J57=0,"",ROUND(100*K57/J57,1))</f>
        <v/>
      </c>
      <c r="N57">
        <f>IF(F57=0,"",ROUND(E57*G57/F57,0))</f>
        <v/>
      </c>
    </row>
    <row r="58">
      <c r="A58" t="inlineStr">
        <is>
          <t>tests-06</t>
        </is>
      </c>
      <c r="B58" t="inlineStr">
        <is>
          <t>Major</t>
        </is>
      </c>
      <c r="C58" t="inlineStr">
        <is>
          <t>Shared Mutable State Between Tests</t>
        </is>
      </c>
      <c r="D58">
        <f>COUNTIFS(data_hits!$A:$A,"financialwell",data_hits!$C:$C,$A58)</f>
        <v/>
      </c>
      <c r="E58">
        <f>SUM(D58:D58)</f>
        <v/>
      </c>
      <c r="F58">
        <f>G58+H58</f>
        <v/>
      </c>
      <c r="G58">
        <f>COUNTIFS(data_adj!$A:$A,"financialwell",data_adj!$C:$C,$A58,data_adj!$E:$E,"TP")</f>
        <v/>
      </c>
      <c r="H58">
        <f>COUNTIFS(data_adj!$A:$A,"financialwell",data_adj!$C:$C,$A58,data_adj!$E:$E,"FP")</f>
        <v/>
      </c>
      <c r="I58">
        <f>IF(F58=0,"",ROUND(100*G58/F58,1))</f>
        <v/>
      </c>
      <c r="J58">
        <f>COUNTIFS(data_llm!$A:$A,"financialwell",data_llm!$C:$C,$A58)</f>
        <v/>
      </c>
      <c r="K58">
        <f>COUNTIFS(data_llm!$A:$A,"financialwell",data_llm!$C:$C,$A58,data_llm!$F:$F,TRUE)</f>
        <v/>
      </c>
      <c r="L58">
        <f>J58-K58</f>
        <v/>
      </c>
      <c r="M58">
        <f>IF(J58=0,"",ROUND(100*K58/J58,1))</f>
        <v/>
      </c>
      <c r="N58">
        <f>IF(F58=0,"",ROUND(E58*G58/F58,0))</f>
        <v/>
      </c>
    </row>
    <row r="59">
      <c r="A59" t="inlineStr">
        <is>
          <t>tests-08</t>
        </is>
      </c>
      <c r="B59" t="inlineStr">
        <is>
          <t>Major</t>
        </is>
      </c>
      <c r="C59" t="inlineStr">
        <is>
          <t>Skipped/Ignored Tests</t>
        </is>
      </c>
      <c r="D59">
        <f>COUNTIFS(data_hits!$A:$A,"financialwell",data_hits!$C:$C,$A59)</f>
        <v/>
      </c>
      <c r="E59">
        <f>SUM(D59:D59)</f>
        <v/>
      </c>
      <c r="F59">
        <f>G59+H59</f>
        <v/>
      </c>
      <c r="G59">
        <f>COUNTIFS(data_adj!$A:$A,"financialwell",data_adj!$C:$C,$A59,data_adj!$E:$E,"TP")</f>
        <v/>
      </c>
      <c r="H59">
        <f>COUNTIFS(data_adj!$A:$A,"financialwell",data_adj!$C:$C,$A59,data_adj!$E:$E,"FP")</f>
        <v/>
      </c>
      <c r="I59">
        <f>IF(F59=0,"",ROUND(100*G59/F59,1))</f>
        <v/>
      </c>
      <c r="J59">
        <f>COUNTIFS(data_llm!$A:$A,"financialwell",data_llm!$C:$C,$A59)</f>
        <v/>
      </c>
      <c r="K59">
        <f>COUNTIFS(data_llm!$A:$A,"financialwell",data_llm!$C:$C,$A59,data_llm!$F:$F,TRUE)</f>
        <v/>
      </c>
      <c r="L59">
        <f>J59-K59</f>
        <v/>
      </c>
      <c r="M59">
        <f>IF(J59=0,"",ROUND(100*K59/J59,1))</f>
        <v/>
      </c>
      <c r="N59">
        <f>IF(F59=0,"",ROUND(E59*G59/F59,0))</f>
        <v/>
      </c>
    </row>
    <row r="60">
      <c r="A60" t="inlineStr">
        <is>
          <t>tests-09</t>
        </is>
      </c>
      <c r="B60" t="inlineStr">
        <is>
          <t>Critical</t>
        </is>
      </c>
      <c r="C60" t="inlineStr">
        <is>
          <t>Tests with No Meaningful Assertions</t>
        </is>
      </c>
      <c r="D60">
        <f>COUNTIFS(data_hits!$A:$A,"financialwell",data_hits!$C:$C,$A60)</f>
        <v/>
      </c>
      <c r="E60">
        <f>SUM(D60:D60)</f>
        <v/>
      </c>
      <c r="F60">
        <f>G60+H60</f>
        <v/>
      </c>
      <c r="G60">
        <f>COUNTIFS(data_adj!$A:$A,"financialwell",data_adj!$C:$C,$A60,data_adj!$E:$E,"TP")</f>
        <v/>
      </c>
      <c r="H60">
        <f>COUNTIFS(data_adj!$A:$A,"financialwell",data_adj!$C:$C,$A60,data_adj!$E:$E,"FP")</f>
        <v/>
      </c>
      <c r="I60">
        <f>IF(F60=0,"",ROUND(100*G60/F60,1))</f>
        <v/>
      </c>
      <c r="J60">
        <f>COUNTIFS(data_llm!$A:$A,"financialwell",data_llm!$C:$C,$A60)</f>
        <v/>
      </c>
      <c r="K60">
        <f>COUNTIFS(data_llm!$A:$A,"financialwell",data_llm!$C:$C,$A60,data_llm!$F:$F,TRUE)</f>
        <v/>
      </c>
      <c r="L60">
        <f>J60-K60</f>
        <v/>
      </c>
      <c r="M60">
        <f>IF(J60=0,"",ROUND(100*K60/J60,1))</f>
        <v/>
      </c>
      <c r="N60">
        <f>IF(F60=0,"",ROUND(E60*G60/F60,0))</f>
        <v/>
      </c>
    </row>
    <row r="61">
      <c r="A61" t="inlineStr">
        <is>
          <t>tests-13</t>
        </is>
      </c>
      <c r="B61" t="inlineStr">
        <is>
          <t>Critical</t>
        </is>
      </c>
      <c r="C61" t="inlineStr">
        <is>
          <t>Test Module Containing No Assertions</t>
        </is>
      </c>
      <c r="D61">
        <f>COUNTIFS(data_hits!$A:$A,"financialwell",data_hits!$C:$C,$A61)</f>
        <v/>
      </c>
      <c r="E61">
        <f>SUM(D61:D61)</f>
        <v/>
      </c>
      <c r="F61">
        <f>G61+H61</f>
        <v/>
      </c>
      <c r="G61">
        <f>COUNTIFS(data_adj!$A:$A,"financialwell",data_adj!$C:$C,$A61,data_adj!$E:$E,"TP")</f>
        <v/>
      </c>
      <c r="H61">
        <f>COUNTIFS(data_adj!$A:$A,"financialwell",data_adj!$C:$C,$A61,data_adj!$E:$E,"FP")</f>
        <v/>
      </c>
      <c r="I61">
        <f>IF(F61=0,"",ROUND(100*G61/F61,1))</f>
        <v/>
      </c>
      <c r="J61">
        <f>COUNTIFS(data_llm!$A:$A,"financialwell",data_llm!$C:$C,$A61)</f>
        <v/>
      </c>
      <c r="K61">
        <f>COUNTIFS(data_llm!$A:$A,"financialwell",data_llm!$C:$C,$A61,data_llm!$F:$F,TRUE)</f>
        <v/>
      </c>
      <c r="L61">
        <f>J61-K61</f>
        <v/>
      </c>
      <c r="M61">
        <f>IF(J61=0,"",ROUND(100*K61/J61,1))</f>
        <v/>
      </c>
      <c r="N61">
        <f>IF(F61=0,"",ROUND(E61*G61/F61,0))</f>
        <v/>
      </c>
    </row>
  </sheetData>
  <conditionalFormatting sqref="A2:N61">
    <cfRule type="expression" priority="1" dxfId="0">
      <formula>$E2=0</formula>
    </cfRule>
  </conditionalFormatting>
  <conditionalFormatting sqref="I2:I6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hits:dddd</t>
        </is>
      </c>
      <c r="E1" s="1" t="inlineStr">
        <is>
          <t>hits total</t>
        </is>
      </c>
      <c r="F1" s="1" t="inlineStr">
        <is>
          <t>adjudicated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precision %</t>
        </is>
      </c>
      <c r="J1" s="1" t="inlineStr">
        <is>
          <t>LLM-only found</t>
        </is>
      </c>
      <c r="K1" s="1" t="inlineStr">
        <is>
          <t>overlap w/ script</t>
        </is>
      </c>
      <c r="L1" s="1" t="inlineStr">
        <is>
          <t>script misses</t>
        </is>
      </c>
      <c r="M1" s="1" t="inlineStr">
        <is>
          <t>script coverage %</t>
        </is>
      </c>
      <c r="N1" s="1" t="inlineStr">
        <is>
          <t>est. true hits</t>
        </is>
      </c>
    </row>
    <row r="2">
      <c r="A2" t="inlineStr">
        <is>
          <t>arch-02</t>
        </is>
      </c>
      <c r="B2" t="inlineStr">
        <is>
          <t>Major</t>
        </is>
      </c>
      <c r="C2" t="inlineStr">
        <is>
          <t>Use Case Depending on Framework Type</t>
        </is>
      </c>
      <c r="D2">
        <f>COUNTIFS(data_hits!$A:$A,"dddd",data_hits!$C:$C,$A2)</f>
        <v/>
      </c>
      <c r="E2">
        <f>SUM(D2:D2)</f>
        <v/>
      </c>
      <c r="F2">
        <f>G2+H2</f>
        <v/>
      </c>
      <c r="G2">
        <f>COUNTIFS(data_adj!$A:$A,"dddd",data_adj!$C:$C,$A2,data_adj!$E:$E,"TP")</f>
        <v/>
      </c>
      <c r="H2">
        <f>COUNTIFS(data_adj!$A:$A,"dddd",data_adj!$C:$C,$A2,data_adj!$E:$E,"FP")</f>
        <v/>
      </c>
      <c r="I2">
        <f>IF(F2=0,"",ROUND(100*G2/F2,1))</f>
        <v/>
      </c>
      <c r="J2">
        <f>COUNTIFS(data_llm!$A:$A,"dddd",data_llm!$C:$C,$A2)</f>
        <v/>
      </c>
      <c r="K2">
        <f>COUNTIFS(data_llm!$A:$A,"dddd",data_llm!$C:$C,$A2,data_llm!$F:$F,TRUE)</f>
        <v/>
      </c>
      <c r="L2">
        <f>J2-K2</f>
        <v/>
      </c>
      <c r="M2">
        <f>IF(J2=0,"",ROUND(100*K2/J2,1))</f>
        <v/>
      </c>
      <c r="N2">
        <f>IF(F2=0,"",ROUND(E2*G2/F2,0))</f>
        <v/>
      </c>
    </row>
    <row r="3">
      <c r="A3" t="inlineStr">
        <is>
          <t>arch-03</t>
        </is>
      </c>
      <c r="B3" t="inlineStr">
        <is>
          <t>Major</t>
        </is>
      </c>
      <c r="C3" t="inlineStr">
        <is>
          <t>Domain Entity with ORM Annotations</t>
        </is>
      </c>
      <c r="D3">
        <f>COUNTIFS(data_hits!$A:$A,"dddd",data_hits!$C:$C,$A3)</f>
        <v/>
      </c>
      <c r="E3">
        <f>SUM(D3:D3)</f>
        <v/>
      </c>
      <c r="F3">
        <f>G3+H3</f>
        <v/>
      </c>
      <c r="G3">
        <f>COUNTIFS(data_adj!$A:$A,"dddd",data_adj!$C:$C,$A3,data_adj!$E:$E,"TP")</f>
        <v/>
      </c>
      <c r="H3">
        <f>COUNTIFS(data_adj!$A:$A,"dddd",data_adj!$C:$C,$A3,data_adj!$E:$E,"FP")</f>
        <v/>
      </c>
      <c r="I3">
        <f>IF(F3=0,"",ROUND(100*G3/F3,1))</f>
        <v/>
      </c>
      <c r="J3">
        <f>COUNTIFS(data_llm!$A:$A,"dddd",data_llm!$C:$C,$A3)</f>
        <v/>
      </c>
      <c r="K3">
        <f>COUNTIFS(data_llm!$A:$A,"dddd",data_llm!$C:$C,$A3,data_llm!$F:$F,TRUE)</f>
        <v/>
      </c>
      <c r="L3">
        <f>J3-K3</f>
        <v/>
      </c>
      <c r="M3">
        <f>IF(J3=0,"",ROUND(100*K3/J3,1))</f>
        <v/>
      </c>
      <c r="N3">
        <f>IF(F3=0,"",ROUND(E3*G3/F3,0))</f>
        <v/>
      </c>
    </row>
    <row r="4">
      <c r="A4" t="inlineStr">
        <is>
          <t>arch-05</t>
        </is>
      </c>
      <c r="B4" t="inlineStr">
        <is>
          <t>Major</t>
        </is>
      </c>
      <c r="C4" t="inlineStr">
        <is>
          <t>Infrastructure Exception Leaking</t>
        </is>
      </c>
      <c r="D4">
        <f>COUNTIFS(data_hits!$A:$A,"dddd",data_hits!$C:$C,$A4)</f>
        <v/>
      </c>
      <c r="E4">
        <f>SUM(D4:D4)</f>
        <v/>
      </c>
      <c r="F4">
        <f>G4+H4</f>
        <v/>
      </c>
      <c r="G4">
        <f>COUNTIFS(data_adj!$A:$A,"dddd",data_adj!$C:$C,$A4,data_adj!$E:$E,"TP")</f>
        <v/>
      </c>
      <c r="H4">
        <f>COUNTIFS(data_adj!$A:$A,"dddd",data_adj!$C:$C,$A4,data_adj!$E:$E,"FP")</f>
        <v/>
      </c>
      <c r="I4">
        <f>IF(F4=0,"",ROUND(100*G4/F4,1))</f>
        <v/>
      </c>
      <c r="J4">
        <f>COUNTIFS(data_llm!$A:$A,"dddd",data_llm!$C:$C,$A4)</f>
        <v/>
      </c>
      <c r="K4">
        <f>COUNTIFS(data_llm!$A:$A,"dddd",data_llm!$C:$C,$A4,data_llm!$F:$F,TRUE)</f>
        <v/>
      </c>
      <c r="L4">
        <f>J4-K4</f>
        <v/>
      </c>
      <c r="M4">
        <f>IF(J4=0,"",ROUND(100*K4/J4,1))</f>
        <v/>
      </c>
      <c r="N4">
        <f>IF(F4=0,"",ROUND(E4*G4/F4,0))</f>
        <v/>
      </c>
    </row>
    <row r="5">
      <c r="A5" t="inlineStr">
        <is>
          <t>arch-08</t>
        </is>
      </c>
      <c r="B5" t="inlineStr">
        <is>
          <t>Major</t>
        </is>
      </c>
      <c r="C5" t="inlineStr">
        <is>
          <t>Service Locator / Magic Container</t>
        </is>
      </c>
      <c r="D5">
        <f>COUNTIFS(data_hits!$A:$A,"dddd",data_hits!$C:$C,$A5)</f>
        <v/>
      </c>
      <c r="E5">
        <f>SUM(D5:D5)</f>
        <v/>
      </c>
      <c r="F5">
        <f>G5+H5</f>
        <v/>
      </c>
      <c r="G5">
        <f>COUNTIFS(data_adj!$A:$A,"dddd",data_adj!$C:$C,$A5,data_adj!$E:$E,"TP")</f>
        <v/>
      </c>
      <c r="H5">
        <f>COUNTIFS(data_adj!$A:$A,"dddd",data_adj!$C:$C,$A5,data_adj!$E:$E,"FP")</f>
        <v/>
      </c>
      <c r="I5">
        <f>IF(F5=0,"",ROUND(100*G5/F5,1))</f>
        <v/>
      </c>
      <c r="J5">
        <f>COUNTIFS(data_llm!$A:$A,"dddd",data_llm!$C:$C,$A5)</f>
        <v/>
      </c>
      <c r="K5">
        <f>COUNTIFS(data_llm!$A:$A,"dddd",data_llm!$C:$C,$A5,data_llm!$F:$F,TRUE)</f>
        <v/>
      </c>
      <c r="L5">
        <f>J5-K5</f>
        <v/>
      </c>
      <c r="M5">
        <f>IF(J5=0,"",ROUND(100*K5/J5,1))</f>
        <v/>
      </c>
      <c r="N5">
        <f>IF(F5=0,"",ROUND(E5*G5/F5,0))</f>
        <v/>
      </c>
    </row>
    <row r="6">
      <c r="A6" t="inlineStr">
        <is>
          <t>arch-09</t>
        </is>
      </c>
      <c r="B6" t="inlineStr">
        <is>
          <t>Moderate</t>
        </is>
      </c>
      <c r="C6" t="inlineStr">
        <is>
          <t>Environment-Specific Branching in Business Logic</t>
        </is>
      </c>
      <c r="D6">
        <f>COUNTIFS(data_hits!$A:$A,"dddd",data_hits!$C:$C,$A6)</f>
        <v/>
      </c>
      <c r="E6">
        <f>SUM(D6:D6)</f>
        <v/>
      </c>
      <c r="F6">
        <f>G6+H6</f>
        <v/>
      </c>
      <c r="G6">
        <f>COUNTIFS(data_adj!$A:$A,"dddd",data_adj!$C:$C,$A6,data_adj!$E:$E,"TP")</f>
        <v/>
      </c>
      <c r="H6">
        <f>COUNTIFS(data_adj!$A:$A,"dddd",data_adj!$C:$C,$A6,data_adj!$E:$E,"FP")</f>
        <v/>
      </c>
      <c r="I6">
        <f>IF(F6=0,"",ROUND(100*G6/F6,1))</f>
        <v/>
      </c>
      <c r="J6">
        <f>COUNTIFS(data_llm!$A:$A,"dddd",data_llm!$C:$C,$A6)</f>
        <v/>
      </c>
      <c r="K6">
        <f>COUNTIFS(data_llm!$A:$A,"dddd",data_llm!$C:$C,$A6,data_llm!$F:$F,TRUE)</f>
        <v/>
      </c>
      <c r="L6">
        <f>J6-K6</f>
        <v/>
      </c>
      <c r="M6">
        <f>IF(J6=0,"",ROUND(100*K6/J6,1))</f>
        <v/>
      </c>
      <c r="N6">
        <f>IF(F6=0,"",ROUND(E6*G6/F6,0))</f>
        <v/>
      </c>
    </row>
    <row r="7">
      <c r="A7" t="inlineStr">
        <is>
          <t>arch-11</t>
        </is>
      </c>
      <c r="B7" t="inlineStr">
        <is>
          <t>Moderate</t>
        </is>
      </c>
      <c r="C7" t="inlineStr">
        <is>
          <t>Environment Address Hardcoded in Code</t>
        </is>
      </c>
      <c r="D7">
        <f>COUNTIFS(data_hits!$A:$A,"dddd",data_hits!$C:$C,$A7)</f>
        <v/>
      </c>
      <c r="E7">
        <f>SUM(D7:D7)</f>
        <v/>
      </c>
      <c r="F7">
        <f>G7+H7</f>
        <v/>
      </c>
      <c r="G7">
        <f>COUNTIFS(data_adj!$A:$A,"dddd",data_adj!$C:$C,$A7,data_adj!$E:$E,"TP")</f>
        <v/>
      </c>
      <c r="H7">
        <f>COUNTIFS(data_adj!$A:$A,"dddd",data_adj!$C:$C,$A7,data_adj!$E:$E,"FP")</f>
        <v/>
      </c>
      <c r="I7">
        <f>IF(F7=0,"",ROUND(100*G7/F7,1))</f>
        <v/>
      </c>
      <c r="J7">
        <f>COUNTIFS(data_llm!$A:$A,"dddd",data_llm!$C:$C,$A7)</f>
        <v/>
      </c>
      <c r="K7">
        <f>COUNTIFS(data_llm!$A:$A,"dddd",data_llm!$C:$C,$A7,data_llm!$F:$F,TRUE)</f>
        <v/>
      </c>
      <c r="L7">
        <f>J7-K7</f>
        <v/>
      </c>
      <c r="M7">
        <f>IF(J7=0,"",ROUND(100*K7/J7,1))</f>
        <v/>
      </c>
      <c r="N7">
        <f>IF(F7=0,"",ROUND(E7*G7/F7,0))</f>
        <v/>
      </c>
    </row>
    <row r="8">
      <c r="A8" t="inlineStr">
        <is>
          <t>arch-12</t>
        </is>
      </c>
      <c r="B8" t="inlineStr">
        <is>
          <t>Major</t>
        </is>
      </c>
      <c r="C8" t="inlineStr">
        <is>
          <t>Cache Key Lifecycle Mismatch</t>
        </is>
      </c>
      <c r="D8">
        <f>COUNTIFS(data_hits!$A:$A,"dddd",data_hits!$C:$C,$A8)</f>
        <v/>
      </c>
      <c r="E8">
        <f>SUM(D8:D8)</f>
        <v/>
      </c>
      <c r="F8">
        <f>G8+H8</f>
        <v/>
      </c>
      <c r="G8">
        <f>COUNTIFS(data_adj!$A:$A,"dddd",data_adj!$C:$C,$A8,data_adj!$E:$E,"TP")</f>
        <v/>
      </c>
      <c r="H8">
        <f>COUNTIFS(data_adj!$A:$A,"dddd",data_adj!$C:$C,$A8,data_adj!$E:$E,"FP")</f>
        <v/>
      </c>
      <c r="I8">
        <f>IF(F8=0,"",ROUND(100*G8/F8,1))</f>
        <v/>
      </c>
      <c r="J8">
        <f>COUNTIFS(data_llm!$A:$A,"dddd",data_llm!$C:$C,$A8)</f>
        <v/>
      </c>
      <c r="K8">
        <f>COUNTIFS(data_llm!$A:$A,"dddd",data_llm!$C:$C,$A8,data_llm!$F:$F,TRUE)</f>
        <v/>
      </c>
      <c r="L8">
        <f>J8-K8</f>
        <v/>
      </c>
      <c r="M8">
        <f>IF(J8=0,"",ROUND(100*K8/J8,1))</f>
        <v/>
      </c>
      <c r="N8">
        <f>IF(F8=0,"",ROUND(E8*G8/F8,0))</f>
        <v/>
      </c>
    </row>
    <row r="9">
      <c r="A9" t="inlineStr">
        <is>
          <t>clarity-06</t>
        </is>
      </c>
      <c r="B9" t="inlineStr">
        <is>
          <t>Minor</t>
        </is>
      </c>
      <c r="C9" t="inlineStr">
        <is>
          <t>Noise Words in Names</t>
        </is>
      </c>
      <c r="D9">
        <f>COUNTIFS(data_hits!$A:$A,"dddd",data_hits!$C:$C,$A9)</f>
        <v/>
      </c>
      <c r="E9">
        <f>SUM(D9:D9)</f>
        <v/>
      </c>
      <c r="F9">
        <f>G9+H9</f>
        <v/>
      </c>
      <c r="G9">
        <f>COUNTIFS(data_adj!$A:$A,"dddd",data_adj!$C:$C,$A9,data_adj!$E:$E,"TP")</f>
        <v/>
      </c>
      <c r="H9">
        <f>COUNTIFS(data_adj!$A:$A,"dddd",data_adj!$C:$C,$A9,data_adj!$E:$E,"FP")</f>
        <v/>
      </c>
      <c r="I9">
        <f>IF(F9=0,"",ROUND(100*G9/F9,1))</f>
        <v/>
      </c>
      <c r="J9">
        <f>COUNTIFS(data_llm!$A:$A,"dddd",data_llm!$C:$C,$A9)</f>
        <v/>
      </c>
      <c r="K9">
        <f>COUNTIFS(data_llm!$A:$A,"dddd",data_llm!$C:$C,$A9,data_llm!$F:$F,TRUE)</f>
        <v/>
      </c>
      <c r="L9">
        <f>J9-K9</f>
        <v/>
      </c>
      <c r="M9">
        <f>IF(J9=0,"",ROUND(100*K9/J9,1))</f>
        <v/>
      </c>
      <c r="N9">
        <f>IF(F9=0,"",ROUND(E9*G9/F9,0))</f>
        <v/>
      </c>
    </row>
    <row r="10">
      <c r="A10" t="inlineStr">
        <is>
          <t>clarity-09</t>
        </is>
      </c>
      <c r="B10" t="inlineStr">
        <is>
          <t>Moderate</t>
        </is>
      </c>
      <c r="C10" t="inlineStr">
        <is>
          <t>Complex Boolean Conditions Not Extracted</t>
        </is>
      </c>
      <c r="D10">
        <f>COUNTIFS(data_hits!$A:$A,"dddd",data_hits!$C:$C,$A10)</f>
        <v/>
      </c>
      <c r="E10">
        <f>SUM(D10:D10)</f>
        <v/>
      </c>
      <c r="F10">
        <f>G10+H10</f>
        <v/>
      </c>
      <c r="G10">
        <f>COUNTIFS(data_adj!$A:$A,"dddd",data_adj!$C:$C,$A10,data_adj!$E:$E,"TP")</f>
        <v/>
      </c>
      <c r="H10">
        <f>COUNTIFS(data_adj!$A:$A,"dddd",data_adj!$C:$C,$A10,data_adj!$E:$E,"FP")</f>
        <v/>
      </c>
      <c r="I10">
        <f>IF(F10=0,"",ROUND(100*G10/F10,1))</f>
        <v/>
      </c>
      <c r="J10">
        <f>COUNTIFS(data_llm!$A:$A,"dddd",data_llm!$C:$C,$A10)</f>
        <v/>
      </c>
      <c r="K10">
        <f>COUNTIFS(data_llm!$A:$A,"dddd",data_llm!$C:$C,$A10,data_llm!$F:$F,TRUE)</f>
        <v/>
      </c>
      <c r="L10">
        <f>J10-K10</f>
        <v/>
      </c>
      <c r="M10">
        <f>IF(J10=0,"",ROUND(100*K10/J10,1))</f>
        <v/>
      </c>
      <c r="N10">
        <f>IF(F10=0,"",ROUND(E10*G10/F10,0))</f>
        <v/>
      </c>
    </row>
    <row r="11">
      <c r="A11" t="inlineStr">
        <is>
          <t>clarity-16</t>
        </is>
      </c>
      <c r="B11" t="inlineStr">
        <is>
          <t>Major</t>
        </is>
      </c>
      <c r="C11" t="inlineStr">
        <is>
          <t>Cyclomatic Complexity</t>
        </is>
      </c>
      <c r="D11">
        <f>COUNTIFS(data_hits!$A:$A,"dddd",data_hits!$C:$C,$A11)</f>
        <v/>
      </c>
      <c r="E11">
        <f>SUM(D11:D11)</f>
        <v/>
      </c>
      <c r="F11">
        <f>G11+H11</f>
        <v/>
      </c>
      <c r="G11">
        <f>COUNTIFS(data_adj!$A:$A,"dddd",data_adj!$C:$C,$A11,data_adj!$E:$E,"TP")</f>
        <v/>
      </c>
      <c r="H11">
        <f>COUNTIFS(data_adj!$A:$A,"dddd",data_adj!$C:$C,$A11,data_adj!$E:$E,"FP")</f>
        <v/>
      </c>
      <c r="I11">
        <f>IF(F11=0,"",ROUND(100*G11/F11,1))</f>
        <v/>
      </c>
      <c r="J11">
        <f>COUNTIFS(data_llm!$A:$A,"dddd",data_llm!$C:$C,$A11)</f>
        <v/>
      </c>
      <c r="K11">
        <f>COUNTIFS(data_llm!$A:$A,"dddd",data_llm!$C:$C,$A11,data_llm!$F:$F,TRUE)</f>
        <v/>
      </c>
      <c r="L11">
        <f>J11-K11</f>
        <v/>
      </c>
      <c r="M11">
        <f>IF(J11=0,"",ROUND(100*K11/J11,1))</f>
        <v/>
      </c>
      <c r="N11">
        <f>IF(F11=0,"",ROUND(E11*G11/F11,0))</f>
        <v/>
      </c>
    </row>
    <row r="12">
      <c r="A12" t="inlineStr">
        <is>
          <t>clarity-17</t>
        </is>
      </c>
      <c r="B12" t="inlineStr">
        <is>
          <t>Moderate</t>
        </is>
      </c>
      <c r="C12" t="inlineStr">
        <is>
          <t>Function Length</t>
        </is>
      </c>
      <c r="D12">
        <f>COUNTIFS(data_hits!$A:$A,"dddd",data_hits!$C:$C,$A12)</f>
        <v/>
      </c>
      <c r="E12">
        <f>SUM(D12:D12)</f>
        <v/>
      </c>
      <c r="F12">
        <f>G12+H12</f>
        <v/>
      </c>
      <c r="G12">
        <f>COUNTIFS(data_adj!$A:$A,"dddd",data_adj!$C:$C,$A12,data_adj!$E:$E,"TP")</f>
        <v/>
      </c>
      <c r="H12">
        <f>COUNTIFS(data_adj!$A:$A,"dddd",data_adj!$C:$C,$A12,data_adj!$E:$E,"FP")</f>
        <v/>
      </c>
      <c r="I12">
        <f>IF(F12=0,"",ROUND(100*G12/F12,1))</f>
        <v/>
      </c>
      <c r="J12">
        <f>COUNTIFS(data_llm!$A:$A,"dddd",data_llm!$C:$C,$A12)</f>
        <v/>
      </c>
      <c r="K12">
        <f>COUNTIFS(data_llm!$A:$A,"dddd",data_llm!$C:$C,$A12,data_llm!$F:$F,TRUE)</f>
        <v/>
      </c>
      <c r="L12">
        <f>J12-K12</f>
        <v/>
      </c>
      <c r="M12">
        <f>IF(J12=0,"",ROUND(100*K12/J12,1))</f>
        <v/>
      </c>
      <c r="N12">
        <f>IF(F12=0,"",ROUND(E12*G12/F12,0))</f>
        <v/>
      </c>
    </row>
    <row r="13">
      <c r="A13" t="inlineStr">
        <is>
          <t>ddd-01</t>
        </is>
      </c>
      <c r="B13" t="inlineStr">
        <is>
          <t>Major</t>
        </is>
      </c>
      <c r="C13" t="inlineStr">
        <is>
          <t>Value Object Mutability</t>
        </is>
      </c>
      <c r="D13">
        <f>COUNTIFS(data_hits!$A:$A,"dddd",data_hits!$C:$C,$A13)</f>
        <v/>
      </c>
      <c r="E13">
        <f>SUM(D13:D13)</f>
        <v/>
      </c>
      <c r="F13">
        <f>G13+H13</f>
        <v/>
      </c>
      <c r="G13">
        <f>COUNTIFS(data_adj!$A:$A,"dddd",data_adj!$C:$C,$A13,data_adj!$E:$E,"TP")</f>
        <v/>
      </c>
      <c r="H13">
        <f>COUNTIFS(data_adj!$A:$A,"dddd",data_adj!$C:$C,$A13,data_adj!$E:$E,"FP")</f>
        <v/>
      </c>
      <c r="I13">
        <f>IF(F13=0,"",ROUND(100*G13/F13,1))</f>
        <v/>
      </c>
      <c r="J13">
        <f>COUNTIFS(data_llm!$A:$A,"dddd",data_llm!$C:$C,$A13)</f>
        <v/>
      </c>
      <c r="K13">
        <f>COUNTIFS(data_llm!$A:$A,"dddd",data_llm!$C:$C,$A13,data_llm!$F:$F,TRUE)</f>
        <v/>
      </c>
      <c r="L13">
        <f>J13-K13</f>
        <v/>
      </c>
      <c r="M13">
        <f>IF(J13=0,"",ROUND(100*K13/J13,1))</f>
        <v/>
      </c>
      <c r="N13">
        <f>IF(F13=0,"",ROUND(E13*G13/F13,0))</f>
        <v/>
      </c>
    </row>
    <row r="14">
      <c r="A14" t="inlineStr">
        <is>
          <t>ddd-06</t>
        </is>
      </c>
      <c r="B14" t="inlineStr">
        <is>
          <t>Major</t>
        </is>
      </c>
      <c r="C14" t="inlineStr">
        <is>
          <t>Bounded Context Coupling</t>
        </is>
      </c>
      <c r="D14">
        <f>COUNTIFS(data_hits!$A:$A,"dddd",data_hits!$C:$C,$A14)</f>
        <v/>
      </c>
      <c r="E14">
        <f>SUM(D14:D14)</f>
        <v/>
      </c>
      <c r="F14">
        <f>G14+H14</f>
        <v/>
      </c>
      <c r="G14">
        <f>COUNTIFS(data_adj!$A:$A,"dddd",data_adj!$C:$C,$A14,data_adj!$E:$E,"TP")</f>
        <v/>
      </c>
      <c r="H14">
        <f>COUNTIFS(data_adj!$A:$A,"dddd",data_adj!$C:$C,$A14,data_adj!$E:$E,"FP")</f>
        <v/>
      </c>
      <c r="I14">
        <f>IF(F14=0,"",ROUND(100*G14/F14,1))</f>
        <v/>
      </c>
      <c r="J14">
        <f>COUNTIFS(data_llm!$A:$A,"dddd",data_llm!$C:$C,$A14)</f>
        <v/>
      </c>
      <c r="K14">
        <f>COUNTIFS(data_llm!$A:$A,"dddd",data_llm!$C:$C,$A14,data_llm!$F:$F,TRUE)</f>
        <v/>
      </c>
      <c r="L14">
        <f>J14-K14</f>
        <v/>
      </c>
      <c r="M14">
        <f>IF(J14=0,"",ROUND(100*K14/J14,1))</f>
        <v/>
      </c>
      <c r="N14">
        <f>IF(F14=0,"",ROUND(E14*G14/F14,0))</f>
        <v/>
      </c>
    </row>
    <row r="15">
      <c r="A15" t="inlineStr">
        <is>
          <t>ddd-07</t>
        </is>
      </c>
      <c r="B15" t="inlineStr">
        <is>
          <t>Major</t>
        </is>
      </c>
      <c r="C15" t="inlineStr">
        <is>
          <t>Mutable Collection Leaked from Aggregate</t>
        </is>
      </c>
      <c r="D15">
        <f>COUNTIFS(data_hits!$A:$A,"dddd",data_hits!$C:$C,$A15)</f>
        <v/>
      </c>
      <c r="E15">
        <f>SUM(D15:D15)</f>
        <v/>
      </c>
      <c r="F15">
        <f>G15+H15</f>
        <v/>
      </c>
      <c r="G15">
        <f>COUNTIFS(data_adj!$A:$A,"dddd",data_adj!$C:$C,$A15,data_adj!$E:$E,"TP")</f>
        <v/>
      </c>
      <c r="H15">
        <f>COUNTIFS(data_adj!$A:$A,"dddd",data_adj!$C:$C,$A15,data_adj!$E:$E,"FP")</f>
        <v/>
      </c>
      <c r="I15">
        <f>IF(F15=0,"",ROUND(100*G15/F15,1))</f>
        <v/>
      </c>
      <c r="J15">
        <f>COUNTIFS(data_llm!$A:$A,"dddd",data_llm!$C:$C,$A15)</f>
        <v/>
      </c>
      <c r="K15">
        <f>COUNTIFS(data_llm!$A:$A,"dddd",data_llm!$C:$C,$A15,data_llm!$F:$F,TRUE)</f>
        <v/>
      </c>
      <c r="L15">
        <f>J15-K15</f>
        <v/>
      </c>
      <c r="M15">
        <f>IF(J15=0,"",ROUND(100*K15/J15,1))</f>
        <v/>
      </c>
      <c r="N15">
        <f>IF(F15=0,"",ROUND(E15*G15/F15,0))</f>
        <v/>
      </c>
    </row>
    <row r="16">
      <c r="A16" t="inlineStr">
        <is>
          <t>safety-01</t>
        </is>
      </c>
      <c r="B16" t="inlineStr">
        <is>
          <t>Critical</t>
        </is>
      </c>
      <c r="C16" t="inlineStr">
        <is>
          <t>Resource Leak</t>
        </is>
      </c>
      <c r="D16">
        <f>COUNTIFS(data_hits!$A:$A,"dddd",data_hits!$C:$C,$A16)</f>
        <v/>
      </c>
      <c r="E16">
        <f>SUM(D16:D16)</f>
        <v/>
      </c>
      <c r="F16">
        <f>G16+H16</f>
        <v/>
      </c>
      <c r="G16">
        <f>COUNTIFS(data_adj!$A:$A,"dddd",data_adj!$C:$C,$A16,data_adj!$E:$E,"TP")</f>
        <v/>
      </c>
      <c r="H16">
        <f>COUNTIFS(data_adj!$A:$A,"dddd",data_adj!$C:$C,$A16,data_adj!$E:$E,"FP")</f>
        <v/>
      </c>
      <c r="I16">
        <f>IF(F16=0,"",ROUND(100*G16/F16,1))</f>
        <v/>
      </c>
      <c r="J16">
        <f>COUNTIFS(data_llm!$A:$A,"dddd",data_llm!$C:$C,$A16)</f>
        <v/>
      </c>
      <c r="K16">
        <f>COUNTIFS(data_llm!$A:$A,"dddd",data_llm!$C:$C,$A16,data_llm!$F:$F,TRUE)</f>
        <v/>
      </c>
      <c r="L16">
        <f>J16-K16</f>
        <v/>
      </c>
      <c r="M16">
        <f>IF(J16=0,"",ROUND(100*K16/J16,1))</f>
        <v/>
      </c>
      <c r="N16">
        <f>IF(F16=0,"",ROUND(E16*G16/F16,0))</f>
        <v/>
      </c>
    </row>
    <row r="17">
      <c r="A17" t="inlineStr">
        <is>
          <t>safety-02</t>
        </is>
      </c>
      <c r="B17" t="inlineStr">
        <is>
          <t>Critical</t>
        </is>
      </c>
      <c r="C17" t="inlineStr">
        <is>
          <t>Unsafe Null Dereference / Force Unwrap</t>
        </is>
      </c>
      <c r="D17">
        <f>COUNTIFS(data_hits!$A:$A,"dddd",data_hits!$C:$C,$A17)</f>
        <v/>
      </c>
      <c r="E17">
        <f>SUM(D17:D17)</f>
        <v/>
      </c>
      <c r="F17">
        <f>G17+H17</f>
        <v/>
      </c>
      <c r="G17">
        <f>COUNTIFS(data_adj!$A:$A,"dddd",data_adj!$C:$C,$A17,data_adj!$E:$E,"TP")</f>
        <v/>
      </c>
      <c r="H17">
        <f>COUNTIFS(data_adj!$A:$A,"dddd",data_adj!$C:$C,$A17,data_adj!$E:$E,"FP")</f>
        <v/>
      </c>
      <c r="I17">
        <f>IF(F17=0,"",ROUND(100*G17/F17,1))</f>
        <v/>
      </c>
      <c r="J17">
        <f>COUNTIFS(data_llm!$A:$A,"dddd",data_llm!$C:$C,$A17)</f>
        <v/>
      </c>
      <c r="K17">
        <f>COUNTIFS(data_llm!$A:$A,"dddd",data_llm!$C:$C,$A17,data_llm!$F:$F,TRUE)</f>
        <v/>
      </c>
      <c r="L17">
        <f>J17-K17</f>
        <v/>
      </c>
      <c r="M17">
        <f>IF(J17=0,"",ROUND(100*K17/J17,1))</f>
        <v/>
      </c>
      <c r="N17">
        <f>IF(F17=0,"",ROUND(E17*G17/F17,0))</f>
        <v/>
      </c>
    </row>
    <row r="18">
      <c r="A18" t="inlineStr">
        <is>
          <t>safety-03</t>
        </is>
      </c>
      <c r="B18" t="inlineStr">
        <is>
          <t>Major</t>
        </is>
      </c>
      <c r="C18" t="inlineStr">
        <is>
          <t>Fire-and-Forget Async Without Error Handling</t>
        </is>
      </c>
      <c r="D18">
        <f>COUNTIFS(data_hits!$A:$A,"dddd",data_hits!$C:$C,$A18)</f>
        <v/>
      </c>
      <c r="E18">
        <f>SUM(D18:D18)</f>
        <v/>
      </c>
      <c r="F18">
        <f>G18+H18</f>
        <v/>
      </c>
      <c r="G18">
        <f>COUNTIFS(data_adj!$A:$A,"dddd",data_adj!$C:$C,$A18,data_adj!$E:$E,"TP")</f>
        <v/>
      </c>
      <c r="H18">
        <f>COUNTIFS(data_adj!$A:$A,"dddd",data_adj!$C:$C,$A18,data_adj!$E:$E,"FP")</f>
        <v/>
      </c>
      <c r="I18">
        <f>IF(F18=0,"",ROUND(100*G18/F18,1))</f>
        <v/>
      </c>
      <c r="J18">
        <f>COUNTIFS(data_llm!$A:$A,"dddd",data_llm!$C:$C,$A18)</f>
        <v/>
      </c>
      <c r="K18">
        <f>COUNTIFS(data_llm!$A:$A,"dddd",data_llm!$C:$C,$A18,data_llm!$F:$F,TRUE)</f>
        <v/>
      </c>
      <c r="L18">
        <f>J18-K18</f>
        <v/>
      </c>
      <c r="M18">
        <f>IF(J18=0,"",ROUND(100*K18/J18,1))</f>
        <v/>
      </c>
      <c r="N18">
        <f>IF(F18=0,"",ROUND(E18*G18/F18,0))</f>
        <v/>
      </c>
    </row>
    <row r="19">
      <c r="A19" t="inlineStr">
        <is>
          <t>safety-05</t>
        </is>
      </c>
      <c r="B19" t="inlineStr">
        <is>
          <t>Critical</t>
        </is>
      </c>
      <c r="C19" t="inlineStr">
        <is>
          <t>Check-Then-Act Race Condition</t>
        </is>
      </c>
      <c r="D19">
        <f>COUNTIFS(data_hits!$A:$A,"dddd",data_hits!$C:$C,$A19)</f>
        <v/>
      </c>
      <c r="E19">
        <f>SUM(D19:D19)</f>
        <v/>
      </c>
      <c r="F19">
        <f>G19+H19</f>
        <v/>
      </c>
      <c r="G19">
        <f>COUNTIFS(data_adj!$A:$A,"dddd",data_adj!$C:$C,$A19,data_adj!$E:$E,"TP")</f>
        <v/>
      </c>
      <c r="H19">
        <f>COUNTIFS(data_adj!$A:$A,"dddd",data_adj!$C:$C,$A19,data_adj!$E:$E,"FP")</f>
        <v/>
      </c>
      <c r="I19">
        <f>IF(F19=0,"",ROUND(100*G19/F19,1))</f>
        <v/>
      </c>
      <c r="J19">
        <f>COUNTIFS(data_llm!$A:$A,"dddd",data_llm!$C:$C,$A19)</f>
        <v/>
      </c>
      <c r="K19">
        <f>COUNTIFS(data_llm!$A:$A,"dddd",data_llm!$C:$C,$A19,data_llm!$F:$F,TRUE)</f>
        <v/>
      </c>
      <c r="L19">
        <f>J19-K19</f>
        <v/>
      </c>
      <c r="M19">
        <f>IF(J19=0,"",ROUND(100*K19/J19,1))</f>
        <v/>
      </c>
      <c r="N19">
        <f>IF(F19=0,"",ROUND(E19*G19/F19,0))</f>
        <v/>
      </c>
    </row>
    <row r="20">
      <c r="A20" t="inlineStr">
        <is>
          <t>safety-06</t>
        </is>
      </c>
      <c r="B20" t="inlineStr">
        <is>
          <t>Major</t>
        </is>
      </c>
      <c r="C20" t="inlineStr">
        <is>
          <t>Blocking I/O in Async Context</t>
        </is>
      </c>
      <c r="D20">
        <f>COUNTIFS(data_hits!$A:$A,"dddd",data_hits!$C:$C,$A20)</f>
        <v/>
      </c>
      <c r="E20">
        <f>SUM(D20:D20)</f>
        <v/>
      </c>
      <c r="F20">
        <f>G20+H20</f>
        <v/>
      </c>
      <c r="G20">
        <f>COUNTIFS(data_adj!$A:$A,"dddd",data_adj!$C:$C,$A20,data_adj!$E:$E,"TP")</f>
        <v/>
      </c>
      <c r="H20">
        <f>COUNTIFS(data_adj!$A:$A,"dddd",data_adj!$C:$C,$A20,data_adj!$E:$E,"FP")</f>
        <v/>
      </c>
      <c r="I20">
        <f>IF(F20=0,"",ROUND(100*G20/F20,1))</f>
        <v/>
      </c>
      <c r="J20">
        <f>COUNTIFS(data_llm!$A:$A,"dddd",data_llm!$C:$C,$A20)</f>
        <v/>
      </c>
      <c r="K20">
        <f>COUNTIFS(data_llm!$A:$A,"dddd",data_llm!$C:$C,$A20,data_llm!$F:$F,TRUE)</f>
        <v/>
      </c>
      <c r="L20">
        <f>J20-K20</f>
        <v/>
      </c>
      <c r="M20">
        <f>IF(J20=0,"",ROUND(100*K20/J20,1))</f>
        <v/>
      </c>
      <c r="N20">
        <f>IF(F20=0,"",ROUND(E20*G20/F20,0))</f>
        <v/>
      </c>
    </row>
    <row r="21">
      <c r="A21" t="inlineStr">
        <is>
          <t>safety-07</t>
        </is>
      </c>
      <c r="B21" t="inlineStr">
        <is>
          <t>Moderate</t>
        </is>
      </c>
      <c r="C21" t="inlineStr">
        <is>
          <t>Suppressed Compiler/Linter Warnings</t>
        </is>
      </c>
      <c r="D21">
        <f>COUNTIFS(data_hits!$A:$A,"dddd",data_hits!$C:$C,$A21)</f>
        <v/>
      </c>
      <c r="E21">
        <f>SUM(D21:D21)</f>
        <v/>
      </c>
      <c r="F21">
        <f>G21+H21</f>
        <v/>
      </c>
      <c r="G21">
        <f>COUNTIFS(data_adj!$A:$A,"dddd",data_adj!$C:$C,$A21,data_adj!$E:$E,"TP")</f>
        <v/>
      </c>
      <c r="H21">
        <f>COUNTIFS(data_adj!$A:$A,"dddd",data_adj!$C:$C,$A21,data_adj!$E:$E,"FP")</f>
        <v/>
      </c>
      <c r="I21">
        <f>IF(F21=0,"",ROUND(100*G21/F21,1))</f>
        <v/>
      </c>
      <c r="J21">
        <f>COUNTIFS(data_llm!$A:$A,"dddd",data_llm!$C:$C,$A21)</f>
        <v/>
      </c>
      <c r="K21">
        <f>COUNTIFS(data_llm!$A:$A,"dddd",data_llm!$C:$C,$A21,data_llm!$F:$F,TRUE)</f>
        <v/>
      </c>
      <c r="L21">
        <f>J21-K21</f>
        <v/>
      </c>
      <c r="M21">
        <f>IF(J21=0,"",ROUND(100*K21/J21,1))</f>
        <v/>
      </c>
      <c r="N21">
        <f>IF(F21=0,"",ROUND(E21*G21/F21,0))</f>
        <v/>
      </c>
    </row>
    <row r="22">
      <c r="A22" t="inlineStr">
        <is>
          <t>safety-08</t>
        </is>
      </c>
      <c r="B22" t="inlineStr">
        <is>
          <t>Major</t>
        </is>
      </c>
      <c r="C22" t="inlineStr">
        <is>
          <t>External Call Without Timeout or Cancellation</t>
        </is>
      </c>
      <c r="D22">
        <f>COUNTIFS(data_hits!$A:$A,"dddd",data_hits!$C:$C,$A22)</f>
        <v/>
      </c>
      <c r="E22">
        <f>SUM(D22:D22)</f>
        <v/>
      </c>
      <c r="F22">
        <f>G22+H22</f>
        <v/>
      </c>
      <c r="G22">
        <f>COUNTIFS(data_adj!$A:$A,"dddd",data_adj!$C:$C,$A22,data_adj!$E:$E,"TP")</f>
        <v/>
      </c>
      <c r="H22">
        <f>COUNTIFS(data_adj!$A:$A,"dddd",data_adj!$C:$C,$A22,data_adj!$E:$E,"FP")</f>
        <v/>
      </c>
      <c r="I22">
        <f>IF(F22=0,"",ROUND(100*G22/F22,1))</f>
        <v/>
      </c>
      <c r="J22">
        <f>COUNTIFS(data_llm!$A:$A,"dddd",data_llm!$C:$C,$A22)</f>
        <v/>
      </c>
      <c r="K22">
        <f>COUNTIFS(data_llm!$A:$A,"dddd",data_llm!$C:$C,$A22,data_llm!$F:$F,TRUE)</f>
        <v/>
      </c>
      <c r="L22">
        <f>J22-K22</f>
        <v/>
      </c>
      <c r="M22">
        <f>IF(J22=0,"",ROUND(100*K22/J22,1))</f>
        <v/>
      </c>
      <c r="N22">
        <f>IF(F22=0,"",ROUND(E22*G22/F22,0))</f>
        <v/>
      </c>
    </row>
    <row r="23">
      <c r="A23" t="inlineStr">
        <is>
          <t>safety-09</t>
        </is>
      </c>
      <c r="B23" t="inlineStr">
        <is>
          <t>Critical</t>
        </is>
      </c>
      <c r="C23" t="inlineStr">
        <is>
          <t>Fire-and-Forget Async Method Declaration</t>
        </is>
      </c>
      <c r="D23">
        <f>COUNTIFS(data_hits!$A:$A,"dddd",data_hits!$C:$C,$A23)</f>
        <v/>
      </c>
      <c r="E23">
        <f>SUM(D23:D23)</f>
        <v/>
      </c>
      <c r="F23">
        <f>G23+H23</f>
        <v/>
      </c>
      <c r="G23">
        <f>COUNTIFS(data_adj!$A:$A,"dddd",data_adj!$C:$C,$A23,data_adj!$E:$E,"TP")</f>
        <v/>
      </c>
      <c r="H23">
        <f>COUNTIFS(data_adj!$A:$A,"dddd",data_adj!$C:$C,$A23,data_adj!$E:$E,"FP")</f>
        <v/>
      </c>
      <c r="I23">
        <f>IF(F23=0,"",ROUND(100*G23/F23,1))</f>
        <v/>
      </c>
      <c r="J23">
        <f>COUNTIFS(data_llm!$A:$A,"dddd",data_llm!$C:$C,$A23)</f>
        <v/>
      </c>
      <c r="K23">
        <f>COUNTIFS(data_llm!$A:$A,"dddd",data_llm!$C:$C,$A23,data_llm!$F:$F,TRUE)</f>
        <v/>
      </c>
      <c r="L23">
        <f>J23-K23</f>
        <v/>
      </c>
      <c r="M23">
        <f>IF(J23=0,"",ROUND(100*K23/J23,1))</f>
        <v/>
      </c>
      <c r="N23">
        <f>IF(F23=0,"",ROUND(E23*G23/F23,0))</f>
        <v/>
      </c>
    </row>
    <row r="24">
      <c r="A24" t="inlineStr">
        <is>
          <t>safety-10</t>
        </is>
      </c>
      <c r="B24" t="inlineStr">
        <is>
          <t>Major</t>
        </is>
      </c>
      <c r="C24" t="inlineStr">
        <is>
          <t>Exception Cause Discarded on Rethrow</t>
        </is>
      </c>
      <c r="D24">
        <f>COUNTIFS(data_hits!$A:$A,"dddd",data_hits!$C:$C,$A24)</f>
        <v/>
      </c>
      <c r="E24">
        <f>SUM(D24:D24)</f>
        <v/>
      </c>
      <c r="F24">
        <f>G24+H24</f>
        <v/>
      </c>
      <c r="G24">
        <f>COUNTIFS(data_adj!$A:$A,"dddd",data_adj!$C:$C,$A24,data_adj!$E:$E,"TP")</f>
        <v/>
      </c>
      <c r="H24">
        <f>COUNTIFS(data_adj!$A:$A,"dddd",data_adj!$C:$C,$A24,data_adj!$E:$E,"FP")</f>
        <v/>
      </c>
      <c r="I24">
        <f>IF(F24=0,"",ROUND(100*G24/F24,1))</f>
        <v/>
      </c>
      <c r="J24">
        <f>COUNTIFS(data_llm!$A:$A,"dddd",data_llm!$C:$C,$A24)</f>
        <v/>
      </c>
      <c r="K24">
        <f>COUNTIFS(data_llm!$A:$A,"dddd",data_llm!$C:$C,$A24,data_llm!$F:$F,TRUE)</f>
        <v/>
      </c>
      <c r="L24">
        <f>J24-K24</f>
        <v/>
      </c>
      <c r="M24">
        <f>IF(J24=0,"",ROUND(100*K24/J24,1))</f>
        <v/>
      </c>
      <c r="N24">
        <f>IF(F24=0,"",ROUND(E24*G24/F24,0))</f>
        <v/>
      </c>
    </row>
    <row r="25">
      <c r="A25" t="inlineStr">
        <is>
          <t>safety-11</t>
        </is>
      </c>
      <c r="B25" t="inlineStr">
        <is>
          <t>Major</t>
        </is>
      </c>
      <c r="C25" t="inlineStr">
        <is>
          <t>Unabstracted Clock, Randomness, or Identifier in Production Code</t>
        </is>
      </c>
      <c r="D25">
        <f>COUNTIFS(data_hits!$A:$A,"dddd",data_hits!$C:$C,$A25)</f>
        <v/>
      </c>
      <c r="E25">
        <f>SUM(D25:D25)</f>
        <v/>
      </c>
      <c r="F25">
        <f>G25+H25</f>
        <v/>
      </c>
      <c r="G25">
        <f>COUNTIFS(data_adj!$A:$A,"dddd",data_adj!$C:$C,$A25,data_adj!$E:$E,"TP")</f>
        <v/>
      </c>
      <c r="H25">
        <f>COUNTIFS(data_adj!$A:$A,"dddd",data_adj!$C:$C,$A25,data_adj!$E:$E,"FP")</f>
        <v/>
      </c>
      <c r="I25">
        <f>IF(F25=0,"",ROUND(100*G25/F25,1))</f>
        <v/>
      </c>
      <c r="J25">
        <f>COUNTIFS(data_llm!$A:$A,"dddd",data_llm!$C:$C,$A25)</f>
        <v/>
      </c>
      <c r="K25">
        <f>COUNTIFS(data_llm!$A:$A,"dddd",data_llm!$C:$C,$A25,data_llm!$F:$F,TRUE)</f>
        <v/>
      </c>
      <c r="L25">
        <f>J25-K25</f>
        <v/>
      </c>
      <c r="M25">
        <f>IF(J25=0,"",ROUND(100*K25/J25,1))</f>
        <v/>
      </c>
      <c r="N25">
        <f>IF(F25=0,"",ROUND(E25*G25/F25,0))</f>
        <v/>
      </c>
    </row>
    <row r="26">
      <c r="A26" t="inlineStr">
        <is>
          <t>safety-12</t>
        </is>
      </c>
      <c r="B26" t="inlineStr">
        <is>
          <t>Major</t>
        </is>
      </c>
      <c r="C26" t="inlineStr">
        <is>
          <t>Mutable Default Parameter Value</t>
        </is>
      </c>
      <c r="D26">
        <f>COUNTIFS(data_hits!$A:$A,"dddd",data_hits!$C:$C,$A26)</f>
        <v/>
      </c>
      <c r="E26">
        <f>SUM(D26:D26)</f>
        <v/>
      </c>
      <c r="F26">
        <f>G26+H26</f>
        <v/>
      </c>
      <c r="G26">
        <f>COUNTIFS(data_adj!$A:$A,"dddd",data_adj!$C:$C,$A26,data_adj!$E:$E,"TP")</f>
        <v/>
      </c>
      <c r="H26">
        <f>COUNTIFS(data_adj!$A:$A,"dddd",data_adj!$C:$C,$A26,data_adj!$E:$E,"FP")</f>
        <v/>
      </c>
      <c r="I26">
        <f>IF(F26=0,"",ROUND(100*G26/F26,1))</f>
        <v/>
      </c>
      <c r="J26">
        <f>COUNTIFS(data_llm!$A:$A,"dddd",data_llm!$C:$C,$A26)</f>
        <v/>
      </c>
      <c r="K26">
        <f>COUNTIFS(data_llm!$A:$A,"dddd",data_llm!$C:$C,$A26,data_llm!$F:$F,TRUE)</f>
        <v/>
      </c>
      <c r="L26">
        <f>J26-K26</f>
        <v/>
      </c>
      <c r="M26">
        <f>IF(J26=0,"",ROUND(100*K26/J26,1))</f>
        <v/>
      </c>
      <c r="N26">
        <f>IF(F26=0,"",ROUND(E26*G26/F26,0))</f>
        <v/>
      </c>
    </row>
    <row r="27">
      <c r="A27" t="inlineStr">
        <is>
          <t>safety-13</t>
        </is>
      </c>
      <c r="B27" t="inlineStr">
        <is>
          <t>Major</t>
        </is>
      </c>
      <c r="C27" t="inlineStr">
        <is>
          <t>Assertion Used as Production Validation</t>
        </is>
      </c>
      <c r="D27">
        <f>COUNTIFS(data_hits!$A:$A,"dddd",data_hits!$C:$C,$A27)</f>
        <v/>
      </c>
      <c r="E27">
        <f>SUM(D27:D27)</f>
        <v/>
      </c>
      <c r="F27">
        <f>G27+H27</f>
        <v/>
      </c>
      <c r="G27">
        <f>COUNTIFS(data_adj!$A:$A,"dddd",data_adj!$C:$C,$A27,data_adj!$E:$E,"TP")</f>
        <v/>
      </c>
      <c r="H27">
        <f>COUNTIFS(data_adj!$A:$A,"dddd",data_adj!$C:$C,$A27,data_adj!$E:$E,"FP")</f>
        <v/>
      </c>
      <c r="I27">
        <f>IF(F27=0,"",ROUND(100*G27/F27,1))</f>
        <v/>
      </c>
      <c r="J27">
        <f>COUNTIFS(data_llm!$A:$A,"dddd",data_llm!$C:$C,$A27)</f>
        <v/>
      </c>
      <c r="K27">
        <f>COUNTIFS(data_llm!$A:$A,"dddd",data_llm!$C:$C,$A27,data_llm!$F:$F,TRUE)</f>
        <v/>
      </c>
      <c r="L27">
        <f>J27-K27</f>
        <v/>
      </c>
      <c r="M27">
        <f>IF(J27=0,"",ROUND(100*K27/J27,1))</f>
        <v/>
      </c>
      <c r="N27">
        <f>IF(F27=0,"",ROUND(E27*G27/F27,0))</f>
        <v/>
      </c>
    </row>
    <row r="28">
      <c r="A28" t="inlineStr">
        <is>
          <t>safety-14</t>
        </is>
      </c>
      <c r="B28" t="inlineStr">
        <is>
          <t>Critical</t>
        </is>
      </c>
      <c r="C28" t="inlineStr">
        <is>
          <t>Hardcoded Credential</t>
        </is>
      </c>
      <c r="D28">
        <f>COUNTIFS(data_hits!$A:$A,"dddd",data_hits!$C:$C,$A28)</f>
        <v/>
      </c>
      <c r="E28">
        <f>SUM(D28:D28)</f>
        <v/>
      </c>
      <c r="F28">
        <f>G28+H28</f>
        <v/>
      </c>
      <c r="G28">
        <f>COUNTIFS(data_adj!$A:$A,"dddd",data_adj!$C:$C,$A28,data_adj!$E:$E,"TP")</f>
        <v/>
      </c>
      <c r="H28">
        <f>COUNTIFS(data_adj!$A:$A,"dddd",data_adj!$C:$C,$A28,data_adj!$E:$E,"FP")</f>
        <v/>
      </c>
      <c r="I28">
        <f>IF(F28=0,"",ROUND(100*G28/F28,1))</f>
        <v/>
      </c>
      <c r="J28">
        <f>COUNTIFS(data_llm!$A:$A,"dddd",data_llm!$C:$C,$A28)</f>
        <v/>
      </c>
      <c r="K28">
        <f>COUNTIFS(data_llm!$A:$A,"dddd",data_llm!$C:$C,$A28,data_llm!$F:$F,TRUE)</f>
        <v/>
      </c>
      <c r="L28">
        <f>J28-K28</f>
        <v/>
      </c>
      <c r="M28">
        <f>IF(J28=0,"",ROUND(100*K28/J28,1))</f>
        <v/>
      </c>
      <c r="N28">
        <f>IF(F28=0,"",ROUND(E28*G28/F28,0))</f>
        <v/>
      </c>
    </row>
    <row r="29">
      <c r="A29" t="inlineStr">
        <is>
          <t>safety-15</t>
        </is>
      </c>
      <c r="B29" t="inlineStr">
        <is>
          <t>Critical</t>
        </is>
      </c>
      <c r="C29" t="inlineStr">
        <is>
          <t>Query Built by String Concatenation</t>
        </is>
      </c>
      <c r="D29">
        <f>COUNTIFS(data_hits!$A:$A,"dddd",data_hits!$C:$C,$A29)</f>
        <v/>
      </c>
      <c r="E29">
        <f>SUM(D29:D29)</f>
        <v/>
      </c>
      <c r="F29">
        <f>G29+H29</f>
        <v/>
      </c>
      <c r="G29">
        <f>COUNTIFS(data_adj!$A:$A,"dddd",data_adj!$C:$C,$A29,data_adj!$E:$E,"TP")</f>
        <v/>
      </c>
      <c r="H29">
        <f>COUNTIFS(data_adj!$A:$A,"dddd",data_adj!$C:$C,$A29,data_adj!$E:$E,"FP")</f>
        <v/>
      </c>
      <c r="I29">
        <f>IF(F29=0,"",ROUND(100*G29/F29,1))</f>
        <v/>
      </c>
      <c r="J29">
        <f>COUNTIFS(data_llm!$A:$A,"dddd",data_llm!$C:$C,$A29)</f>
        <v/>
      </c>
      <c r="K29">
        <f>COUNTIFS(data_llm!$A:$A,"dddd",data_llm!$C:$C,$A29,data_llm!$F:$F,TRUE)</f>
        <v/>
      </c>
      <c r="L29">
        <f>J29-K29</f>
        <v/>
      </c>
      <c r="M29">
        <f>IF(J29=0,"",ROUND(100*K29/J29,1))</f>
        <v/>
      </c>
      <c r="N29">
        <f>IF(F29=0,"",ROUND(E29*G29/F29,0))</f>
        <v/>
      </c>
    </row>
    <row r="30">
      <c r="A30" t="inlineStr">
        <is>
          <t>safety-16</t>
        </is>
      </c>
      <c r="B30" t="inlineStr">
        <is>
          <t>Major</t>
        </is>
      </c>
      <c r="C30" t="inlineStr">
        <is>
          <t>Money Held in a Binary Floating-Point Type</t>
        </is>
      </c>
      <c r="D30">
        <f>COUNTIFS(data_hits!$A:$A,"dddd",data_hits!$C:$C,$A30)</f>
        <v/>
      </c>
      <c r="E30">
        <f>SUM(D30:D30)</f>
        <v/>
      </c>
      <c r="F30">
        <f>G30+H30</f>
        <v/>
      </c>
      <c r="G30">
        <f>COUNTIFS(data_adj!$A:$A,"dddd",data_adj!$C:$C,$A30,data_adj!$E:$E,"TP")</f>
        <v/>
      </c>
      <c r="H30">
        <f>COUNTIFS(data_adj!$A:$A,"dddd",data_adj!$C:$C,$A30,data_adj!$E:$E,"FP")</f>
        <v/>
      </c>
      <c r="I30">
        <f>IF(F30=0,"",ROUND(100*G30/F30,1))</f>
        <v/>
      </c>
      <c r="J30">
        <f>COUNTIFS(data_llm!$A:$A,"dddd",data_llm!$C:$C,$A30)</f>
        <v/>
      </c>
      <c r="K30">
        <f>COUNTIFS(data_llm!$A:$A,"dddd",data_llm!$C:$C,$A30,data_llm!$F:$F,TRUE)</f>
        <v/>
      </c>
      <c r="L30">
        <f>J30-K30</f>
        <v/>
      </c>
      <c r="M30">
        <f>IF(J30=0,"",ROUND(100*K30/J30,1))</f>
        <v/>
      </c>
      <c r="N30">
        <f>IF(F30=0,"",ROUND(E30*G30/F30,0))</f>
        <v/>
      </c>
    </row>
    <row r="31">
      <c r="A31" t="inlineStr">
        <is>
          <t>safety-17</t>
        </is>
      </c>
      <c r="B31" t="inlineStr">
        <is>
          <t>Critical</t>
        </is>
      </c>
      <c r="C31" t="inlineStr">
        <is>
          <t>Weak or Broken Cryptographic Primitive</t>
        </is>
      </c>
      <c r="D31">
        <f>COUNTIFS(data_hits!$A:$A,"dddd",data_hits!$C:$C,$A31)</f>
        <v/>
      </c>
      <c r="E31">
        <f>SUM(D31:D31)</f>
        <v/>
      </c>
      <c r="F31">
        <f>G31+H31</f>
        <v/>
      </c>
      <c r="G31">
        <f>COUNTIFS(data_adj!$A:$A,"dddd",data_adj!$C:$C,$A31,data_adj!$E:$E,"TP")</f>
        <v/>
      </c>
      <c r="H31">
        <f>COUNTIFS(data_adj!$A:$A,"dddd",data_adj!$C:$C,$A31,data_adj!$E:$E,"FP")</f>
        <v/>
      </c>
      <c r="I31">
        <f>IF(F31=0,"",ROUND(100*G31/F31,1))</f>
        <v/>
      </c>
      <c r="J31">
        <f>COUNTIFS(data_llm!$A:$A,"dddd",data_llm!$C:$C,$A31)</f>
        <v/>
      </c>
      <c r="K31">
        <f>COUNTIFS(data_llm!$A:$A,"dddd",data_llm!$C:$C,$A31,data_llm!$F:$F,TRUE)</f>
        <v/>
      </c>
      <c r="L31">
        <f>J31-K31</f>
        <v/>
      </c>
      <c r="M31">
        <f>IF(J31=0,"",ROUND(100*K31/J31,1))</f>
        <v/>
      </c>
      <c r="N31">
        <f>IF(F31=0,"",ROUND(E31*G31/F31,0))</f>
        <v/>
      </c>
    </row>
    <row r="32">
      <c r="A32" t="inlineStr">
        <is>
          <t>safety-18</t>
        </is>
      </c>
      <c r="B32" t="inlineStr">
        <is>
          <t>Critical</t>
        </is>
      </c>
      <c r="C32" t="inlineStr">
        <is>
          <t>TLS or Certificate Verification Disabled</t>
        </is>
      </c>
      <c r="D32">
        <f>COUNTIFS(data_hits!$A:$A,"dddd",data_hits!$C:$C,$A32)</f>
        <v/>
      </c>
      <c r="E32">
        <f>SUM(D32:D32)</f>
        <v/>
      </c>
      <c r="F32">
        <f>G32+H32</f>
        <v/>
      </c>
      <c r="G32">
        <f>COUNTIFS(data_adj!$A:$A,"dddd",data_adj!$C:$C,$A32,data_adj!$E:$E,"TP")</f>
        <v/>
      </c>
      <c r="H32">
        <f>COUNTIFS(data_adj!$A:$A,"dddd",data_adj!$C:$C,$A32,data_adj!$E:$E,"FP")</f>
        <v/>
      </c>
      <c r="I32">
        <f>IF(F32=0,"",ROUND(100*G32/F32,1))</f>
        <v/>
      </c>
      <c r="J32">
        <f>COUNTIFS(data_llm!$A:$A,"dddd",data_llm!$C:$C,$A32)</f>
        <v/>
      </c>
      <c r="K32">
        <f>COUNTIFS(data_llm!$A:$A,"dddd",data_llm!$C:$C,$A32,data_llm!$F:$F,TRUE)</f>
        <v/>
      </c>
      <c r="L32">
        <f>J32-K32</f>
        <v/>
      </c>
      <c r="M32">
        <f>IF(J32=0,"",ROUND(100*K32/J32,1))</f>
        <v/>
      </c>
      <c r="N32">
        <f>IF(F32=0,"",ROUND(E32*G32/F32,0))</f>
        <v/>
      </c>
    </row>
    <row r="33">
      <c r="A33" t="inlineStr">
        <is>
          <t>safety-19</t>
        </is>
      </c>
      <c r="B33" t="inlineStr">
        <is>
          <t>Critical</t>
        </is>
      </c>
      <c r="C33" t="inlineStr">
        <is>
          <t>OS Command or Code Injection Surface</t>
        </is>
      </c>
      <c r="D33">
        <f>COUNTIFS(data_hits!$A:$A,"dddd",data_hits!$C:$C,$A33)</f>
        <v/>
      </c>
      <c r="E33">
        <f>SUM(D33:D33)</f>
        <v/>
      </c>
      <c r="F33">
        <f>G33+H33</f>
        <v/>
      </c>
      <c r="G33">
        <f>COUNTIFS(data_adj!$A:$A,"dddd",data_adj!$C:$C,$A33,data_adj!$E:$E,"TP")</f>
        <v/>
      </c>
      <c r="H33">
        <f>COUNTIFS(data_adj!$A:$A,"dddd",data_adj!$C:$C,$A33,data_adj!$E:$E,"FP")</f>
        <v/>
      </c>
      <c r="I33">
        <f>IF(F33=0,"",ROUND(100*G33/F33,1))</f>
        <v/>
      </c>
      <c r="J33">
        <f>COUNTIFS(data_llm!$A:$A,"dddd",data_llm!$C:$C,$A33)</f>
        <v/>
      </c>
      <c r="K33">
        <f>COUNTIFS(data_llm!$A:$A,"dddd",data_llm!$C:$C,$A33,data_llm!$F:$F,TRUE)</f>
        <v/>
      </c>
      <c r="L33">
        <f>J33-K33</f>
        <v/>
      </c>
      <c r="M33">
        <f>IF(J33=0,"",ROUND(100*K33/J33,1))</f>
        <v/>
      </c>
      <c r="N33">
        <f>IF(F33=0,"",ROUND(E33*G33/F33,0))</f>
        <v/>
      </c>
    </row>
    <row r="34">
      <c r="A34" t="inlineStr">
        <is>
          <t>safety-20</t>
        </is>
      </c>
      <c r="B34" t="inlineStr">
        <is>
          <t>Critical</t>
        </is>
      </c>
      <c r="C34" t="inlineStr">
        <is>
          <t>Unsafe Deserialization of Untrusted Data</t>
        </is>
      </c>
      <c r="D34">
        <f>COUNTIFS(data_hits!$A:$A,"dddd",data_hits!$C:$C,$A34)</f>
        <v/>
      </c>
      <c r="E34">
        <f>SUM(D34:D34)</f>
        <v/>
      </c>
      <c r="F34">
        <f>G34+H34</f>
        <v/>
      </c>
      <c r="G34">
        <f>COUNTIFS(data_adj!$A:$A,"dddd",data_adj!$C:$C,$A34,data_adj!$E:$E,"TP")</f>
        <v/>
      </c>
      <c r="H34">
        <f>COUNTIFS(data_adj!$A:$A,"dddd",data_adj!$C:$C,$A34,data_adj!$E:$E,"FP")</f>
        <v/>
      </c>
      <c r="I34">
        <f>IF(F34=0,"",ROUND(100*G34/F34,1))</f>
        <v/>
      </c>
      <c r="J34">
        <f>COUNTIFS(data_llm!$A:$A,"dddd",data_llm!$C:$C,$A34)</f>
        <v/>
      </c>
      <c r="K34">
        <f>COUNTIFS(data_llm!$A:$A,"dddd",data_llm!$C:$C,$A34,data_llm!$F:$F,TRUE)</f>
        <v/>
      </c>
      <c r="L34">
        <f>J34-K34</f>
        <v/>
      </c>
      <c r="M34">
        <f>IF(J34=0,"",ROUND(100*K34/J34,1))</f>
        <v/>
      </c>
      <c r="N34">
        <f>IF(F34=0,"",ROUND(E34*G34/F34,0))</f>
        <v/>
      </c>
    </row>
    <row r="35">
      <c r="A35" t="inlineStr">
        <is>
          <t>safety-21</t>
        </is>
      </c>
      <c r="B35" t="inlineStr">
        <is>
          <t>Major</t>
        </is>
      </c>
      <c r="C35" t="inlineStr">
        <is>
          <t>String or Object Compared by Reference in Java</t>
        </is>
      </c>
      <c r="D35">
        <f>COUNTIFS(data_hits!$A:$A,"dddd",data_hits!$C:$C,$A35)</f>
        <v/>
      </c>
      <c r="E35">
        <f>SUM(D35:D35)</f>
        <v/>
      </c>
      <c r="F35">
        <f>G35+H35</f>
        <v/>
      </c>
      <c r="G35">
        <f>COUNTIFS(data_adj!$A:$A,"dddd",data_adj!$C:$C,$A35,data_adj!$E:$E,"TP")</f>
        <v/>
      </c>
      <c r="H35">
        <f>COUNTIFS(data_adj!$A:$A,"dddd",data_adj!$C:$C,$A35,data_adj!$E:$E,"FP")</f>
        <v/>
      </c>
      <c r="I35">
        <f>IF(F35=0,"",ROUND(100*G35/F35,1))</f>
        <v/>
      </c>
      <c r="J35">
        <f>COUNTIFS(data_llm!$A:$A,"dddd",data_llm!$C:$C,$A35)</f>
        <v/>
      </c>
      <c r="K35">
        <f>COUNTIFS(data_llm!$A:$A,"dddd",data_llm!$C:$C,$A35,data_llm!$F:$F,TRUE)</f>
        <v/>
      </c>
      <c r="L35">
        <f>J35-K35</f>
        <v/>
      </c>
      <c r="M35">
        <f>IF(J35=0,"",ROUND(100*K35/J35,1))</f>
        <v/>
      </c>
      <c r="N35">
        <f>IF(F35=0,"",ROUND(E35*G35/F35,0))</f>
        <v/>
      </c>
    </row>
    <row r="36">
      <c r="A36" t="inlineStr">
        <is>
          <t>smells-01</t>
        </is>
      </c>
      <c r="B36" t="inlineStr">
        <is>
          <t>Moderate</t>
        </is>
      </c>
      <c r="C36" t="inlineStr">
        <is>
          <t>File Length</t>
        </is>
      </c>
      <c r="D36">
        <f>COUNTIFS(data_hits!$A:$A,"dddd",data_hits!$C:$C,$A36)</f>
        <v/>
      </c>
      <c r="E36">
        <f>SUM(D36:D36)</f>
        <v/>
      </c>
      <c r="F36">
        <f>G36+H36</f>
        <v/>
      </c>
      <c r="G36">
        <f>COUNTIFS(data_adj!$A:$A,"dddd",data_adj!$C:$C,$A36,data_adj!$E:$E,"TP")</f>
        <v/>
      </c>
      <c r="H36">
        <f>COUNTIFS(data_adj!$A:$A,"dddd",data_adj!$C:$C,$A36,data_adj!$E:$E,"FP")</f>
        <v/>
      </c>
      <c r="I36">
        <f>IF(F36=0,"",ROUND(100*G36/F36,1))</f>
        <v/>
      </c>
      <c r="J36">
        <f>COUNTIFS(data_llm!$A:$A,"dddd",data_llm!$C:$C,$A36)</f>
        <v/>
      </c>
      <c r="K36">
        <f>COUNTIFS(data_llm!$A:$A,"dddd",data_llm!$C:$C,$A36,data_llm!$F:$F,TRUE)</f>
        <v/>
      </c>
      <c r="L36">
        <f>J36-K36</f>
        <v/>
      </c>
      <c r="M36">
        <f>IF(J36=0,"",ROUND(100*K36/J36,1))</f>
        <v/>
      </c>
      <c r="N36">
        <f>IF(F36=0,"",ROUND(E36*G36/F36,0))</f>
        <v/>
      </c>
    </row>
    <row r="37">
      <c r="A37" t="inlineStr">
        <is>
          <t>smells-02</t>
        </is>
      </c>
      <c r="B37" t="inlineStr">
        <is>
          <t>Moderate</t>
        </is>
      </c>
      <c r="C37" t="inlineStr">
        <is>
          <t>Function Parameter Count</t>
        </is>
      </c>
      <c r="D37">
        <f>COUNTIFS(data_hits!$A:$A,"dddd",data_hits!$C:$C,$A37)</f>
        <v/>
      </c>
      <c r="E37">
        <f>SUM(D37:D37)</f>
        <v/>
      </c>
      <c r="F37">
        <f>G37+H37</f>
        <v/>
      </c>
      <c r="G37">
        <f>COUNTIFS(data_adj!$A:$A,"dddd",data_adj!$C:$C,$A37,data_adj!$E:$E,"TP")</f>
        <v/>
      </c>
      <c r="H37">
        <f>COUNTIFS(data_adj!$A:$A,"dddd",data_adj!$C:$C,$A37,data_adj!$E:$E,"FP")</f>
        <v/>
      </c>
      <c r="I37">
        <f>IF(F37=0,"",ROUND(100*G37/F37,1))</f>
        <v/>
      </c>
      <c r="J37">
        <f>COUNTIFS(data_llm!$A:$A,"dddd",data_llm!$C:$C,$A37)</f>
        <v/>
      </c>
      <c r="K37">
        <f>COUNTIFS(data_llm!$A:$A,"dddd",data_llm!$C:$C,$A37,data_llm!$F:$F,TRUE)</f>
        <v/>
      </c>
      <c r="L37">
        <f>J37-K37</f>
        <v/>
      </c>
      <c r="M37">
        <f>IF(J37=0,"",ROUND(100*K37/J37,1))</f>
        <v/>
      </c>
      <c r="N37">
        <f>IF(F37=0,"",ROUND(E37*G37/F37,0))</f>
        <v/>
      </c>
    </row>
    <row r="38">
      <c r="A38" t="inlineStr">
        <is>
          <t>smells-03</t>
        </is>
      </c>
      <c r="B38" t="inlineStr">
        <is>
          <t>Moderate</t>
        </is>
      </c>
      <c r="C38" t="inlineStr">
        <is>
          <t>Boolean Parameters</t>
        </is>
      </c>
      <c r="D38">
        <f>COUNTIFS(data_hits!$A:$A,"dddd",data_hits!$C:$C,$A38)</f>
        <v/>
      </c>
      <c r="E38">
        <f>SUM(D38:D38)</f>
        <v/>
      </c>
      <c r="F38">
        <f>G38+H38</f>
        <v/>
      </c>
      <c r="G38">
        <f>COUNTIFS(data_adj!$A:$A,"dddd",data_adj!$C:$C,$A38,data_adj!$E:$E,"TP")</f>
        <v/>
      </c>
      <c r="H38">
        <f>COUNTIFS(data_adj!$A:$A,"dddd",data_adj!$C:$C,$A38,data_adj!$E:$E,"FP")</f>
        <v/>
      </c>
      <c r="I38">
        <f>IF(F38=0,"",ROUND(100*G38/F38,1))</f>
        <v/>
      </c>
      <c r="J38">
        <f>COUNTIFS(data_llm!$A:$A,"dddd",data_llm!$C:$C,$A38)</f>
        <v/>
      </c>
      <c r="K38">
        <f>COUNTIFS(data_llm!$A:$A,"dddd",data_llm!$C:$C,$A38,data_llm!$F:$F,TRUE)</f>
        <v/>
      </c>
      <c r="L38">
        <f>J38-K38</f>
        <v/>
      </c>
      <c r="M38">
        <f>IF(J38=0,"",ROUND(100*K38/J38,1))</f>
        <v/>
      </c>
      <c r="N38">
        <f>IF(F38=0,"",ROUND(E38*G38/F38,0))</f>
        <v/>
      </c>
    </row>
    <row r="39">
      <c r="A39" t="inlineStr">
        <is>
          <t>smells-06</t>
        </is>
      </c>
      <c r="B39" t="inlineStr">
        <is>
          <t>Minor</t>
        </is>
      </c>
      <c r="C39" t="inlineStr">
        <is>
          <t>Commented-Out Code</t>
        </is>
      </c>
      <c r="D39">
        <f>COUNTIFS(data_hits!$A:$A,"dddd",data_hits!$C:$C,$A39)</f>
        <v/>
      </c>
      <c r="E39">
        <f>SUM(D39:D39)</f>
        <v/>
      </c>
      <c r="F39">
        <f>G39+H39</f>
        <v/>
      </c>
      <c r="G39">
        <f>COUNTIFS(data_adj!$A:$A,"dddd",data_adj!$C:$C,$A39,data_adj!$E:$E,"TP")</f>
        <v/>
      </c>
      <c r="H39">
        <f>COUNTIFS(data_adj!$A:$A,"dddd",data_adj!$C:$C,$A39,data_adj!$E:$E,"FP")</f>
        <v/>
      </c>
      <c r="I39">
        <f>IF(F39=0,"",ROUND(100*G39/F39,1))</f>
        <v/>
      </c>
      <c r="J39">
        <f>COUNTIFS(data_llm!$A:$A,"dddd",data_llm!$C:$C,$A39)</f>
        <v/>
      </c>
      <c r="K39">
        <f>COUNTIFS(data_llm!$A:$A,"dddd",data_llm!$C:$C,$A39,data_llm!$F:$F,TRUE)</f>
        <v/>
      </c>
      <c r="L39">
        <f>J39-K39</f>
        <v/>
      </c>
      <c r="M39">
        <f>IF(J39=0,"",ROUND(100*K39/J39,1))</f>
        <v/>
      </c>
      <c r="N39">
        <f>IF(F39=0,"",ROUND(E39*G39/F39,0))</f>
        <v/>
      </c>
    </row>
    <row r="40">
      <c r="A40" t="inlineStr">
        <is>
          <t>smells-07</t>
        </is>
      </c>
      <c r="B40" t="inlineStr">
        <is>
          <t>Minor</t>
        </is>
      </c>
      <c r="C40" t="inlineStr">
        <is>
          <t>TODO/FIXME/HACK Comments</t>
        </is>
      </c>
      <c r="D40">
        <f>COUNTIFS(data_hits!$A:$A,"dddd",data_hits!$C:$C,$A40)</f>
        <v/>
      </c>
      <c r="E40">
        <f>SUM(D40:D40)</f>
        <v/>
      </c>
      <c r="F40">
        <f>G40+H40</f>
        <v/>
      </c>
      <c r="G40">
        <f>COUNTIFS(data_adj!$A:$A,"dddd",data_adj!$C:$C,$A40,data_adj!$E:$E,"TP")</f>
        <v/>
      </c>
      <c r="H40">
        <f>COUNTIFS(data_adj!$A:$A,"dddd",data_adj!$C:$C,$A40,data_adj!$E:$E,"FP")</f>
        <v/>
      </c>
      <c r="I40">
        <f>IF(F40=0,"",ROUND(100*G40/F40,1))</f>
        <v/>
      </c>
      <c r="J40">
        <f>COUNTIFS(data_llm!$A:$A,"dddd",data_llm!$C:$C,$A40)</f>
        <v/>
      </c>
      <c r="K40">
        <f>COUNTIFS(data_llm!$A:$A,"dddd",data_llm!$C:$C,$A40,data_llm!$F:$F,TRUE)</f>
        <v/>
      </c>
      <c r="L40">
        <f>J40-K40</f>
        <v/>
      </c>
      <c r="M40">
        <f>IF(J40=0,"",ROUND(100*K40/J40,1))</f>
        <v/>
      </c>
      <c r="N40">
        <f>IF(F40=0,"",ROUND(E40*G40/F40,0))</f>
        <v/>
      </c>
    </row>
    <row r="41">
      <c r="A41" t="inlineStr">
        <is>
          <t>smells-08</t>
        </is>
      </c>
      <c r="B41" t="inlineStr">
        <is>
          <t>Major</t>
        </is>
      </c>
      <c r="C41" t="inlineStr">
        <is>
          <t>Null Returns / Null Parameters</t>
        </is>
      </c>
      <c r="D41">
        <f>COUNTIFS(data_hits!$A:$A,"dddd",data_hits!$C:$C,$A41)</f>
        <v/>
      </c>
      <c r="E41">
        <f>SUM(D41:D41)</f>
        <v/>
      </c>
      <c r="F41">
        <f>G41+H41</f>
        <v/>
      </c>
      <c r="G41">
        <f>COUNTIFS(data_adj!$A:$A,"dddd",data_adj!$C:$C,$A41,data_adj!$E:$E,"TP")</f>
        <v/>
      </c>
      <c r="H41">
        <f>COUNTIFS(data_adj!$A:$A,"dddd",data_adj!$C:$C,$A41,data_adj!$E:$E,"FP")</f>
        <v/>
      </c>
      <c r="I41">
        <f>IF(F41=0,"",ROUND(100*G41/F41,1))</f>
        <v/>
      </c>
      <c r="J41">
        <f>COUNTIFS(data_llm!$A:$A,"dddd",data_llm!$C:$C,$A41)</f>
        <v/>
      </c>
      <c r="K41">
        <f>COUNTIFS(data_llm!$A:$A,"dddd",data_llm!$C:$C,$A41,data_llm!$F:$F,TRUE)</f>
        <v/>
      </c>
      <c r="L41">
        <f>J41-K41</f>
        <v/>
      </c>
      <c r="M41">
        <f>IF(J41=0,"",ROUND(100*K41/J41,1))</f>
        <v/>
      </c>
      <c r="N41">
        <f>IF(F41=0,"",ROUND(E41*G41/F41,0))</f>
        <v/>
      </c>
    </row>
    <row r="42">
      <c r="A42" t="inlineStr">
        <is>
          <t>smells-10</t>
        </is>
      </c>
      <c r="B42" t="inlineStr">
        <is>
          <t>Moderate</t>
        </is>
      </c>
      <c r="C42" t="inlineStr">
        <is>
          <t>Train Wreck Chains</t>
        </is>
      </c>
      <c r="D42">
        <f>COUNTIFS(data_hits!$A:$A,"dddd",data_hits!$C:$C,$A42)</f>
        <v/>
      </c>
      <c r="E42">
        <f>SUM(D42:D42)</f>
        <v/>
      </c>
      <c r="F42">
        <f>G42+H42</f>
        <v/>
      </c>
      <c r="G42">
        <f>COUNTIFS(data_adj!$A:$A,"dddd",data_adj!$C:$C,$A42,data_adj!$E:$E,"TP")</f>
        <v/>
      </c>
      <c r="H42">
        <f>COUNTIFS(data_adj!$A:$A,"dddd",data_adj!$C:$C,$A42,data_adj!$E:$E,"FP")</f>
        <v/>
      </c>
      <c r="I42">
        <f>IF(F42=0,"",ROUND(100*G42/F42,1))</f>
        <v/>
      </c>
      <c r="J42">
        <f>COUNTIFS(data_llm!$A:$A,"dddd",data_llm!$C:$C,$A42)</f>
        <v/>
      </c>
      <c r="K42">
        <f>COUNTIFS(data_llm!$A:$A,"dddd",data_llm!$C:$C,$A42,data_llm!$F:$F,TRUE)</f>
        <v/>
      </c>
      <c r="L42">
        <f>J42-K42</f>
        <v/>
      </c>
      <c r="M42">
        <f>IF(J42=0,"",ROUND(100*K42/J42,1))</f>
        <v/>
      </c>
      <c r="N42">
        <f>IF(F42=0,"",ROUND(E42*G42/F42,0))</f>
        <v/>
      </c>
    </row>
    <row r="43">
      <c r="A43" t="inlineStr">
        <is>
          <t>smells-12</t>
        </is>
      </c>
      <c r="B43" t="inlineStr">
        <is>
          <t>Major</t>
        </is>
      </c>
      <c r="C43" t="inlineStr">
        <is>
          <t>Swallowed Exceptions</t>
        </is>
      </c>
      <c r="D43">
        <f>COUNTIFS(data_hits!$A:$A,"dddd",data_hits!$C:$C,$A43)</f>
        <v/>
      </c>
      <c r="E43">
        <f>SUM(D43:D43)</f>
        <v/>
      </c>
      <c r="F43">
        <f>G43+H43</f>
        <v/>
      </c>
      <c r="G43">
        <f>COUNTIFS(data_adj!$A:$A,"dddd",data_adj!$C:$C,$A43,data_adj!$E:$E,"TP")</f>
        <v/>
      </c>
      <c r="H43">
        <f>COUNTIFS(data_adj!$A:$A,"dddd",data_adj!$C:$C,$A43,data_adj!$E:$E,"FP")</f>
        <v/>
      </c>
      <c r="I43">
        <f>IF(F43=0,"",ROUND(100*G43/F43,1))</f>
        <v/>
      </c>
      <c r="J43">
        <f>COUNTIFS(data_llm!$A:$A,"dddd",data_llm!$C:$C,$A43)</f>
        <v/>
      </c>
      <c r="K43">
        <f>COUNTIFS(data_llm!$A:$A,"dddd",data_llm!$C:$C,$A43,data_llm!$F:$F,TRUE)</f>
        <v/>
      </c>
      <c r="L43">
        <f>J43-K43</f>
        <v/>
      </c>
      <c r="M43">
        <f>IF(J43=0,"",ROUND(100*K43/J43,1))</f>
        <v/>
      </c>
      <c r="N43">
        <f>IF(F43=0,"",ROUND(E43*G43/F43,0))</f>
        <v/>
      </c>
    </row>
    <row r="44">
      <c r="A44" t="inlineStr">
        <is>
          <t>smells-20</t>
        </is>
      </c>
      <c r="B44" t="inlineStr">
        <is>
          <t>Major</t>
        </is>
      </c>
      <c r="C44" t="inlineStr">
        <is>
          <t>Equality Overridden Without a Matching Hash</t>
        </is>
      </c>
      <c r="D44">
        <f>COUNTIFS(data_hits!$A:$A,"dddd",data_hits!$C:$C,$A44)</f>
        <v/>
      </c>
      <c r="E44">
        <f>SUM(D44:D44)</f>
        <v/>
      </c>
      <c r="F44">
        <f>G44+H44</f>
        <v/>
      </c>
      <c r="G44">
        <f>COUNTIFS(data_adj!$A:$A,"dddd",data_adj!$C:$C,$A44,data_adj!$E:$E,"TP")</f>
        <v/>
      </c>
      <c r="H44">
        <f>COUNTIFS(data_adj!$A:$A,"dddd",data_adj!$C:$C,$A44,data_adj!$E:$E,"FP")</f>
        <v/>
      </c>
      <c r="I44">
        <f>IF(F44=0,"",ROUND(100*G44/F44,1))</f>
        <v/>
      </c>
      <c r="J44">
        <f>COUNTIFS(data_llm!$A:$A,"dddd",data_llm!$C:$C,$A44)</f>
        <v/>
      </c>
      <c r="K44">
        <f>COUNTIFS(data_llm!$A:$A,"dddd",data_llm!$C:$C,$A44,data_llm!$F:$F,TRUE)</f>
        <v/>
      </c>
      <c r="L44">
        <f>J44-K44</f>
        <v/>
      </c>
      <c r="M44">
        <f>IF(J44=0,"",ROUND(100*K44/J44,1))</f>
        <v/>
      </c>
      <c r="N44">
        <f>IF(F44=0,"",ROUND(E44*G44/F44,0))</f>
        <v/>
      </c>
    </row>
    <row r="45">
      <c r="A45" t="inlineStr">
        <is>
          <t>smells-21</t>
        </is>
      </c>
      <c r="B45" t="inlineStr">
        <is>
          <t>Moderate</t>
        </is>
      </c>
      <c r="C45" t="inlineStr">
        <is>
          <t>Type-System Escape Hatch</t>
        </is>
      </c>
      <c r="D45">
        <f>COUNTIFS(data_hits!$A:$A,"dddd",data_hits!$C:$C,$A45)</f>
        <v/>
      </c>
      <c r="E45">
        <f>SUM(D45:D45)</f>
        <v/>
      </c>
      <c r="F45">
        <f>G45+H45</f>
        <v/>
      </c>
      <c r="G45">
        <f>COUNTIFS(data_adj!$A:$A,"dddd",data_adj!$C:$C,$A45,data_adj!$E:$E,"TP")</f>
        <v/>
      </c>
      <c r="H45">
        <f>COUNTIFS(data_adj!$A:$A,"dddd",data_adj!$C:$C,$A45,data_adj!$E:$E,"FP")</f>
        <v/>
      </c>
      <c r="I45">
        <f>IF(F45=0,"",ROUND(100*G45/F45,1))</f>
        <v/>
      </c>
      <c r="J45">
        <f>COUNTIFS(data_llm!$A:$A,"dddd",data_llm!$C:$C,$A45)</f>
        <v/>
      </c>
      <c r="K45">
        <f>COUNTIFS(data_llm!$A:$A,"dddd",data_llm!$C:$C,$A45,data_llm!$F:$F,TRUE)</f>
        <v/>
      </c>
      <c r="L45">
        <f>J45-K45</f>
        <v/>
      </c>
      <c r="M45">
        <f>IF(J45=0,"",ROUND(100*K45/J45,1))</f>
        <v/>
      </c>
      <c r="N45">
        <f>IF(F45=0,"",ROUND(E45*G45/F45,0))</f>
        <v/>
      </c>
    </row>
    <row r="46">
      <c r="A46" t="inlineStr">
        <is>
          <t>smells-22</t>
        </is>
      </c>
      <c r="B46" t="inlineStr">
        <is>
          <t>Minor</t>
        </is>
      </c>
      <c r="C46" t="inlineStr">
        <is>
          <t>Wildcard Import</t>
        </is>
      </c>
      <c r="D46">
        <f>COUNTIFS(data_hits!$A:$A,"dddd",data_hits!$C:$C,$A46)</f>
        <v/>
      </c>
      <c r="E46">
        <f>SUM(D46:D46)</f>
        <v/>
      </c>
      <c r="F46">
        <f>G46+H46</f>
        <v/>
      </c>
      <c r="G46">
        <f>COUNTIFS(data_adj!$A:$A,"dddd",data_adj!$C:$C,$A46,data_adj!$E:$E,"TP")</f>
        <v/>
      </c>
      <c r="H46">
        <f>COUNTIFS(data_adj!$A:$A,"dddd",data_adj!$C:$C,$A46,data_adj!$E:$E,"FP")</f>
        <v/>
      </c>
      <c r="I46">
        <f>IF(F46=0,"",ROUND(100*G46/F46,1))</f>
        <v/>
      </c>
      <c r="J46">
        <f>COUNTIFS(data_llm!$A:$A,"dddd",data_llm!$C:$C,$A46)</f>
        <v/>
      </c>
      <c r="K46">
        <f>COUNTIFS(data_llm!$A:$A,"dddd",data_llm!$C:$C,$A46,data_llm!$F:$F,TRUE)</f>
        <v/>
      </c>
      <c r="L46">
        <f>J46-K46</f>
        <v/>
      </c>
      <c r="M46">
        <f>IF(J46=0,"",ROUND(100*K46/J46,1))</f>
        <v/>
      </c>
      <c r="N46">
        <f>IF(F46=0,"",ROUND(E46*G46/F46,0))</f>
        <v/>
      </c>
    </row>
    <row r="47">
      <c r="A47" t="inlineStr">
        <is>
          <t>smells-23</t>
        </is>
      </c>
      <c r="B47" t="inlineStr">
        <is>
          <t>Minor</t>
        </is>
      </c>
      <c r="C47" t="inlineStr">
        <is>
          <t>Debugger Statement or Stack-Trace Dump Left in Code</t>
        </is>
      </c>
      <c r="D47">
        <f>COUNTIFS(data_hits!$A:$A,"dddd",data_hits!$C:$C,$A47)</f>
        <v/>
      </c>
      <c r="E47">
        <f>SUM(D47:D47)</f>
        <v/>
      </c>
      <c r="F47">
        <f>G47+H47</f>
        <v/>
      </c>
      <c r="G47">
        <f>COUNTIFS(data_adj!$A:$A,"dddd",data_adj!$C:$C,$A47,data_adj!$E:$E,"TP")</f>
        <v/>
      </c>
      <c r="H47">
        <f>COUNTIFS(data_adj!$A:$A,"dddd",data_adj!$C:$C,$A47,data_adj!$E:$E,"FP")</f>
        <v/>
      </c>
      <c r="I47">
        <f>IF(F47=0,"",ROUND(100*G47/F47,1))</f>
        <v/>
      </c>
      <c r="J47">
        <f>COUNTIFS(data_llm!$A:$A,"dddd",data_llm!$C:$C,$A47)</f>
        <v/>
      </c>
      <c r="K47">
        <f>COUNTIFS(data_llm!$A:$A,"dddd",data_llm!$C:$C,$A47,data_llm!$F:$F,TRUE)</f>
        <v/>
      </c>
      <c r="L47">
        <f>J47-K47</f>
        <v/>
      </c>
      <c r="M47">
        <f>IF(J47=0,"",ROUND(100*K47/J47,1))</f>
        <v/>
      </c>
      <c r="N47">
        <f>IF(F47=0,"",ROUND(E47*G47/F47,0))</f>
        <v/>
      </c>
    </row>
    <row r="48">
      <c r="A48" t="inlineStr">
        <is>
          <t>solid-06</t>
        </is>
      </c>
      <c r="B48" t="inlineStr">
        <is>
          <t>Major</t>
        </is>
      </c>
      <c r="C48" t="inlineStr">
        <is>
          <t>Public Mutable Fields</t>
        </is>
      </c>
      <c r="D48">
        <f>COUNTIFS(data_hits!$A:$A,"dddd",data_hits!$C:$C,$A48)</f>
        <v/>
      </c>
      <c r="E48">
        <f>SUM(D48:D48)</f>
        <v/>
      </c>
      <c r="F48">
        <f>G48+H48</f>
        <v/>
      </c>
      <c r="G48">
        <f>COUNTIFS(data_adj!$A:$A,"dddd",data_adj!$C:$C,$A48,data_adj!$E:$E,"TP")</f>
        <v/>
      </c>
      <c r="H48">
        <f>COUNTIFS(data_adj!$A:$A,"dddd",data_adj!$C:$C,$A48,data_adj!$E:$E,"FP")</f>
        <v/>
      </c>
      <c r="I48">
        <f>IF(F48=0,"",ROUND(100*G48/F48,1))</f>
        <v/>
      </c>
      <c r="J48">
        <f>COUNTIFS(data_llm!$A:$A,"dddd",data_llm!$C:$C,$A48)</f>
        <v/>
      </c>
      <c r="K48">
        <f>COUNTIFS(data_llm!$A:$A,"dddd",data_llm!$C:$C,$A48,data_llm!$F:$F,TRUE)</f>
        <v/>
      </c>
      <c r="L48">
        <f>J48-K48</f>
        <v/>
      </c>
      <c r="M48">
        <f>IF(J48=0,"",ROUND(100*K48/J48,1))</f>
        <v/>
      </c>
      <c r="N48">
        <f>IF(F48=0,"",ROUND(E48*G48/F48,0))</f>
        <v/>
      </c>
    </row>
    <row r="49">
      <c r="A49" t="inlineStr">
        <is>
          <t>solid-07</t>
        </is>
      </c>
      <c r="B49" t="inlineStr">
        <is>
          <t>Moderate</t>
        </is>
      </c>
      <c r="C49" t="inlineStr">
        <is>
          <t>Primitive Obsession</t>
        </is>
      </c>
      <c r="D49">
        <f>COUNTIFS(data_hits!$A:$A,"dddd",data_hits!$C:$C,$A49)</f>
        <v/>
      </c>
      <c r="E49">
        <f>SUM(D49:D49)</f>
        <v/>
      </c>
      <c r="F49">
        <f>G49+H49</f>
        <v/>
      </c>
      <c r="G49">
        <f>COUNTIFS(data_adj!$A:$A,"dddd",data_adj!$C:$C,$A49,data_adj!$E:$E,"TP")</f>
        <v/>
      </c>
      <c r="H49">
        <f>COUNTIFS(data_adj!$A:$A,"dddd",data_adj!$C:$C,$A49,data_adj!$E:$E,"FP")</f>
        <v/>
      </c>
      <c r="I49">
        <f>IF(F49=0,"",ROUND(100*G49/F49,1))</f>
        <v/>
      </c>
      <c r="J49">
        <f>COUNTIFS(data_llm!$A:$A,"dddd",data_llm!$C:$C,$A49)</f>
        <v/>
      </c>
      <c r="K49">
        <f>COUNTIFS(data_llm!$A:$A,"dddd",data_llm!$C:$C,$A49,data_llm!$F:$F,TRUE)</f>
        <v/>
      </c>
      <c r="L49">
        <f>J49-K49</f>
        <v/>
      </c>
      <c r="M49">
        <f>IF(J49=0,"",ROUND(100*K49/J49,1))</f>
        <v/>
      </c>
      <c r="N49">
        <f>IF(F49=0,"",ROUND(E49*G49/F49,0))</f>
        <v/>
      </c>
    </row>
    <row r="50">
      <c r="A50" t="inlineStr">
        <is>
          <t>solid-08</t>
        </is>
      </c>
      <c r="B50" t="inlineStr">
        <is>
          <t>Minor</t>
        </is>
      </c>
      <c r="C50" t="inlineStr">
        <is>
          <t>Unnecessary Mutability</t>
        </is>
      </c>
      <c r="D50">
        <f>COUNTIFS(data_hits!$A:$A,"dddd",data_hits!$C:$C,$A50)</f>
        <v/>
      </c>
      <c r="E50">
        <f>SUM(D50:D50)</f>
        <v/>
      </c>
      <c r="F50">
        <f>G50+H50</f>
        <v/>
      </c>
      <c r="G50">
        <f>COUNTIFS(data_adj!$A:$A,"dddd",data_adj!$C:$C,$A50,data_adj!$E:$E,"TP")</f>
        <v/>
      </c>
      <c r="H50">
        <f>COUNTIFS(data_adj!$A:$A,"dddd",data_adj!$C:$C,$A50,data_adj!$E:$E,"FP")</f>
        <v/>
      </c>
      <c r="I50">
        <f>IF(F50=0,"",ROUND(100*G50/F50,1))</f>
        <v/>
      </c>
      <c r="J50">
        <f>COUNTIFS(data_llm!$A:$A,"dddd",data_llm!$C:$C,$A50)</f>
        <v/>
      </c>
      <c r="K50">
        <f>COUNTIFS(data_llm!$A:$A,"dddd",data_llm!$C:$C,$A50,data_llm!$F:$F,TRUE)</f>
        <v/>
      </c>
      <c r="L50">
        <f>J50-K50</f>
        <v/>
      </c>
      <c r="M50">
        <f>IF(J50=0,"",ROUND(100*K50/J50,1))</f>
        <v/>
      </c>
      <c r="N50">
        <f>IF(F50=0,"",ROUND(E50*G50/F50,0))</f>
        <v/>
      </c>
    </row>
    <row r="51">
      <c r="A51" t="inlineStr">
        <is>
          <t>solid-09</t>
        </is>
      </c>
      <c r="B51" t="inlineStr">
        <is>
          <t>Major</t>
        </is>
      </c>
      <c r="C51" t="inlineStr">
        <is>
          <t>Global Mutable State</t>
        </is>
      </c>
      <c r="D51">
        <f>COUNTIFS(data_hits!$A:$A,"dddd",data_hits!$C:$C,$A51)</f>
        <v/>
      </c>
      <c r="E51">
        <f>SUM(D51:D51)</f>
        <v/>
      </c>
      <c r="F51">
        <f>G51+H51</f>
        <v/>
      </c>
      <c r="G51">
        <f>COUNTIFS(data_adj!$A:$A,"dddd",data_adj!$C:$C,$A51,data_adj!$E:$E,"TP")</f>
        <v/>
      </c>
      <c r="H51">
        <f>COUNTIFS(data_adj!$A:$A,"dddd",data_adj!$C:$C,$A51,data_adj!$E:$E,"FP")</f>
        <v/>
      </c>
      <c r="I51">
        <f>IF(F51=0,"",ROUND(100*G51/F51,1))</f>
        <v/>
      </c>
      <c r="J51">
        <f>COUNTIFS(data_llm!$A:$A,"dddd",data_llm!$C:$C,$A51)</f>
        <v/>
      </c>
      <c r="K51">
        <f>COUNTIFS(data_llm!$A:$A,"dddd",data_llm!$C:$C,$A51,data_llm!$F:$F,TRUE)</f>
        <v/>
      </c>
      <c r="L51">
        <f>J51-K51</f>
        <v/>
      </c>
      <c r="M51">
        <f>IF(J51=0,"",ROUND(100*K51/J51,1))</f>
        <v/>
      </c>
      <c r="N51">
        <f>IF(F51=0,"",ROUND(E51*G51/F51,0))</f>
        <v/>
      </c>
    </row>
    <row r="52">
      <c r="A52" t="inlineStr">
        <is>
          <t>solid-10</t>
        </is>
      </c>
      <c r="B52" t="inlineStr">
        <is>
          <t>Major</t>
        </is>
      </c>
      <c r="C52" t="inlineStr">
        <is>
          <t>Hardcoded Dependency Creation</t>
        </is>
      </c>
      <c r="D52">
        <f>COUNTIFS(data_hits!$A:$A,"dddd",data_hits!$C:$C,$A52)</f>
        <v/>
      </c>
      <c r="E52">
        <f>SUM(D52:D52)</f>
        <v/>
      </c>
      <c r="F52">
        <f>G52+H52</f>
        <v/>
      </c>
      <c r="G52">
        <f>COUNTIFS(data_adj!$A:$A,"dddd",data_adj!$C:$C,$A52,data_adj!$E:$E,"TP")</f>
        <v/>
      </c>
      <c r="H52">
        <f>COUNTIFS(data_adj!$A:$A,"dddd",data_adj!$C:$C,$A52,data_adj!$E:$E,"FP")</f>
        <v/>
      </c>
      <c r="I52">
        <f>IF(F52=0,"",ROUND(100*G52/F52,1))</f>
        <v/>
      </c>
      <c r="J52">
        <f>COUNTIFS(data_llm!$A:$A,"dddd",data_llm!$C:$C,$A52)</f>
        <v/>
      </c>
      <c r="K52">
        <f>COUNTIFS(data_llm!$A:$A,"dddd",data_llm!$C:$C,$A52,data_llm!$F:$F,TRUE)</f>
        <v/>
      </c>
      <c r="L52">
        <f>J52-K52</f>
        <v/>
      </c>
      <c r="M52">
        <f>IF(J52=0,"",ROUND(100*K52/J52,1))</f>
        <v/>
      </c>
      <c r="N52">
        <f>IF(F52=0,"",ROUND(E52*G52/F52,0))</f>
        <v/>
      </c>
    </row>
    <row r="53">
      <c r="A53" t="inlineStr">
        <is>
          <t>solid-12</t>
        </is>
      </c>
      <c r="B53" t="inlineStr">
        <is>
          <t>Moderate</t>
        </is>
      </c>
      <c r="C53" t="inlineStr">
        <is>
          <t>Logging Inside Domain</t>
        </is>
      </c>
      <c r="D53">
        <f>COUNTIFS(data_hits!$A:$A,"dddd",data_hits!$C:$C,$A53)</f>
        <v/>
      </c>
      <c r="E53">
        <f>SUM(D53:D53)</f>
        <v/>
      </c>
      <c r="F53">
        <f>G53+H53</f>
        <v/>
      </c>
      <c r="G53">
        <f>COUNTIFS(data_adj!$A:$A,"dddd",data_adj!$C:$C,$A53,data_adj!$E:$E,"TP")</f>
        <v/>
      </c>
      <c r="H53">
        <f>COUNTIFS(data_adj!$A:$A,"dddd",data_adj!$C:$C,$A53,data_adj!$E:$E,"FP")</f>
        <v/>
      </c>
      <c r="I53">
        <f>IF(F53=0,"",ROUND(100*G53/F53,1))</f>
        <v/>
      </c>
      <c r="J53">
        <f>COUNTIFS(data_llm!$A:$A,"dddd",data_llm!$C:$C,$A53)</f>
        <v/>
      </c>
      <c r="K53">
        <f>COUNTIFS(data_llm!$A:$A,"dddd",data_llm!$C:$C,$A53,data_llm!$F:$F,TRUE)</f>
        <v/>
      </c>
      <c r="L53">
        <f>J53-K53</f>
        <v/>
      </c>
      <c r="M53">
        <f>IF(J53=0,"",ROUND(100*K53/J53,1))</f>
        <v/>
      </c>
      <c r="N53">
        <f>IF(F53=0,"",ROUND(E53*G53/F53,0))</f>
        <v/>
      </c>
    </row>
    <row r="54">
      <c r="A54" t="inlineStr">
        <is>
          <t>solid-15</t>
        </is>
      </c>
      <c r="B54" t="inlineStr">
        <is>
          <t>Major</t>
        </is>
      </c>
      <c r="C54" t="inlineStr">
        <is>
          <t>Switch/If-Else Dispatching on Type</t>
        </is>
      </c>
      <c r="D54">
        <f>COUNTIFS(data_hits!$A:$A,"dddd",data_hits!$C:$C,$A54)</f>
        <v/>
      </c>
      <c r="E54">
        <f>SUM(D54:D54)</f>
        <v/>
      </c>
      <c r="F54">
        <f>G54+H54</f>
        <v/>
      </c>
      <c r="G54">
        <f>COUNTIFS(data_adj!$A:$A,"dddd",data_adj!$C:$C,$A54,data_adj!$E:$E,"TP")</f>
        <v/>
      </c>
      <c r="H54">
        <f>COUNTIFS(data_adj!$A:$A,"dddd",data_adj!$C:$C,$A54,data_adj!$E:$E,"FP")</f>
        <v/>
      </c>
      <c r="I54">
        <f>IF(F54=0,"",ROUND(100*G54/F54,1))</f>
        <v/>
      </c>
      <c r="J54">
        <f>COUNTIFS(data_llm!$A:$A,"dddd",data_llm!$C:$C,$A54)</f>
        <v/>
      </c>
      <c r="K54">
        <f>COUNTIFS(data_llm!$A:$A,"dddd",data_llm!$C:$C,$A54,data_llm!$F:$F,TRUE)</f>
        <v/>
      </c>
      <c r="L54">
        <f>J54-K54</f>
        <v/>
      </c>
      <c r="M54">
        <f>IF(J54=0,"",ROUND(100*K54/J54,1))</f>
        <v/>
      </c>
      <c r="N54">
        <f>IF(F54=0,"",ROUND(E54*G54/F54,0))</f>
        <v/>
      </c>
    </row>
    <row r="55">
      <c r="A55" t="inlineStr">
        <is>
          <t>tests-01</t>
        </is>
      </c>
      <c r="B55" t="inlineStr">
        <is>
          <t>Critical</t>
        </is>
      </c>
      <c r="C55" t="inlineStr">
        <is>
          <t>Missing Tests</t>
        </is>
      </c>
      <c r="D55">
        <f>COUNTIFS(data_hits!$A:$A,"dddd",data_hits!$C:$C,$A55)</f>
        <v/>
      </c>
      <c r="E55">
        <f>SUM(D55:D55)</f>
        <v/>
      </c>
      <c r="F55">
        <f>G55+H55</f>
        <v/>
      </c>
      <c r="G55">
        <f>COUNTIFS(data_adj!$A:$A,"dddd",data_adj!$C:$C,$A55,data_adj!$E:$E,"TP")</f>
        <v/>
      </c>
      <c r="H55">
        <f>COUNTIFS(data_adj!$A:$A,"dddd",data_adj!$C:$C,$A55,data_adj!$E:$E,"FP")</f>
        <v/>
      </c>
      <c r="I55">
        <f>IF(F55=0,"",ROUND(100*G55/F55,1))</f>
        <v/>
      </c>
      <c r="J55">
        <f>COUNTIFS(data_llm!$A:$A,"dddd",data_llm!$C:$C,$A55)</f>
        <v/>
      </c>
      <c r="K55">
        <f>COUNTIFS(data_llm!$A:$A,"dddd",data_llm!$C:$C,$A55,data_llm!$F:$F,TRUE)</f>
        <v/>
      </c>
      <c r="L55">
        <f>J55-K55</f>
        <v/>
      </c>
      <c r="M55">
        <f>IF(J55=0,"",ROUND(100*K55/J55,1))</f>
        <v/>
      </c>
      <c r="N55">
        <f>IF(F55=0,"",ROUND(E55*G55/F55,0))</f>
        <v/>
      </c>
    </row>
    <row r="56">
      <c r="A56" t="inlineStr">
        <is>
          <t>tests-04</t>
        </is>
      </c>
      <c r="B56" t="inlineStr">
        <is>
          <t>Major</t>
        </is>
      </c>
      <c r="C56" t="inlineStr">
        <is>
          <t>Flaky Test Patterns</t>
        </is>
      </c>
      <c r="D56">
        <f>COUNTIFS(data_hits!$A:$A,"dddd",data_hits!$C:$C,$A56)</f>
        <v/>
      </c>
      <c r="E56">
        <f>SUM(D56:D56)</f>
        <v/>
      </c>
      <c r="F56">
        <f>G56+H56</f>
        <v/>
      </c>
      <c r="G56">
        <f>COUNTIFS(data_adj!$A:$A,"dddd",data_adj!$C:$C,$A56,data_adj!$E:$E,"TP")</f>
        <v/>
      </c>
      <c r="H56">
        <f>COUNTIFS(data_adj!$A:$A,"dddd",data_adj!$C:$C,$A56,data_adj!$E:$E,"FP")</f>
        <v/>
      </c>
      <c r="I56">
        <f>IF(F56=0,"",ROUND(100*G56/F56,1))</f>
        <v/>
      </c>
      <c r="J56">
        <f>COUNTIFS(data_llm!$A:$A,"dddd",data_llm!$C:$C,$A56)</f>
        <v/>
      </c>
      <c r="K56">
        <f>COUNTIFS(data_llm!$A:$A,"dddd",data_llm!$C:$C,$A56,data_llm!$F:$F,TRUE)</f>
        <v/>
      </c>
      <c r="L56">
        <f>J56-K56</f>
        <v/>
      </c>
      <c r="M56">
        <f>IF(J56=0,"",ROUND(100*K56/J56,1))</f>
        <v/>
      </c>
      <c r="N56">
        <f>IF(F56=0,"",ROUND(E56*G56/F56,0))</f>
        <v/>
      </c>
    </row>
    <row r="57">
      <c r="A57" t="inlineStr">
        <is>
          <t>tests-05</t>
        </is>
      </c>
      <c r="B57" t="inlineStr">
        <is>
          <t>Major</t>
        </is>
      </c>
      <c r="C57" t="inlineStr">
        <is>
          <t>Test Accessing Private Internals</t>
        </is>
      </c>
      <c r="D57">
        <f>COUNTIFS(data_hits!$A:$A,"dddd",data_hits!$C:$C,$A57)</f>
        <v/>
      </c>
      <c r="E57">
        <f>SUM(D57:D57)</f>
        <v/>
      </c>
      <c r="F57">
        <f>G57+H57</f>
        <v/>
      </c>
      <c r="G57">
        <f>COUNTIFS(data_adj!$A:$A,"dddd",data_adj!$C:$C,$A57,data_adj!$E:$E,"TP")</f>
        <v/>
      </c>
      <c r="H57">
        <f>COUNTIFS(data_adj!$A:$A,"dddd",data_adj!$C:$C,$A57,data_adj!$E:$E,"FP")</f>
        <v/>
      </c>
      <c r="I57">
        <f>IF(F57=0,"",ROUND(100*G57/F57,1))</f>
        <v/>
      </c>
      <c r="J57">
        <f>COUNTIFS(data_llm!$A:$A,"dddd",data_llm!$C:$C,$A57)</f>
        <v/>
      </c>
      <c r="K57">
        <f>COUNTIFS(data_llm!$A:$A,"dddd",data_llm!$C:$C,$A57,data_llm!$F:$F,TRUE)</f>
        <v/>
      </c>
      <c r="L57">
        <f>J57-K57</f>
        <v/>
      </c>
      <c r="M57">
        <f>IF(J57=0,"",ROUND(100*K57/J57,1))</f>
        <v/>
      </c>
      <c r="N57">
        <f>IF(F57=0,"",ROUND(E57*G57/F57,0))</f>
        <v/>
      </c>
    </row>
    <row r="58">
      <c r="A58" t="inlineStr">
        <is>
          <t>tests-06</t>
        </is>
      </c>
      <c r="B58" t="inlineStr">
        <is>
          <t>Major</t>
        </is>
      </c>
      <c r="C58" t="inlineStr">
        <is>
          <t>Shared Mutable State Between Tests</t>
        </is>
      </c>
      <c r="D58">
        <f>COUNTIFS(data_hits!$A:$A,"dddd",data_hits!$C:$C,$A58)</f>
        <v/>
      </c>
      <c r="E58">
        <f>SUM(D58:D58)</f>
        <v/>
      </c>
      <c r="F58">
        <f>G58+H58</f>
        <v/>
      </c>
      <c r="G58">
        <f>COUNTIFS(data_adj!$A:$A,"dddd",data_adj!$C:$C,$A58,data_adj!$E:$E,"TP")</f>
        <v/>
      </c>
      <c r="H58">
        <f>COUNTIFS(data_adj!$A:$A,"dddd",data_adj!$C:$C,$A58,data_adj!$E:$E,"FP")</f>
        <v/>
      </c>
      <c r="I58">
        <f>IF(F58=0,"",ROUND(100*G58/F58,1))</f>
        <v/>
      </c>
      <c r="J58">
        <f>COUNTIFS(data_llm!$A:$A,"dddd",data_llm!$C:$C,$A58)</f>
        <v/>
      </c>
      <c r="K58">
        <f>COUNTIFS(data_llm!$A:$A,"dddd",data_llm!$C:$C,$A58,data_llm!$F:$F,TRUE)</f>
        <v/>
      </c>
      <c r="L58">
        <f>J58-K58</f>
        <v/>
      </c>
      <c r="M58">
        <f>IF(J58=0,"",ROUND(100*K58/J58,1))</f>
        <v/>
      </c>
      <c r="N58">
        <f>IF(F58=0,"",ROUND(E58*G58/F58,0))</f>
        <v/>
      </c>
    </row>
    <row r="59">
      <c r="A59" t="inlineStr">
        <is>
          <t>tests-08</t>
        </is>
      </c>
      <c r="B59" t="inlineStr">
        <is>
          <t>Major</t>
        </is>
      </c>
      <c r="C59" t="inlineStr">
        <is>
          <t>Skipped/Ignored Tests</t>
        </is>
      </c>
      <c r="D59">
        <f>COUNTIFS(data_hits!$A:$A,"dddd",data_hits!$C:$C,$A59)</f>
        <v/>
      </c>
      <c r="E59">
        <f>SUM(D59:D59)</f>
        <v/>
      </c>
      <c r="F59">
        <f>G59+H59</f>
        <v/>
      </c>
      <c r="G59">
        <f>COUNTIFS(data_adj!$A:$A,"dddd",data_adj!$C:$C,$A59,data_adj!$E:$E,"TP")</f>
        <v/>
      </c>
      <c r="H59">
        <f>COUNTIFS(data_adj!$A:$A,"dddd",data_adj!$C:$C,$A59,data_adj!$E:$E,"FP")</f>
        <v/>
      </c>
      <c r="I59">
        <f>IF(F59=0,"",ROUND(100*G59/F59,1))</f>
        <v/>
      </c>
      <c r="J59">
        <f>COUNTIFS(data_llm!$A:$A,"dddd",data_llm!$C:$C,$A59)</f>
        <v/>
      </c>
      <c r="K59">
        <f>COUNTIFS(data_llm!$A:$A,"dddd",data_llm!$C:$C,$A59,data_llm!$F:$F,TRUE)</f>
        <v/>
      </c>
      <c r="L59">
        <f>J59-K59</f>
        <v/>
      </c>
      <c r="M59">
        <f>IF(J59=0,"",ROUND(100*K59/J59,1))</f>
        <v/>
      </c>
      <c r="N59">
        <f>IF(F59=0,"",ROUND(E59*G59/F59,0))</f>
        <v/>
      </c>
    </row>
    <row r="60">
      <c r="A60" t="inlineStr">
        <is>
          <t>tests-09</t>
        </is>
      </c>
      <c r="B60" t="inlineStr">
        <is>
          <t>Critical</t>
        </is>
      </c>
      <c r="C60" t="inlineStr">
        <is>
          <t>Tests with No Meaningful Assertions</t>
        </is>
      </c>
      <c r="D60">
        <f>COUNTIFS(data_hits!$A:$A,"dddd",data_hits!$C:$C,$A60)</f>
        <v/>
      </c>
      <c r="E60">
        <f>SUM(D60:D60)</f>
        <v/>
      </c>
      <c r="F60">
        <f>G60+H60</f>
        <v/>
      </c>
      <c r="G60">
        <f>COUNTIFS(data_adj!$A:$A,"dddd",data_adj!$C:$C,$A60,data_adj!$E:$E,"TP")</f>
        <v/>
      </c>
      <c r="H60">
        <f>COUNTIFS(data_adj!$A:$A,"dddd",data_adj!$C:$C,$A60,data_adj!$E:$E,"FP")</f>
        <v/>
      </c>
      <c r="I60">
        <f>IF(F60=0,"",ROUND(100*G60/F60,1))</f>
        <v/>
      </c>
      <c r="J60">
        <f>COUNTIFS(data_llm!$A:$A,"dddd",data_llm!$C:$C,$A60)</f>
        <v/>
      </c>
      <c r="K60">
        <f>COUNTIFS(data_llm!$A:$A,"dddd",data_llm!$C:$C,$A60,data_llm!$F:$F,TRUE)</f>
        <v/>
      </c>
      <c r="L60">
        <f>J60-K60</f>
        <v/>
      </c>
      <c r="M60">
        <f>IF(J60=0,"",ROUND(100*K60/J60,1))</f>
        <v/>
      </c>
      <c r="N60">
        <f>IF(F60=0,"",ROUND(E60*G60/F60,0))</f>
        <v/>
      </c>
    </row>
    <row r="61">
      <c r="A61" t="inlineStr">
        <is>
          <t>tests-13</t>
        </is>
      </c>
      <c r="B61" t="inlineStr">
        <is>
          <t>Critical</t>
        </is>
      </c>
      <c r="C61" t="inlineStr">
        <is>
          <t>Test Module Containing No Assertions</t>
        </is>
      </c>
      <c r="D61">
        <f>COUNTIFS(data_hits!$A:$A,"dddd",data_hits!$C:$C,$A61)</f>
        <v/>
      </c>
      <c r="E61">
        <f>SUM(D61:D61)</f>
        <v/>
      </c>
      <c r="F61">
        <f>G61+H61</f>
        <v/>
      </c>
      <c r="G61">
        <f>COUNTIFS(data_adj!$A:$A,"dddd",data_adj!$C:$C,$A61,data_adj!$E:$E,"TP")</f>
        <v/>
      </c>
      <c r="H61">
        <f>COUNTIFS(data_adj!$A:$A,"dddd",data_adj!$C:$C,$A61,data_adj!$E:$E,"FP")</f>
        <v/>
      </c>
      <c r="I61">
        <f>IF(F61=0,"",ROUND(100*G61/F61,1))</f>
        <v/>
      </c>
      <c r="J61">
        <f>COUNTIFS(data_llm!$A:$A,"dddd",data_llm!$C:$C,$A61)</f>
        <v/>
      </c>
      <c r="K61">
        <f>COUNTIFS(data_llm!$A:$A,"dddd",data_llm!$C:$C,$A61,data_llm!$F:$F,TRUE)</f>
        <v/>
      </c>
      <c r="L61">
        <f>J61-K61</f>
        <v/>
      </c>
      <c r="M61">
        <f>IF(J61=0,"",ROUND(100*K61/J61,1))</f>
        <v/>
      </c>
      <c r="N61">
        <f>IF(F61=0,"",ROUND(E61*G61/F61,0))</f>
        <v/>
      </c>
    </row>
  </sheetData>
  <conditionalFormatting sqref="A2:N61">
    <cfRule type="expression" priority="1" dxfId="0">
      <formula>$E2=0</formula>
    </cfRule>
  </conditionalFormatting>
  <conditionalFormatting sqref="I2:I6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hits:udemy-top-down-shooter</t>
        </is>
      </c>
      <c r="E1" s="1" t="inlineStr">
        <is>
          <t>hits total</t>
        </is>
      </c>
      <c r="F1" s="1" t="inlineStr">
        <is>
          <t>adjudicated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precision %</t>
        </is>
      </c>
      <c r="J1" s="1" t="inlineStr">
        <is>
          <t>LLM-only found</t>
        </is>
      </c>
      <c r="K1" s="1" t="inlineStr">
        <is>
          <t>overlap w/ script</t>
        </is>
      </c>
      <c r="L1" s="1" t="inlineStr">
        <is>
          <t>script misses</t>
        </is>
      </c>
      <c r="M1" s="1" t="inlineStr">
        <is>
          <t>script coverage %</t>
        </is>
      </c>
      <c r="N1" s="1" t="inlineStr">
        <is>
          <t>est. true hits</t>
        </is>
      </c>
    </row>
    <row r="2">
      <c r="A2" t="inlineStr">
        <is>
          <t>arch-02</t>
        </is>
      </c>
      <c r="B2" t="inlineStr">
        <is>
          <t>Major</t>
        </is>
      </c>
      <c r="C2" t="inlineStr">
        <is>
          <t>Use Case Depending on Framework Type</t>
        </is>
      </c>
      <c r="D2">
        <f>COUNTIFS(data_hits!$A:$A,"udemy-top-down-shooter",data_hits!$C:$C,$A2)</f>
        <v/>
      </c>
      <c r="E2">
        <f>SUM(D2:D2)</f>
        <v/>
      </c>
      <c r="F2">
        <f>G2+H2</f>
        <v/>
      </c>
      <c r="G2">
        <f>COUNTIFS(data_adj!$A:$A,"udemy-top-down-shooter",data_adj!$C:$C,$A2,data_adj!$E:$E,"TP")</f>
        <v/>
      </c>
      <c r="H2">
        <f>COUNTIFS(data_adj!$A:$A,"udemy-top-down-shooter",data_adj!$C:$C,$A2,data_adj!$E:$E,"FP")</f>
        <v/>
      </c>
      <c r="I2">
        <f>IF(F2=0,"",ROUND(100*G2/F2,1))</f>
        <v/>
      </c>
      <c r="J2">
        <f>COUNTIFS(data_llm!$A:$A,"udemy-top-down-shooter",data_llm!$C:$C,$A2)</f>
        <v/>
      </c>
      <c r="K2">
        <f>COUNTIFS(data_llm!$A:$A,"udemy-top-down-shooter",data_llm!$C:$C,$A2,data_llm!$F:$F,TRUE)</f>
        <v/>
      </c>
      <c r="L2">
        <f>J2-K2</f>
        <v/>
      </c>
      <c r="M2">
        <f>IF(J2=0,"",ROUND(100*K2/J2,1))</f>
        <v/>
      </c>
      <c r="N2">
        <f>IF(F2=0,"",ROUND(E2*G2/F2,0))</f>
        <v/>
      </c>
    </row>
    <row r="3">
      <c r="A3" t="inlineStr">
        <is>
          <t>arch-03</t>
        </is>
      </c>
      <c r="B3" t="inlineStr">
        <is>
          <t>Major</t>
        </is>
      </c>
      <c r="C3" t="inlineStr">
        <is>
          <t>Domain Entity with ORM Annotations</t>
        </is>
      </c>
      <c r="D3">
        <f>COUNTIFS(data_hits!$A:$A,"udemy-top-down-shooter",data_hits!$C:$C,$A3)</f>
        <v/>
      </c>
      <c r="E3">
        <f>SUM(D3:D3)</f>
        <v/>
      </c>
      <c r="F3">
        <f>G3+H3</f>
        <v/>
      </c>
      <c r="G3">
        <f>COUNTIFS(data_adj!$A:$A,"udemy-top-down-shooter",data_adj!$C:$C,$A3,data_adj!$E:$E,"TP")</f>
        <v/>
      </c>
      <c r="H3">
        <f>COUNTIFS(data_adj!$A:$A,"udemy-top-down-shooter",data_adj!$C:$C,$A3,data_adj!$E:$E,"FP")</f>
        <v/>
      </c>
      <c r="I3">
        <f>IF(F3=0,"",ROUND(100*G3/F3,1))</f>
        <v/>
      </c>
      <c r="J3">
        <f>COUNTIFS(data_llm!$A:$A,"udemy-top-down-shooter",data_llm!$C:$C,$A3)</f>
        <v/>
      </c>
      <c r="K3">
        <f>COUNTIFS(data_llm!$A:$A,"udemy-top-down-shooter",data_llm!$C:$C,$A3,data_llm!$F:$F,TRUE)</f>
        <v/>
      </c>
      <c r="L3">
        <f>J3-K3</f>
        <v/>
      </c>
      <c r="M3">
        <f>IF(J3=0,"",ROUND(100*K3/J3,1))</f>
        <v/>
      </c>
      <c r="N3">
        <f>IF(F3=0,"",ROUND(E3*G3/F3,0))</f>
        <v/>
      </c>
    </row>
    <row r="4">
      <c r="A4" t="inlineStr">
        <is>
          <t>arch-05</t>
        </is>
      </c>
      <c r="B4" t="inlineStr">
        <is>
          <t>Major</t>
        </is>
      </c>
      <c r="C4" t="inlineStr">
        <is>
          <t>Infrastructure Exception Leaking</t>
        </is>
      </c>
      <c r="D4">
        <f>COUNTIFS(data_hits!$A:$A,"udemy-top-down-shooter",data_hits!$C:$C,$A4)</f>
        <v/>
      </c>
      <c r="E4">
        <f>SUM(D4:D4)</f>
        <v/>
      </c>
      <c r="F4">
        <f>G4+H4</f>
        <v/>
      </c>
      <c r="G4">
        <f>COUNTIFS(data_adj!$A:$A,"udemy-top-down-shooter",data_adj!$C:$C,$A4,data_adj!$E:$E,"TP")</f>
        <v/>
      </c>
      <c r="H4">
        <f>COUNTIFS(data_adj!$A:$A,"udemy-top-down-shooter",data_adj!$C:$C,$A4,data_adj!$E:$E,"FP")</f>
        <v/>
      </c>
      <c r="I4">
        <f>IF(F4=0,"",ROUND(100*G4/F4,1))</f>
        <v/>
      </c>
      <c r="J4">
        <f>COUNTIFS(data_llm!$A:$A,"udemy-top-down-shooter",data_llm!$C:$C,$A4)</f>
        <v/>
      </c>
      <c r="K4">
        <f>COUNTIFS(data_llm!$A:$A,"udemy-top-down-shooter",data_llm!$C:$C,$A4,data_llm!$F:$F,TRUE)</f>
        <v/>
      </c>
      <c r="L4">
        <f>J4-K4</f>
        <v/>
      </c>
      <c r="M4">
        <f>IF(J4=0,"",ROUND(100*K4/J4,1))</f>
        <v/>
      </c>
      <c r="N4">
        <f>IF(F4=0,"",ROUND(E4*G4/F4,0))</f>
        <v/>
      </c>
    </row>
    <row r="5">
      <c r="A5" t="inlineStr">
        <is>
          <t>arch-08</t>
        </is>
      </c>
      <c r="B5" t="inlineStr">
        <is>
          <t>Major</t>
        </is>
      </c>
      <c r="C5" t="inlineStr">
        <is>
          <t>Service Locator / Magic Container</t>
        </is>
      </c>
      <c r="D5">
        <f>COUNTIFS(data_hits!$A:$A,"udemy-top-down-shooter",data_hits!$C:$C,$A5)</f>
        <v/>
      </c>
      <c r="E5">
        <f>SUM(D5:D5)</f>
        <v/>
      </c>
      <c r="F5">
        <f>G5+H5</f>
        <v/>
      </c>
      <c r="G5">
        <f>COUNTIFS(data_adj!$A:$A,"udemy-top-down-shooter",data_adj!$C:$C,$A5,data_adj!$E:$E,"TP")</f>
        <v/>
      </c>
      <c r="H5">
        <f>COUNTIFS(data_adj!$A:$A,"udemy-top-down-shooter",data_adj!$C:$C,$A5,data_adj!$E:$E,"FP")</f>
        <v/>
      </c>
      <c r="I5">
        <f>IF(F5=0,"",ROUND(100*G5/F5,1))</f>
        <v/>
      </c>
      <c r="J5">
        <f>COUNTIFS(data_llm!$A:$A,"udemy-top-down-shooter",data_llm!$C:$C,$A5)</f>
        <v/>
      </c>
      <c r="K5">
        <f>COUNTIFS(data_llm!$A:$A,"udemy-top-down-shooter",data_llm!$C:$C,$A5,data_llm!$F:$F,TRUE)</f>
        <v/>
      </c>
      <c r="L5">
        <f>J5-K5</f>
        <v/>
      </c>
      <c r="M5">
        <f>IF(J5=0,"",ROUND(100*K5/J5,1))</f>
        <v/>
      </c>
      <c r="N5">
        <f>IF(F5=0,"",ROUND(E5*G5/F5,0))</f>
        <v/>
      </c>
    </row>
    <row r="6">
      <c r="A6" t="inlineStr">
        <is>
          <t>arch-09</t>
        </is>
      </c>
      <c r="B6" t="inlineStr">
        <is>
          <t>Moderate</t>
        </is>
      </c>
      <c r="C6" t="inlineStr">
        <is>
          <t>Environment-Specific Branching in Business Logic</t>
        </is>
      </c>
      <c r="D6">
        <f>COUNTIFS(data_hits!$A:$A,"udemy-top-down-shooter",data_hits!$C:$C,$A6)</f>
        <v/>
      </c>
      <c r="E6">
        <f>SUM(D6:D6)</f>
        <v/>
      </c>
      <c r="F6">
        <f>G6+H6</f>
        <v/>
      </c>
      <c r="G6">
        <f>COUNTIFS(data_adj!$A:$A,"udemy-top-down-shooter",data_adj!$C:$C,$A6,data_adj!$E:$E,"TP")</f>
        <v/>
      </c>
      <c r="H6">
        <f>COUNTIFS(data_adj!$A:$A,"udemy-top-down-shooter",data_adj!$C:$C,$A6,data_adj!$E:$E,"FP")</f>
        <v/>
      </c>
      <c r="I6">
        <f>IF(F6=0,"",ROUND(100*G6/F6,1))</f>
        <v/>
      </c>
      <c r="J6">
        <f>COUNTIFS(data_llm!$A:$A,"udemy-top-down-shooter",data_llm!$C:$C,$A6)</f>
        <v/>
      </c>
      <c r="K6">
        <f>COUNTIFS(data_llm!$A:$A,"udemy-top-down-shooter",data_llm!$C:$C,$A6,data_llm!$F:$F,TRUE)</f>
        <v/>
      </c>
      <c r="L6">
        <f>J6-K6</f>
        <v/>
      </c>
      <c r="M6">
        <f>IF(J6=0,"",ROUND(100*K6/J6,1))</f>
        <v/>
      </c>
      <c r="N6">
        <f>IF(F6=0,"",ROUND(E6*G6/F6,0))</f>
        <v/>
      </c>
    </row>
    <row r="7">
      <c r="A7" t="inlineStr">
        <is>
          <t>arch-11</t>
        </is>
      </c>
      <c r="B7" t="inlineStr">
        <is>
          <t>Moderate</t>
        </is>
      </c>
      <c r="C7" t="inlineStr">
        <is>
          <t>Environment Address Hardcoded in Code</t>
        </is>
      </c>
      <c r="D7">
        <f>COUNTIFS(data_hits!$A:$A,"udemy-top-down-shooter",data_hits!$C:$C,$A7)</f>
        <v/>
      </c>
      <c r="E7">
        <f>SUM(D7:D7)</f>
        <v/>
      </c>
      <c r="F7">
        <f>G7+H7</f>
        <v/>
      </c>
      <c r="G7">
        <f>COUNTIFS(data_adj!$A:$A,"udemy-top-down-shooter",data_adj!$C:$C,$A7,data_adj!$E:$E,"TP")</f>
        <v/>
      </c>
      <c r="H7">
        <f>COUNTIFS(data_adj!$A:$A,"udemy-top-down-shooter",data_adj!$C:$C,$A7,data_adj!$E:$E,"FP")</f>
        <v/>
      </c>
      <c r="I7">
        <f>IF(F7=0,"",ROUND(100*G7/F7,1))</f>
        <v/>
      </c>
      <c r="J7">
        <f>COUNTIFS(data_llm!$A:$A,"udemy-top-down-shooter",data_llm!$C:$C,$A7)</f>
        <v/>
      </c>
      <c r="K7">
        <f>COUNTIFS(data_llm!$A:$A,"udemy-top-down-shooter",data_llm!$C:$C,$A7,data_llm!$F:$F,TRUE)</f>
        <v/>
      </c>
      <c r="L7">
        <f>J7-K7</f>
        <v/>
      </c>
      <c r="M7">
        <f>IF(J7=0,"",ROUND(100*K7/J7,1))</f>
        <v/>
      </c>
      <c r="N7">
        <f>IF(F7=0,"",ROUND(E7*G7/F7,0))</f>
        <v/>
      </c>
    </row>
    <row r="8">
      <c r="A8" t="inlineStr">
        <is>
          <t>arch-12</t>
        </is>
      </c>
      <c r="B8" t="inlineStr">
        <is>
          <t>Major</t>
        </is>
      </c>
      <c r="C8" t="inlineStr">
        <is>
          <t>Cache Key Lifecycle Mismatch</t>
        </is>
      </c>
      <c r="D8">
        <f>COUNTIFS(data_hits!$A:$A,"udemy-top-down-shooter",data_hits!$C:$C,$A8)</f>
        <v/>
      </c>
      <c r="E8">
        <f>SUM(D8:D8)</f>
        <v/>
      </c>
      <c r="F8">
        <f>G8+H8</f>
        <v/>
      </c>
      <c r="G8">
        <f>COUNTIFS(data_adj!$A:$A,"udemy-top-down-shooter",data_adj!$C:$C,$A8,data_adj!$E:$E,"TP")</f>
        <v/>
      </c>
      <c r="H8">
        <f>COUNTIFS(data_adj!$A:$A,"udemy-top-down-shooter",data_adj!$C:$C,$A8,data_adj!$E:$E,"FP")</f>
        <v/>
      </c>
      <c r="I8">
        <f>IF(F8=0,"",ROUND(100*G8/F8,1))</f>
        <v/>
      </c>
      <c r="J8">
        <f>COUNTIFS(data_llm!$A:$A,"udemy-top-down-shooter",data_llm!$C:$C,$A8)</f>
        <v/>
      </c>
      <c r="K8">
        <f>COUNTIFS(data_llm!$A:$A,"udemy-top-down-shooter",data_llm!$C:$C,$A8,data_llm!$F:$F,TRUE)</f>
        <v/>
      </c>
      <c r="L8">
        <f>J8-K8</f>
        <v/>
      </c>
      <c r="M8">
        <f>IF(J8=0,"",ROUND(100*K8/J8,1))</f>
        <v/>
      </c>
      <c r="N8">
        <f>IF(F8=0,"",ROUND(E8*G8/F8,0))</f>
        <v/>
      </c>
    </row>
    <row r="9">
      <c r="A9" t="inlineStr">
        <is>
          <t>clarity-06</t>
        </is>
      </c>
      <c r="B9" t="inlineStr">
        <is>
          <t>Minor</t>
        </is>
      </c>
      <c r="C9" t="inlineStr">
        <is>
          <t>Noise Words in Names</t>
        </is>
      </c>
      <c r="D9">
        <f>COUNTIFS(data_hits!$A:$A,"udemy-top-down-shooter",data_hits!$C:$C,$A9)</f>
        <v/>
      </c>
      <c r="E9">
        <f>SUM(D9:D9)</f>
        <v/>
      </c>
      <c r="F9">
        <f>G9+H9</f>
        <v/>
      </c>
      <c r="G9">
        <f>COUNTIFS(data_adj!$A:$A,"udemy-top-down-shooter",data_adj!$C:$C,$A9,data_adj!$E:$E,"TP")</f>
        <v/>
      </c>
      <c r="H9">
        <f>COUNTIFS(data_adj!$A:$A,"udemy-top-down-shooter",data_adj!$C:$C,$A9,data_adj!$E:$E,"FP")</f>
        <v/>
      </c>
      <c r="I9">
        <f>IF(F9=0,"",ROUND(100*G9/F9,1))</f>
        <v/>
      </c>
      <c r="J9">
        <f>COUNTIFS(data_llm!$A:$A,"udemy-top-down-shooter",data_llm!$C:$C,$A9)</f>
        <v/>
      </c>
      <c r="K9">
        <f>COUNTIFS(data_llm!$A:$A,"udemy-top-down-shooter",data_llm!$C:$C,$A9,data_llm!$F:$F,TRUE)</f>
        <v/>
      </c>
      <c r="L9">
        <f>J9-K9</f>
        <v/>
      </c>
      <c r="M9">
        <f>IF(J9=0,"",ROUND(100*K9/J9,1))</f>
        <v/>
      </c>
      <c r="N9">
        <f>IF(F9=0,"",ROUND(E9*G9/F9,0))</f>
        <v/>
      </c>
    </row>
    <row r="10">
      <c r="A10" t="inlineStr">
        <is>
          <t>clarity-09</t>
        </is>
      </c>
      <c r="B10" t="inlineStr">
        <is>
          <t>Moderate</t>
        </is>
      </c>
      <c r="C10" t="inlineStr">
        <is>
          <t>Complex Boolean Conditions Not Extracted</t>
        </is>
      </c>
      <c r="D10">
        <f>COUNTIFS(data_hits!$A:$A,"udemy-top-down-shooter",data_hits!$C:$C,$A10)</f>
        <v/>
      </c>
      <c r="E10">
        <f>SUM(D10:D10)</f>
        <v/>
      </c>
      <c r="F10">
        <f>G10+H10</f>
        <v/>
      </c>
      <c r="G10">
        <f>COUNTIFS(data_adj!$A:$A,"udemy-top-down-shooter",data_adj!$C:$C,$A10,data_adj!$E:$E,"TP")</f>
        <v/>
      </c>
      <c r="H10">
        <f>COUNTIFS(data_adj!$A:$A,"udemy-top-down-shooter",data_adj!$C:$C,$A10,data_adj!$E:$E,"FP")</f>
        <v/>
      </c>
      <c r="I10">
        <f>IF(F10=0,"",ROUND(100*G10/F10,1))</f>
        <v/>
      </c>
      <c r="J10">
        <f>COUNTIFS(data_llm!$A:$A,"udemy-top-down-shooter",data_llm!$C:$C,$A10)</f>
        <v/>
      </c>
      <c r="K10">
        <f>COUNTIFS(data_llm!$A:$A,"udemy-top-down-shooter",data_llm!$C:$C,$A10,data_llm!$F:$F,TRUE)</f>
        <v/>
      </c>
      <c r="L10">
        <f>J10-K10</f>
        <v/>
      </c>
      <c r="M10">
        <f>IF(J10=0,"",ROUND(100*K10/J10,1))</f>
        <v/>
      </c>
      <c r="N10">
        <f>IF(F10=0,"",ROUND(E10*G10/F10,0))</f>
        <v/>
      </c>
    </row>
    <row r="11">
      <c r="A11" t="inlineStr">
        <is>
          <t>clarity-16</t>
        </is>
      </c>
      <c r="B11" t="inlineStr">
        <is>
          <t>Major</t>
        </is>
      </c>
      <c r="C11" t="inlineStr">
        <is>
          <t>Cyclomatic Complexity</t>
        </is>
      </c>
      <c r="D11">
        <f>COUNTIFS(data_hits!$A:$A,"udemy-top-down-shooter",data_hits!$C:$C,$A11)</f>
        <v/>
      </c>
      <c r="E11">
        <f>SUM(D11:D11)</f>
        <v/>
      </c>
      <c r="F11">
        <f>G11+H11</f>
        <v/>
      </c>
      <c r="G11">
        <f>COUNTIFS(data_adj!$A:$A,"udemy-top-down-shooter",data_adj!$C:$C,$A11,data_adj!$E:$E,"TP")</f>
        <v/>
      </c>
      <c r="H11">
        <f>COUNTIFS(data_adj!$A:$A,"udemy-top-down-shooter",data_adj!$C:$C,$A11,data_adj!$E:$E,"FP")</f>
        <v/>
      </c>
      <c r="I11">
        <f>IF(F11=0,"",ROUND(100*G11/F11,1))</f>
        <v/>
      </c>
      <c r="J11">
        <f>COUNTIFS(data_llm!$A:$A,"udemy-top-down-shooter",data_llm!$C:$C,$A11)</f>
        <v/>
      </c>
      <c r="K11">
        <f>COUNTIFS(data_llm!$A:$A,"udemy-top-down-shooter",data_llm!$C:$C,$A11,data_llm!$F:$F,TRUE)</f>
        <v/>
      </c>
      <c r="L11">
        <f>J11-K11</f>
        <v/>
      </c>
      <c r="M11">
        <f>IF(J11=0,"",ROUND(100*K11/J11,1))</f>
        <v/>
      </c>
      <c r="N11">
        <f>IF(F11=0,"",ROUND(E11*G11/F11,0))</f>
        <v/>
      </c>
    </row>
    <row r="12">
      <c r="A12" t="inlineStr">
        <is>
          <t>clarity-17</t>
        </is>
      </c>
      <c r="B12" t="inlineStr">
        <is>
          <t>Moderate</t>
        </is>
      </c>
      <c r="C12" t="inlineStr">
        <is>
          <t>Function Length</t>
        </is>
      </c>
      <c r="D12">
        <f>COUNTIFS(data_hits!$A:$A,"udemy-top-down-shooter",data_hits!$C:$C,$A12)</f>
        <v/>
      </c>
      <c r="E12">
        <f>SUM(D12:D12)</f>
        <v/>
      </c>
      <c r="F12">
        <f>G12+H12</f>
        <v/>
      </c>
      <c r="G12">
        <f>COUNTIFS(data_adj!$A:$A,"udemy-top-down-shooter",data_adj!$C:$C,$A12,data_adj!$E:$E,"TP")</f>
        <v/>
      </c>
      <c r="H12">
        <f>COUNTIFS(data_adj!$A:$A,"udemy-top-down-shooter",data_adj!$C:$C,$A12,data_adj!$E:$E,"FP")</f>
        <v/>
      </c>
      <c r="I12">
        <f>IF(F12=0,"",ROUND(100*G12/F12,1))</f>
        <v/>
      </c>
      <c r="J12">
        <f>COUNTIFS(data_llm!$A:$A,"udemy-top-down-shooter",data_llm!$C:$C,$A12)</f>
        <v/>
      </c>
      <c r="K12">
        <f>COUNTIFS(data_llm!$A:$A,"udemy-top-down-shooter",data_llm!$C:$C,$A12,data_llm!$F:$F,TRUE)</f>
        <v/>
      </c>
      <c r="L12">
        <f>J12-K12</f>
        <v/>
      </c>
      <c r="M12">
        <f>IF(J12=0,"",ROUND(100*K12/J12,1))</f>
        <v/>
      </c>
      <c r="N12">
        <f>IF(F12=0,"",ROUND(E12*G12/F12,0))</f>
        <v/>
      </c>
    </row>
    <row r="13">
      <c r="A13" t="inlineStr">
        <is>
          <t>ddd-01</t>
        </is>
      </c>
      <c r="B13" t="inlineStr">
        <is>
          <t>Major</t>
        </is>
      </c>
      <c r="C13" t="inlineStr">
        <is>
          <t>Value Object Mutability</t>
        </is>
      </c>
      <c r="D13">
        <f>COUNTIFS(data_hits!$A:$A,"udemy-top-down-shooter",data_hits!$C:$C,$A13)</f>
        <v/>
      </c>
      <c r="E13">
        <f>SUM(D13:D13)</f>
        <v/>
      </c>
      <c r="F13">
        <f>G13+H13</f>
        <v/>
      </c>
      <c r="G13">
        <f>COUNTIFS(data_adj!$A:$A,"udemy-top-down-shooter",data_adj!$C:$C,$A13,data_adj!$E:$E,"TP")</f>
        <v/>
      </c>
      <c r="H13">
        <f>COUNTIFS(data_adj!$A:$A,"udemy-top-down-shooter",data_adj!$C:$C,$A13,data_adj!$E:$E,"FP")</f>
        <v/>
      </c>
      <c r="I13">
        <f>IF(F13=0,"",ROUND(100*G13/F13,1))</f>
        <v/>
      </c>
      <c r="J13">
        <f>COUNTIFS(data_llm!$A:$A,"udemy-top-down-shooter",data_llm!$C:$C,$A13)</f>
        <v/>
      </c>
      <c r="K13">
        <f>COUNTIFS(data_llm!$A:$A,"udemy-top-down-shooter",data_llm!$C:$C,$A13,data_llm!$F:$F,TRUE)</f>
        <v/>
      </c>
      <c r="L13">
        <f>J13-K13</f>
        <v/>
      </c>
      <c r="M13">
        <f>IF(J13=0,"",ROUND(100*K13/J13,1))</f>
        <v/>
      </c>
      <c r="N13">
        <f>IF(F13=0,"",ROUND(E13*G13/F13,0))</f>
        <v/>
      </c>
    </row>
    <row r="14">
      <c r="A14" t="inlineStr">
        <is>
          <t>ddd-06</t>
        </is>
      </c>
      <c r="B14" t="inlineStr">
        <is>
          <t>Major</t>
        </is>
      </c>
      <c r="C14" t="inlineStr">
        <is>
          <t>Bounded Context Coupling</t>
        </is>
      </c>
      <c r="D14">
        <f>COUNTIFS(data_hits!$A:$A,"udemy-top-down-shooter",data_hits!$C:$C,$A14)</f>
        <v/>
      </c>
      <c r="E14">
        <f>SUM(D14:D14)</f>
        <v/>
      </c>
      <c r="F14">
        <f>G14+H14</f>
        <v/>
      </c>
      <c r="G14">
        <f>COUNTIFS(data_adj!$A:$A,"udemy-top-down-shooter",data_adj!$C:$C,$A14,data_adj!$E:$E,"TP")</f>
        <v/>
      </c>
      <c r="H14">
        <f>COUNTIFS(data_adj!$A:$A,"udemy-top-down-shooter",data_adj!$C:$C,$A14,data_adj!$E:$E,"FP")</f>
        <v/>
      </c>
      <c r="I14">
        <f>IF(F14=0,"",ROUND(100*G14/F14,1))</f>
        <v/>
      </c>
      <c r="J14">
        <f>COUNTIFS(data_llm!$A:$A,"udemy-top-down-shooter",data_llm!$C:$C,$A14)</f>
        <v/>
      </c>
      <c r="K14">
        <f>COUNTIFS(data_llm!$A:$A,"udemy-top-down-shooter",data_llm!$C:$C,$A14,data_llm!$F:$F,TRUE)</f>
        <v/>
      </c>
      <c r="L14">
        <f>J14-K14</f>
        <v/>
      </c>
      <c r="M14">
        <f>IF(J14=0,"",ROUND(100*K14/J14,1))</f>
        <v/>
      </c>
      <c r="N14">
        <f>IF(F14=0,"",ROUND(E14*G14/F14,0))</f>
        <v/>
      </c>
    </row>
    <row r="15">
      <c r="A15" t="inlineStr">
        <is>
          <t>ddd-07</t>
        </is>
      </c>
      <c r="B15" t="inlineStr">
        <is>
          <t>Major</t>
        </is>
      </c>
      <c r="C15" t="inlineStr">
        <is>
          <t>Mutable Collection Leaked from Aggregate</t>
        </is>
      </c>
      <c r="D15">
        <f>COUNTIFS(data_hits!$A:$A,"udemy-top-down-shooter",data_hits!$C:$C,$A15)</f>
        <v/>
      </c>
      <c r="E15">
        <f>SUM(D15:D15)</f>
        <v/>
      </c>
      <c r="F15">
        <f>G15+H15</f>
        <v/>
      </c>
      <c r="G15">
        <f>COUNTIFS(data_adj!$A:$A,"udemy-top-down-shooter",data_adj!$C:$C,$A15,data_adj!$E:$E,"TP")</f>
        <v/>
      </c>
      <c r="H15">
        <f>COUNTIFS(data_adj!$A:$A,"udemy-top-down-shooter",data_adj!$C:$C,$A15,data_adj!$E:$E,"FP")</f>
        <v/>
      </c>
      <c r="I15">
        <f>IF(F15=0,"",ROUND(100*G15/F15,1))</f>
        <v/>
      </c>
      <c r="J15">
        <f>COUNTIFS(data_llm!$A:$A,"udemy-top-down-shooter",data_llm!$C:$C,$A15)</f>
        <v/>
      </c>
      <c r="K15">
        <f>COUNTIFS(data_llm!$A:$A,"udemy-top-down-shooter",data_llm!$C:$C,$A15,data_llm!$F:$F,TRUE)</f>
        <v/>
      </c>
      <c r="L15">
        <f>J15-K15</f>
        <v/>
      </c>
      <c r="M15">
        <f>IF(J15=0,"",ROUND(100*K15/J15,1))</f>
        <v/>
      </c>
      <c r="N15">
        <f>IF(F15=0,"",ROUND(E15*G15/F15,0))</f>
        <v/>
      </c>
    </row>
    <row r="16">
      <c r="A16" t="inlineStr">
        <is>
          <t>safety-01</t>
        </is>
      </c>
      <c r="B16" t="inlineStr">
        <is>
          <t>Critical</t>
        </is>
      </c>
      <c r="C16" t="inlineStr">
        <is>
          <t>Resource Leak</t>
        </is>
      </c>
      <c r="D16">
        <f>COUNTIFS(data_hits!$A:$A,"udemy-top-down-shooter",data_hits!$C:$C,$A16)</f>
        <v/>
      </c>
      <c r="E16">
        <f>SUM(D16:D16)</f>
        <v/>
      </c>
      <c r="F16">
        <f>G16+H16</f>
        <v/>
      </c>
      <c r="G16">
        <f>COUNTIFS(data_adj!$A:$A,"udemy-top-down-shooter",data_adj!$C:$C,$A16,data_adj!$E:$E,"TP")</f>
        <v/>
      </c>
      <c r="H16">
        <f>COUNTIFS(data_adj!$A:$A,"udemy-top-down-shooter",data_adj!$C:$C,$A16,data_adj!$E:$E,"FP")</f>
        <v/>
      </c>
      <c r="I16">
        <f>IF(F16=0,"",ROUND(100*G16/F16,1))</f>
        <v/>
      </c>
      <c r="J16">
        <f>COUNTIFS(data_llm!$A:$A,"udemy-top-down-shooter",data_llm!$C:$C,$A16)</f>
        <v/>
      </c>
      <c r="K16">
        <f>COUNTIFS(data_llm!$A:$A,"udemy-top-down-shooter",data_llm!$C:$C,$A16,data_llm!$F:$F,TRUE)</f>
        <v/>
      </c>
      <c r="L16">
        <f>J16-K16</f>
        <v/>
      </c>
      <c r="M16">
        <f>IF(J16=0,"",ROUND(100*K16/J16,1))</f>
        <v/>
      </c>
      <c r="N16">
        <f>IF(F16=0,"",ROUND(E16*G16/F16,0))</f>
        <v/>
      </c>
    </row>
    <row r="17">
      <c r="A17" t="inlineStr">
        <is>
          <t>safety-02</t>
        </is>
      </c>
      <c r="B17" t="inlineStr">
        <is>
          <t>Critical</t>
        </is>
      </c>
      <c r="C17" t="inlineStr">
        <is>
          <t>Unsafe Null Dereference / Force Unwrap</t>
        </is>
      </c>
      <c r="D17">
        <f>COUNTIFS(data_hits!$A:$A,"udemy-top-down-shooter",data_hits!$C:$C,$A17)</f>
        <v/>
      </c>
      <c r="E17">
        <f>SUM(D17:D17)</f>
        <v/>
      </c>
      <c r="F17">
        <f>G17+H17</f>
        <v/>
      </c>
      <c r="G17">
        <f>COUNTIFS(data_adj!$A:$A,"udemy-top-down-shooter",data_adj!$C:$C,$A17,data_adj!$E:$E,"TP")</f>
        <v/>
      </c>
      <c r="H17">
        <f>COUNTIFS(data_adj!$A:$A,"udemy-top-down-shooter",data_adj!$C:$C,$A17,data_adj!$E:$E,"FP")</f>
        <v/>
      </c>
      <c r="I17">
        <f>IF(F17=0,"",ROUND(100*G17/F17,1))</f>
        <v/>
      </c>
      <c r="J17">
        <f>COUNTIFS(data_llm!$A:$A,"udemy-top-down-shooter",data_llm!$C:$C,$A17)</f>
        <v/>
      </c>
      <c r="K17">
        <f>COUNTIFS(data_llm!$A:$A,"udemy-top-down-shooter",data_llm!$C:$C,$A17,data_llm!$F:$F,TRUE)</f>
        <v/>
      </c>
      <c r="L17">
        <f>J17-K17</f>
        <v/>
      </c>
      <c r="M17">
        <f>IF(J17=0,"",ROUND(100*K17/J17,1))</f>
        <v/>
      </c>
      <c r="N17">
        <f>IF(F17=0,"",ROUND(E17*G17/F17,0))</f>
        <v/>
      </c>
    </row>
    <row r="18">
      <c r="A18" t="inlineStr">
        <is>
          <t>safety-03</t>
        </is>
      </c>
      <c r="B18" t="inlineStr">
        <is>
          <t>Major</t>
        </is>
      </c>
      <c r="C18" t="inlineStr">
        <is>
          <t>Fire-and-Forget Async Without Error Handling</t>
        </is>
      </c>
      <c r="D18">
        <f>COUNTIFS(data_hits!$A:$A,"udemy-top-down-shooter",data_hits!$C:$C,$A18)</f>
        <v/>
      </c>
      <c r="E18">
        <f>SUM(D18:D18)</f>
        <v/>
      </c>
      <c r="F18">
        <f>G18+H18</f>
        <v/>
      </c>
      <c r="G18">
        <f>COUNTIFS(data_adj!$A:$A,"udemy-top-down-shooter",data_adj!$C:$C,$A18,data_adj!$E:$E,"TP")</f>
        <v/>
      </c>
      <c r="H18">
        <f>COUNTIFS(data_adj!$A:$A,"udemy-top-down-shooter",data_adj!$C:$C,$A18,data_adj!$E:$E,"FP")</f>
        <v/>
      </c>
      <c r="I18">
        <f>IF(F18=0,"",ROUND(100*G18/F18,1))</f>
        <v/>
      </c>
      <c r="J18">
        <f>COUNTIFS(data_llm!$A:$A,"udemy-top-down-shooter",data_llm!$C:$C,$A18)</f>
        <v/>
      </c>
      <c r="K18">
        <f>COUNTIFS(data_llm!$A:$A,"udemy-top-down-shooter",data_llm!$C:$C,$A18,data_llm!$F:$F,TRUE)</f>
        <v/>
      </c>
      <c r="L18">
        <f>J18-K18</f>
        <v/>
      </c>
      <c r="M18">
        <f>IF(J18=0,"",ROUND(100*K18/J18,1))</f>
        <v/>
      </c>
      <c r="N18">
        <f>IF(F18=0,"",ROUND(E18*G18/F18,0))</f>
        <v/>
      </c>
    </row>
    <row r="19">
      <c r="A19" t="inlineStr">
        <is>
          <t>safety-05</t>
        </is>
      </c>
      <c r="B19" t="inlineStr">
        <is>
          <t>Critical</t>
        </is>
      </c>
      <c r="C19" t="inlineStr">
        <is>
          <t>Check-Then-Act Race Condition</t>
        </is>
      </c>
      <c r="D19">
        <f>COUNTIFS(data_hits!$A:$A,"udemy-top-down-shooter",data_hits!$C:$C,$A19)</f>
        <v/>
      </c>
      <c r="E19">
        <f>SUM(D19:D19)</f>
        <v/>
      </c>
      <c r="F19">
        <f>G19+H19</f>
        <v/>
      </c>
      <c r="G19">
        <f>COUNTIFS(data_adj!$A:$A,"udemy-top-down-shooter",data_adj!$C:$C,$A19,data_adj!$E:$E,"TP")</f>
        <v/>
      </c>
      <c r="H19">
        <f>COUNTIFS(data_adj!$A:$A,"udemy-top-down-shooter",data_adj!$C:$C,$A19,data_adj!$E:$E,"FP")</f>
        <v/>
      </c>
      <c r="I19">
        <f>IF(F19=0,"",ROUND(100*G19/F19,1))</f>
        <v/>
      </c>
      <c r="J19">
        <f>COUNTIFS(data_llm!$A:$A,"udemy-top-down-shooter",data_llm!$C:$C,$A19)</f>
        <v/>
      </c>
      <c r="K19">
        <f>COUNTIFS(data_llm!$A:$A,"udemy-top-down-shooter",data_llm!$C:$C,$A19,data_llm!$F:$F,TRUE)</f>
        <v/>
      </c>
      <c r="L19">
        <f>J19-K19</f>
        <v/>
      </c>
      <c r="M19">
        <f>IF(J19=0,"",ROUND(100*K19/J19,1))</f>
        <v/>
      </c>
      <c r="N19">
        <f>IF(F19=0,"",ROUND(E19*G19/F19,0))</f>
        <v/>
      </c>
    </row>
    <row r="20">
      <c r="A20" t="inlineStr">
        <is>
          <t>safety-06</t>
        </is>
      </c>
      <c r="B20" t="inlineStr">
        <is>
          <t>Major</t>
        </is>
      </c>
      <c r="C20" t="inlineStr">
        <is>
          <t>Blocking I/O in Async Context</t>
        </is>
      </c>
      <c r="D20">
        <f>COUNTIFS(data_hits!$A:$A,"udemy-top-down-shooter",data_hits!$C:$C,$A20)</f>
        <v/>
      </c>
      <c r="E20">
        <f>SUM(D20:D20)</f>
        <v/>
      </c>
      <c r="F20">
        <f>G20+H20</f>
        <v/>
      </c>
      <c r="G20">
        <f>COUNTIFS(data_adj!$A:$A,"udemy-top-down-shooter",data_adj!$C:$C,$A20,data_adj!$E:$E,"TP")</f>
        <v/>
      </c>
      <c r="H20">
        <f>COUNTIFS(data_adj!$A:$A,"udemy-top-down-shooter",data_adj!$C:$C,$A20,data_adj!$E:$E,"FP")</f>
        <v/>
      </c>
      <c r="I20">
        <f>IF(F20=0,"",ROUND(100*G20/F20,1))</f>
        <v/>
      </c>
      <c r="J20">
        <f>COUNTIFS(data_llm!$A:$A,"udemy-top-down-shooter",data_llm!$C:$C,$A20)</f>
        <v/>
      </c>
      <c r="K20">
        <f>COUNTIFS(data_llm!$A:$A,"udemy-top-down-shooter",data_llm!$C:$C,$A20,data_llm!$F:$F,TRUE)</f>
        <v/>
      </c>
      <c r="L20">
        <f>J20-K20</f>
        <v/>
      </c>
      <c r="M20">
        <f>IF(J20=0,"",ROUND(100*K20/J20,1))</f>
        <v/>
      </c>
      <c r="N20">
        <f>IF(F20=0,"",ROUND(E20*G20/F20,0))</f>
        <v/>
      </c>
    </row>
    <row r="21">
      <c r="A21" t="inlineStr">
        <is>
          <t>safety-07</t>
        </is>
      </c>
      <c r="B21" t="inlineStr">
        <is>
          <t>Moderate</t>
        </is>
      </c>
      <c r="C21" t="inlineStr">
        <is>
          <t>Suppressed Compiler/Linter Warnings</t>
        </is>
      </c>
      <c r="D21">
        <f>COUNTIFS(data_hits!$A:$A,"udemy-top-down-shooter",data_hits!$C:$C,$A21)</f>
        <v/>
      </c>
      <c r="E21">
        <f>SUM(D21:D21)</f>
        <v/>
      </c>
      <c r="F21">
        <f>G21+H21</f>
        <v/>
      </c>
      <c r="G21">
        <f>COUNTIFS(data_adj!$A:$A,"udemy-top-down-shooter",data_adj!$C:$C,$A21,data_adj!$E:$E,"TP")</f>
        <v/>
      </c>
      <c r="H21">
        <f>COUNTIFS(data_adj!$A:$A,"udemy-top-down-shooter",data_adj!$C:$C,$A21,data_adj!$E:$E,"FP")</f>
        <v/>
      </c>
      <c r="I21">
        <f>IF(F21=0,"",ROUND(100*G21/F21,1))</f>
        <v/>
      </c>
      <c r="J21">
        <f>COUNTIFS(data_llm!$A:$A,"udemy-top-down-shooter",data_llm!$C:$C,$A21)</f>
        <v/>
      </c>
      <c r="K21">
        <f>COUNTIFS(data_llm!$A:$A,"udemy-top-down-shooter",data_llm!$C:$C,$A21,data_llm!$F:$F,TRUE)</f>
        <v/>
      </c>
      <c r="L21">
        <f>J21-K21</f>
        <v/>
      </c>
      <c r="M21">
        <f>IF(J21=0,"",ROUND(100*K21/J21,1))</f>
        <v/>
      </c>
      <c r="N21">
        <f>IF(F21=0,"",ROUND(E21*G21/F21,0))</f>
        <v/>
      </c>
    </row>
    <row r="22">
      <c r="A22" t="inlineStr">
        <is>
          <t>safety-08</t>
        </is>
      </c>
      <c r="B22" t="inlineStr">
        <is>
          <t>Major</t>
        </is>
      </c>
      <c r="C22" t="inlineStr">
        <is>
          <t>External Call Without Timeout or Cancellation</t>
        </is>
      </c>
      <c r="D22">
        <f>COUNTIFS(data_hits!$A:$A,"udemy-top-down-shooter",data_hits!$C:$C,$A22)</f>
        <v/>
      </c>
      <c r="E22">
        <f>SUM(D22:D22)</f>
        <v/>
      </c>
      <c r="F22">
        <f>G22+H22</f>
        <v/>
      </c>
      <c r="G22">
        <f>COUNTIFS(data_adj!$A:$A,"udemy-top-down-shooter",data_adj!$C:$C,$A22,data_adj!$E:$E,"TP")</f>
        <v/>
      </c>
      <c r="H22">
        <f>COUNTIFS(data_adj!$A:$A,"udemy-top-down-shooter",data_adj!$C:$C,$A22,data_adj!$E:$E,"FP")</f>
        <v/>
      </c>
      <c r="I22">
        <f>IF(F22=0,"",ROUND(100*G22/F22,1))</f>
        <v/>
      </c>
      <c r="J22">
        <f>COUNTIFS(data_llm!$A:$A,"udemy-top-down-shooter",data_llm!$C:$C,$A22)</f>
        <v/>
      </c>
      <c r="K22">
        <f>COUNTIFS(data_llm!$A:$A,"udemy-top-down-shooter",data_llm!$C:$C,$A22,data_llm!$F:$F,TRUE)</f>
        <v/>
      </c>
      <c r="L22">
        <f>J22-K22</f>
        <v/>
      </c>
      <c r="M22">
        <f>IF(J22=0,"",ROUND(100*K22/J22,1))</f>
        <v/>
      </c>
      <c r="N22">
        <f>IF(F22=0,"",ROUND(E22*G22/F22,0))</f>
        <v/>
      </c>
    </row>
    <row r="23">
      <c r="A23" t="inlineStr">
        <is>
          <t>safety-09</t>
        </is>
      </c>
      <c r="B23" t="inlineStr">
        <is>
          <t>Critical</t>
        </is>
      </c>
      <c r="C23" t="inlineStr">
        <is>
          <t>Fire-and-Forget Async Method Declaration</t>
        </is>
      </c>
      <c r="D23">
        <f>COUNTIFS(data_hits!$A:$A,"udemy-top-down-shooter",data_hits!$C:$C,$A23)</f>
        <v/>
      </c>
      <c r="E23">
        <f>SUM(D23:D23)</f>
        <v/>
      </c>
      <c r="F23">
        <f>G23+H23</f>
        <v/>
      </c>
      <c r="G23">
        <f>COUNTIFS(data_adj!$A:$A,"udemy-top-down-shooter",data_adj!$C:$C,$A23,data_adj!$E:$E,"TP")</f>
        <v/>
      </c>
      <c r="H23">
        <f>COUNTIFS(data_adj!$A:$A,"udemy-top-down-shooter",data_adj!$C:$C,$A23,data_adj!$E:$E,"FP")</f>
        <v/>
      </c>
      <c r="I23">
        <f>IF(F23=0,"",ROUND(100*G23/F23,1))</f>
        <v/>
      </c>
      <c r="J23">
        <f>COUNTIFS(data_llm!$A:$A,"udemy-top-down-shooter",data_llm!$C:$C,$A23)</f>
        <v/>
      </c>
      <c r="K23">
        <f>COUNTIFS(data_llm!$A:$A,"udemy-top-down-shooter",data_llm!$C:$C,$A23,data_llm!$F:$F,TRUE)</f>
        <v/>
      </c>
      <c r="L23">
        <f>J23-K23</f>
        <v/>
      </c>
      <c r="M23">
        <f>IF(J23=0,"",ROUND(100*K23/J23,1))</f>
        <v/>
      </c>
      <c r="N23">
        <f>IF(F23=0,"",ROUND(E23*G23/F23,0))</f>
        <v/>
      </c>
    </row>
    <row r="24">
      <c r="A24" t="inlineStr">
        <is>
          <t>safety-10</t>
        </is>
      </c>
      <c r="B24" t="inlineStr">
        <is>
          <t>Major</t>
        </is>
      </c>
      <c r="C24" t="inlineStr">
        <is>
          <t>Exception Cause Discarded on Rethrow</t>
        </is>
      </c>
      <c r="D24">
        <f>COUNTIFS(data_hits!$A:$A,"udemy-top-down-shooter",data_hits!$C:$C,$A24)</f>
        <v/>
      </c>
      <c r="E24">
        <f>SUM(D24:D24)</f>
        <v/>
      </c>
      <c r="F24">
        <f>G24+H24</f>
        <v/>
      </c>
      <c r="G24">
        <f>COUNTIFS(data_adj!$A:$A,"udemy-top-down-shooter",data_adj!$C:$C,$A24,data_adj!$E:$E,"TP")</f>
        <v/>
      </c>
      <c r="H24">
        <f>COUNTIFS(data_adj!$A:$A,"udemy-top-down-shooter",data_adj!$C:$C,$A24,data_adj!$E:$E,"FP")</f>
        <v/>
      </c>
      <c r="I24">
        <f>IF(F24=0,"",ROUND(100*G24/F24,1))</f>
        <v/>
      </c>
      <c r="J24">
        <f>COUNTIFS(data_llm!$A:$A,"udemy-top-down-shooter",data_llm!$C:$C,$A24)</f>
        <v/>
      </c>
      <c r="K24">
        <f>COUNTIFS(data_llm!$A:$A,"udemy-top-down-shooter",data_llm!$C:$C,$A24,data_llm!$F:$F,TRUE)</f>
        <v/>
      </c>
      <c r="L24">
        <f>J24-K24</f>
        <v/>
      </c>
      <c r="M24">
        <f>IF(J24=0,"",ROUND(100*K24/J24,1))</f>
        <v/>
      </c>
      <c r="N24">
        <f>IF(F24=0,"",ROUND(E24*G24/F24,0))</f>
        <v/>
      </c>
    </row>
    <row r="25">
      <c r="A25" t="inlineStr">
        <is>
          <t>safety-11</t>
        </is>
      </c>
      <c r="B25" t="inlineStr">
        <is>
          <t>Major</t>
        </is>
      </c>
      <c r="C25" t="inlineStr">
        <is>
          <t>Unabstracted Clock, Randomness, or Identifier in Production Code</t>
        </is>
      </c>
      <c r="D25">
        <f>COUNTIFS(data_hits!$A:$A,"udemy-top-down-shooter",data_hits!$C:$C,$A25)</f>
        <v/>
      </c>
      <c r="E25">
        <f>SUM(D25:D25)</f>
        <v/>
      </c>
      <c r="F25">
        <f>G25+H25</f>
        <v/>
      </c>
      <c r="G25">
        <f>COUNTIFS(data_adj!$A:$A,"udemy-top-down-shooter",data_adj!$C:$C,$A25,data_adj!$E:$E,"TP")</f>
        <v/>
      </c>
      <c r="H25">
        <f>COUNTIFS(data_adj!$A:$A,"udemy-top-down-shooter",data_adj!$C:$C,$A25,data_adj!$E:$E,"FP")</f>
        <v/>
      </c>
      <c r="I25">
        <f>IF(F25=0,"",ROUND(100*G25/F25,1))</f>
        <v/>
      </c>
      <c r="J25">
        <f>COUNTIFS(data_llm!$A:$A,"udemy-top-down-shooter",data_llm!$C:$C,$A25)</f>
        <v/>
      </c>
      <c r="K25">
        <f>COUNTIFS(data_llm!$A:$A,"udemy-top-down-shooter",data_llm!$C:$C,$A25,data_llm!$F:$F,TRUE)</f>
        <v/>
      </c>
      <c r="L25">
        <f>J25-K25</f>
        <v/>
      </c>
      <c r="M25">
        <f>IF(J25=0,"",ROUND(100*K25/J25,1))</f>
        <v/>
      </c>
      <c r="N25">
        <f>IF(F25=0,"",ROUND(E25*G25/F25,0))</f>
        <v/>
      </c>
    </row>
    <row r="26">
      <c r="A26" t="inlineStr">
        <is>
          <t>safety-12</t>
        </is>
      </c>
      <c r="B26" t="inlineStr">
        <is>
          <t>Major</t>
        </is>
      </c>
      <c r="C26" t="inlineStr">
        <is>
          <t>Mutable Default Parameter Value</t>
        </is>
      </c>
      <c r="D26">
        <f>COUNTIFS(data_hits!$A:$A,"udemy-top-down-shooter",data_hits!$C:$C,$A26)</f>
        <v/>
      </c>
      <c r="E26">
        <f>SUM(D26:D26)</f>
        <v/>
      </c>
      <c r="F26">
        <f>G26+H26</f>
        <v/>
      </c>
      <c r="G26">
        <f>COUNTIFS(data_adj!$A:$A,"udemy-top-down-shooter",data_adj!$C:$C,$A26,data_adj!$E:$E,"TP")</f>
        <v/>
      </c>
      <c r="H26">
        <f>COUNTIFS(data_adj!$A:$A,"udemy-top-down-shooter",data_adj!$C:$C,$A26,data_adj!$E:$E,"FP")</f>
        <v/>
      </c>
      <c r="I26">
        <f>IF(F26=0,"",ROUND(100*G26/F26,1))</f>
        <v/>
      </c>
      <c r="J26">
        <f>COUNTIFS(data_llm!$A:$A,"udemy-top-down-shooter",data_llm!$C:$C,$A26)</f>
        <v/>
      </c>
      <c r="K26">
        <f>COUNTIFS(data_llm!$A:$A,"udemy-top-down-shooter",data_llm!$C:$C,$A26,data_llm!$F:$F,TRUE)</f>
        <v/>
      </c>
      <c r="L26">
        <f>J26-K26</f>
        <v/>
      </c>
      <c r="M26">
        <f>IF(J26=0,"",ROUND(100*K26/J26,1))</f>
        <v/>
      </c>
      <c r="N26">
        <f>IF(F26=0,"",ROUND(E26*G26/F26,0))</f>
        <v/>
      </c>
    </row>
    <row r="27">
      <c r="A27" t="inlineStr">
        <is>
          <t>safety-13</t>
        </is>
      </c>
      <c r="B27" t="inlineStr">
        <is>
          <t>Major</t>
        </is>
      </c>
      <c r="C27" t="inlineStr">
        <is>
          <t>Assertion Used as Production Validation</t>
        </is>
      </c>
      <c r="D27">
        <f>COUNTIFS(data_hits!$A:$A,"udemy-top-down-shooter",data_hits!$C:$C,$A27)</f>
        <v/>
      </c>
      <c r="E27">
        <f>SUM(D27:D27)</f>
        <v/>
      </c>
      <c r="F27">
        <f>G27+H27</f>
        <v/>
      </c>
      <c r="G27">
        <f>COUNTIFS(data_adj!$A:$A,"udemy-top-down-shooter",data_adj!$C:$C,$A27,data_adj!$E:$E,"TP")</f>
        <v/>
      </c>
      <c r="H27">
        <f>COUNTIFS(data_adj!$A:$A,"udemy-top-down-shooter",data_adj!$C:$C,$A27,data_adj!$E:$E,"FP")</f>
        <v/>
      </c>
      <c r="I27">
        <f>IF(F27=0,"",ROUND(100*G27/F27,1))</f>
        <v/>
      </c>
      <c r="J27">
        <f>COUNTIFS(data_llm!$A:$A,"udemy-top-down-shooter",data_llm!$C:$C,$A27)</f>
        <v/>
      </c>
      <c r="K27">
        <f>COUNTIFS(data_llm!$A:$A,"udemy-top-down-shooter",data_llm!$C:$C,$A27,data_llm!$F:$F,TRUE)</f>
        <v/>
      </c>
      <c r="L27">
        <f>J27-K27</f>
        <v/>
      </c>
      <c r="M27">
        <f>IF(J27=0,"",ROUND(100*K27/J27,1))</f>
        <v/>
      </c>
      <c r="N27">
        <f>IF(F27=0,"",ROUND(E27*G27/F27,0))</f>
        <v/>
      </c>
    </row>
    <row r="28">
      <c r="A28" t="inlineStr">
        <is>
          <t>safety-14</t>
        </is>
      </c>
      <c r="B28" t="inlineStr">
        <is>
          <t>Critical</t>
        </is>
      </c>
      <c r="C28" t="inlineStr">
        <is>
          <t>Hardcoded Credential</t>
        </is>
      </c>
      <c r="D28">
        <f>COUNTIFS(data_hits!$A:$A,"udemy-top-down-shooter",data_hits!$C:$C,$A28)</f>
        <v/>
      </c>
      <c r="E28">
        <f>SUM(D28:D28)</f>
        <v/>
      </c>
      <c r="F28">
        <f>G28+H28</f>
        <v/>
      </c>
      <c r="G28">
        <f>COUNTIFS(data_adj!$A:$A,"udemy-top-down-shooter",data_adj!$C:$C,$A28,data_adj!$E:$E,"TP")</f>
        <v/>
      </c>
      <c r="H28">
        <f>COUNTIFS(data_adj!$A:$A,"udemy-top-down-shooter",data_adj!$C:$C,$A28,data_adj!$E:$E,"FP")</f>
        <v/>
      </c>
      <c r="I28">
        <f>IF(F28=0,"",ROUND(100*G28/F28,1))</f>
        <v/>
      </c>
      <c r="J28">
        <f>COUNTIFS(data_llm!$A:$A,"udemy-top-down-shooter",data_llm!$C:$C,$A28)</f>
        <v/>
      </c>
      <c r="K28">
        <f>COUNTIFS(data_llm!$A:$A,"udemy-top-down-shooter",data_llm!$C:$C,$A28,data_llm!$F:$F,TRUE)</f>
        <v/>
      </c>
      <c r="L28">
        <f>J28-K28</f>
        <v/>
      </c>
      <c r="M28">
        <f>IF(J28=0,"",ROUND(100*K28/J28,1))</f>
        <v/>
      </c>
      <c r="N28">
        <f>IF(F28=0,"",ROUND(E28*G28/F28,0))</f>
        <v/>
      </c>
    </row>
    <row r="29">
      <c r="A29" t="inlineStr">
        <is>
          <t>safety-15</t>
        </is>
      </c>
      <c r="B29" t="inlineStr">
        <is>
          <t>Critical</t>
        </is>
      </c>
      <c r="C29" t="inlineStr">
        <is>
          <t>Query Built by String Concatenation</t>
        </is>
      </c>
      <c r="D29">
        <f>COUNTIFS(data_hits!$A:$A,"udemy-top-down-shooter",data_hits!$C:$C,$A29)</f>
        <v/>
      </c>
      <c r="E29">
        <f>SUM(D29:D29)</f>
        <v/>
      </c>
      <c r="F29">
        <f>G29+H29</f>
        <v/>
      </c>
      <c r="G29">
        <f>COUNTIFS(data_adj!$A:$A,"udemy-top-down-shooter",data_adj!$C:$C,$A29,data_adj!$E:$E,"TP")</f>
        <v/>
      </c>
      <c r="H29">
        <f>COUNTIFS(data_adj!$A:$A,"udemy-top-down-shooter",data_adj!$C:$C,$A29,data_adj!$E:$E,"FP")</f>
        <v/>
      </c>
      <c r="I29">
        <f>IF(F29=0,"",ROUND(100*G29/F29,1))</f>
        <v/>
      </c>
      <c r="J29">
        <f>COUNTIFS(data_llm!$A:$A,"udemy-top-down-shooter",data_llm!$C:$C,$A29)</f>
        <v/>
      </c>
      <c r="K29">
        <f>COUNTIFS(data_llm!$A:$A,"udemy-top-down-shooter",data_llm!$C:$C,$A29,data_llm!$F:$F,TRUE)</f>
        <v/>
      </c>
      <c r="L29">
        <f>J29-K29</f>
        <v/>
      </c>
      <c r="M29">
        <f>IF(J29=0,"",ROUND(100*K29/J29,1))</f>
        <v/>
      </c>
      <c r="N29">
        <f>IF(F29=0,"",ROUND(E29*G29/F29,0))</f>
        <v/>
      </c>
    </row>
    <row r="30">
      <c r="A30" t="inlineStr">
        <is>
          <t>safety-16</t>
        </is>
      </c>
      <c r="B30" t="inlineStr">
        <is>
          <t>Major</t>
        </is>
      </c>
      <c r="C30" t="inlineStr">
        <is>
          <t>Money Held in a Binary Floating-Point Type</t>
        </is>
      </c>
      <c r="D30">
        <f>COUNTIFS(data_hits!$A:$A,"udemy-top-down-shooter",data_hits!$C:$C,$A30)</f>
        <v/>
      </c>
      <c r="E30">
        <f>SUM(D30:D30)</f>
        <v/>
      </c>
      <c r="F30">
        <f>G30+H30</f>
        <v/>
      </c>
      <c r="G30">
        <f>COUNTIFS(data_adj!$A:$A,"udemy-top-down-shooter",data_adj!$C:$C,$A30,data_adj!$E:$E,"TP")</f>
        <v/>
      </c>
      <c r="H30">
        <f>COUNTIFS(data_adj!$A:$A,"udemy-top-down-shooter",data_adj!$C:$C,$A30,data_adj!$E:$E,"FP")</f>
        <v/>
      </c>
      <c r="I30">
        <f>IF(F30=0,"",ROUND(100*G30/F30,1))</f>
        <v/>
      </c>
      <c r="J30">
        <f>COUNTIFS(data_llm!$A:$A,"udemy-top-down-shooter",data_llm!$C:$C,$A30)</f>
        <v/>
      </c>
      <c r="K30">
        <f>COUNTIFS(data_llm!$A:$A,"udemy-top-down-shooter",data_llm!$C:$C,$A30,data_llm!$F:$F,TRUE)</f>
        <v/>
      </c>
      <c r="L30">
        <f>J30-K30</f>
        <v/>
      </c>
      <c r="M30">
        <f>IF(J30=0,"",ROUND(100*K30/J30,1))</f>
        <v/>
      </c>
      <c r="N30">
        <f>IF(F30=0,"",ROUND(E30*G30/F30,0))</f>
        <v/>
      </c>
    </row>
    <row r="31">
      <c r="A31" t="inlineStr">
        <is>
          <t>safety-17</t>
        </is>
      </c>
      <c r="B31" t="inlineStr">
        <is>
          <t>Critical</t>
        </is>
      </c>
      <c r="C31" t="inlineStr">
        <is>
          <t>Weak or Broken Cryptographic Primitive</t>
        </is>
      </c>
      <c r="D31">
        <f>COUNTIFS(data_hits!$A:$A,"udemy-top-down-shooter",data_hits!$C:$C,$A31)</f>
        <v/>
      </c>
      <c r="E31">
        <f>SUM(D31:D31)</f>
        <v/>
      </c>
      <c r="F31">
        <f>G31+H31</f>
        <v/>
      </c>
      <c r="G31">
        <f>COUNTIFS(data_adj!$A:$A,"udemy-top-down-shooter",data_adj!$C:$C,$A31,data_adj!$E:$E,"TP")</f>
        <v/>
      </c>
      <c r="H31">
        <f>COUNTIFS(data_adj!$A:$A,"udemy-top-down-shooter",data_adj!$C:$C,$A31,data_adj!$E:$E,"FP")</f>
        <v/>
      </c>
      <c r="I31">
        <f>IF(F31=0,"",ROUND(100*G31/F31,1))</f>
        <v/>
      </c>
      <c r="J31">
        <f>COUNTIFS(data_llm!$A:$A,"udemy-top-down-shooter",data_llm!$C:$C,$A31)</f>
        <v/>
      </c>
      <c r="K31">
        <f>COUNTIFS(data_llm!$A:$A,"udemy-top-down-shooter",data_llm!$C:$C,$A31,data_llm!$F:$F,TRUE)</f>
        <v/>
      </c>
      <c r="L31">
        <f>J31-K31</f>
        <v/>
      </c>
      <c r="M31">
        <f>IF(J31=0,"",ROUND(100*K31/J31,1))</f>
        <v/>
      </c>
      <c r="N31">
        <f>IF(F31=0,"",ROUND(E31*G31/F31,0))</f>
        <v/>
      </c>
    </row>
    <row r="32">
      <c r="A32" t="inlineStr">
        <is>
          <t>safety-18</t>
        </is>
      </c>
      <c r="B32" t="inlineStr">
        <is>
          <t>Critical</t>
        </is>
      </c>
      <c r="C32" t="inlineStr">
        <is>
          <t>TLS or Certificate Verification Disabled</t>
        </is>
      </c>
      <c r="D32">
        <f>COUNTIFS(data_hits!$A:$A,"udemy-top-down-shooter",data_hits!$C:$C,$A32)</f>
        <v/>
      </c>
      <c r="E32">
        <f>SUM(D32:D32)</f>
        <v/>
      </c>
      <c r="F32">
        <f>G32+H32</f>
        <v/>
      </c>
      <c r="G32">
        <f>COUNTIFS(data_adj!$A:$A,"udemy-top-down-shooter",data_adj!$C:$C,$A32,data_adj!$E:$E,"TP")</f>
        <v/>
      </c>
      <c r="H32">
        <f>COUNTIFS(data_adj!$A:$A,"udemy-top-down-shooter",data_adj!$C:$C,$A32,data_adj!$E:$E,"FP")</f>
        <v/>
      </c>
      <c r="I32">
        <f>IF(F32=0,"",ROUND(100*G32/F32,1))</f>
        <v/>
      </c>
      <c r="J32">
        <f>COUNTIFS(data_llm!$A:$A,"udemy-top-down-shooter",data_llm!$C:$C,$A32)</f>
        <v/>
      </c>
      <c r="K32">
        <f>COUNTIFS(data_llm!$A:$A,"udemy-top-down-shooter",data_llm!$C:$C,$A32,data_llm!$F:$F,TRUE)</f>
        <v/>
      </c>
      <c r="L32">
        <f>J32-K32</f>
        <v/>
      </c>
      <c r="M32">
        <f>IF(J32=0,"",ROUND(100*K32/J32,1))</f>
        <v/>
      </c>
      <c r="N32">
        <f>IF(F32=0,"",ROUND(E32*G32/F32,0))</f>
        <v/>
      </c>
    </row>
    <row r="33">
      <c r="A33" t="inlineStr">
        <is>
          <t>safety-19</t>
        </is>
      </c>
      <c r="B33" t="inlineStr">
        <is>
          <t>Critical</t>
        </is>
      </c>
      <c r="C33" t="inlineStr">
        <is>
          <t>OS Command or Code Injection Surface</t>
        </is>
      </c>
      <c r="D33">
        <f>COUNTIFS(data_hits!$A:$A,"udemy-top-down-shooter",data_hits!$C:$C,$A33)</f>
        <v/>
      </c>
      <c r="E33">
        <f>SUM(D33:D33)</f>
        <v/>
      </c>
      <c r="F33">
        <f>G33+H33</f>
        <v/>
      </c>
      <c r="G33">
        <f>COUNTIFS(data_adj!$A:$A,"udemy-top-down-shooter",data_adj!$C:$C,$A33,data_adj!$E:$E,"TP")</f>
        <v/>
      </c>
      <c r="H33">
        <f>COUNTIFS(data_adj!$A:$A,"udemy-top-down-shooter",data_adj!$C:$C,$A33,data_adj!$E:$E,"FP")</f>
        <v/>
      </c>
      <c r="I33">
        <f>IF(F33=0,"",ROUND(100*G33/F33,1))</f>
        <v/>
      </c>
      <c r="J33">
        <f>COUNTIFS(data_llm!$A:$A,"udemy-top-down-shooter",data_llm!$C:$C,$A33)</f>
        <v/>
      </c>
      <c r="K33">
        <f>COUNTIFS(data_llm!$A:$A,"udemy-top-down-shooter",data_llm!$C:$C,$A33,data_llm!$F:$F,TRUE)</f>
        <v/>
      </c>
      <c r="L33">
        <f>J33-K33</f>
        <v/>
      </c>
      <c r="M33">
        <f>IF(J33=0,"",ROUND(100*K33/J33,1))</f>
        <v/>
      </c>
      <c r="N33">
        <f>IF(F33=0,"",ROUND(E33*G33/F33,0))</f>
        <v/>
      </c>
    </row>
    <row r="34">
      <c r="A34" t="inlineStr">
        <is>
          <t>safety-20</t>
        </is>
      </c>
      <c r="B34" t="inlineStr">
        <is>
          <t>Critical</t>
        </is>
      </c>
      <c r="C34" t="inlineStr">
        <is>
          <t>Unsafe Deserialization of Untrusted Data</t>
        </is>
      </c>
      <c r="D34">
        <f>COUNTIFS(data_hits!$A:$A,"udemy-top-down-shooter",data_hits!$C:$C,$A34)</f>
        <v/>
      </c>
      <c r="E34">
        <f>SUM(D34:D34)</f>
        <v/>
      </c>
      <c r="F34">
        <f>G34+H34</f>
        <v/>
      </c>
      <c r="G34">
        <f>COUNTIFS(data_adj!$A:$A,"udemy-top-down-shooter",data_adj!$C:$C,$A34,data_adj!$E:$E,"TP")</f>
        <v/>
      </c>
      <c r="H34">
        <f>COUNTIFS(data_adj!$A:$A,"udemy-top-down-shooter",data_adj!$C:$C,$A34,data_adj!$E:$E,"FP")</f>
        <v/>
      </c>
      <c r="I34">
        <f>IF(F34=0,"",ROUND(100*G34/F34,1))</f>
        <v/>
      </c>
      <c r="J34">
        <f>COUNTIFS(data_llm!$A:$A,"udemy-top-down-shooter",data_llm!$C:$C,$A34)</f>
        <v/>
      </c>
      <c r="K34">
        <f>COUNTIFS(data_llm!$A:$A,"udemy-top-down-shooter",data_llm!$C:$C,$A34,data_llm!$F:$F,TRUE)</f>
        <v/>
      </c>
      <c r="L34">
        <f>J34-K34</f>
        <v/>
      </c>
      <c r="M34">
        <f>IF(J34=0,"",ROUND(100*K34/J34,1))</f>
        <v/>
      </c>
      <c r="N34">
        <f>IF(F34=0,"",ROUND(E34*G34/F34,0))</f>
        <v/>
      </c>
    </row>
    <row r="35">
      <c r="A35" t="inlineStr">
        <is>
          <t>safety-21</t>
        </is>
      </c>
      <c r="B35" t="inlineStr">
        <is>
          <t>Major</t>
        </is>
      </c>
      <c r="C35" t="inlineStr">
        <is>
          <t>String or Object Compared by Reference in Java</t>
        </is>
      </c>
      <c r="D35">
        <f>COUNTIFS(data_hits!$A:$A,"udemy-top-down-shooter",data_hits!$C:$C,$A35)</f>
        <v/>
      </c>
      <c r="E35">
        <f>SUM(D35:D35)</f>
        <v/>
      </c>
      <c r="F35">
        <f>G35+H35</f>
        <v/>
      </c>
      <c r="G35">
        <f>COUNTIFS(data_adj!$A:$A,"udemy-top-down-shooter",data_adj!$C:$C,$A35,data_adj!$E:$E,"TP")</f>
        <v/>
      </c>
      <c r="H35">
        <f>COUNTIFS(data_adj!$A:$A,"udemy-top-down-shooter",data_adj!$C:$C,$A35,data_adj!$E:$E,"FP")</f>
        <v/>
      </c>
      <c r="I35">
        <f>IF(F35=0,"",ROUND(100*G35/F35,1))</f>
        <v/>
      </c>
      <c r="J35">
        <f>COUNTIFS(data_llm!$A:$A,"udemy-top-down-shooter",data_llm!$C:$C,$A35)</f>
        <v/>
      </c>
      <c r="K35">
        <f>COUNTIFS(data_llm!$A:$A,"udemy-top-down-shooter",data_llm!$C:$C,$A35,data_llm!$F:$F,TRUE)</f>
        <v/>
      </c>
      <c r="L35">
        <f>J35-K35</f>
        <v/>
      </c>
      <c r="M35">
        <f>IF(J35=0,"",ROUND(100*K35/J35,1))</f>
        <v/>
      </c>
      <c r="N35">
        <f>IF(F35=0,"",ROUND(E35*G35/F35,0))</f>
        <v/>
      </c>
    </row>
    <row r="36">
      <c r="A36" t="inlineStr">
        <is>
          <t>smells-01</t>
        </is>
      </c>
      <c r="B36" t="inlineStr">
        <is>
          <t>Moderate</t>
        </is>
      </c>
      <c r="C36" t="inlineStr">
        <is>
          <t>File Length</t>
        </is>
      </c>
      <c r="D36">
        <f>COUNTIFS(data_hits!$A:$A,"udemy-top-down-shooter",data_hits!$C:$C,$A36)</f>
        <v/>
      </c>
      <c r="E36">
        <f>SUM(D36:D36)</f>
        <v/>
      </c>
      <c r="F36">
        <f>G36+H36</f>
        <v/>
      </c>
      <c r="G36">
        <f>COUNTIFS(data_adj!$A:$A,"udemy-top-down-shooter",data_adj!$C:$C,$A36,data_adj!$E:$E,"TP")</f>
        <v/>
      </c>
      <c r="H36">
        <f>COUNTIFS(data_adj!$A:$A,"udemy-top-down-shooter",data_adj!$C:$C,$A36,data_adj!$E:$E,"FP")</f>
        <v/>
      </c>
      <c r="I36">
        <f>IF(F36=0,"",ROUND(100*G36/F36,1))</f>
        <v/>
      </c>
      <c r="J36">
        <f>COUNTIFS(data_llm!$A:$A,"udemy-top-down-shooter",data_llm!$C:$C,$A36)</f>
        <v/>
      </c>
      <c r="K36">
        <f>COUNTIFS(data_llm!$A:$A,"udemy-top-down-shooter",data_llm!$C:$C,$A36,data_llm!$F:$F,TRUE)</f>
        <v/>
      </c>
      <c r="L36">
        <f>J36-K36</f>
        <v/>
      </c>
      <c r="M36">
        <f>IF(J36=0,"",ROUND(100*K36/J36,1))</f>
        <v/>
      </c>
      <c r="N36">
        <f>IF(F36=0,"",ROUND(E36*G36/F36,0))</f>
        <v/>
      </c>
    </row>
    <row r="37">
      <c r="A37" t="inlineStr">
        <is>
          <t>smells-02</t>
        </is>
      </c>
      <c r="B37" t="inlineStr">
        <is>
          <t>Moderate</t>
        </is>
      </c>
      <c r="C37" t="inlineStr">
        <is>
          <t>Function Parameter Count</t>
        </is>
      </c>
      <c r="D37">
        <f>COUNTIFS(data_hits!$A:$A,"udemy-top-down-shooter",data_hits!$C:$C,$A37)</f>
        <v/>
      </c>
      <c r="E37">
        <f>SUM(D37:D37)</f>
        <v/>
      </c>
      <c r="F37">
        <f>G37+H37</f>
        <v/>
      </c>
      <c r="G37">
        <f>COUNTIFS(data_adj!$A:$A,"udemy-top-down-shooter",data_adj!$C:$C,$A37,data_adj!$E:$E,"TP")</f>
        <v/>
      </c>
      <c r="H37">
        <f>COUNTIFS(data_adj!$A:$A,"udemy-top-down-shooter",data_adj!$C:$C,$A37,data_adj!$E:$E,"FP")</f>
        <v/>
      </c>
      <c r="I37">
        <f>IF(F37=0,"",ROUND(100*G37/F37,1))</f>
        <v/>
      </c>
      <c r="J37">
        <f>COUNTIFS(data_llm!$A:$A,"udemy-top-down-shooter",data_llm!$C:$C,$A37)</f>
        <v/>
      </c>
      <c r="K37">
        <f>COUNTIFS(data_llm!$A:$A,"udemy-top-down-shooter",data_llm!$C:$C,$A37,data_llm!$F:$F,TRUE)</f>
        <v/>
      </c>
      <c r="L37">
        <f>J37-K37</f>
        <v/>
      </c>
      <c r="M37">
        <f>IF(J37=0,"",ROUND(100*K37/J37,1))</f>
        <v/>
      </c>
      <c r="N37">
        <f>IF(F37=0,"",ROUND(E37*G37/F37,0))</f>
        <v/>
      </c>
    </row>
    <row r="38">
      <c r="A38" t="inlineStr">
        <is>
          <t>smells-03</t>
        </is>
      </c>
      <c r="B38" t="inlineStr">
        <is>
          <t>Moderate</t>
        </is>
      </c>
      <c r="C38" t="inlineStr">
        <is>
          <t>Boolean Parameters</t>
        </is>
      </c>
      <c r="D38">
        <f>COUNTIFS(data_hits!$A:$A,"udemy-top-down-shooter",data_hits!$C:$C,$A38)</f>
        <v/>
      </c>
      <c r="E38">
        <f>SUM(D38:D38)</f>
        <v/>
      </c>
      <c r="F38">
        <f>G38+H38</f>
        <v/>
      </c>
      <c r="G38">
        <f>COUNTIFS(data_adj!$A:$A,"udemy-top-down-shooter",data_adj!$C:$C,$A38,data_adj!$E:$E,"TP")</f>
        <v/>
      </c>
      <c r="H38">
        <f>COUNTIFS(data_adj!$A:$A,"udemy-top-down-shooter",data_adj!$C:$C,$A38,data_adj!$E:$E,"FP")</f>
        <v/>
      </c>
      <c r="I38">
        <f>IF(F38=0,"",ROUND(100*G38/F38,1))</f>
        <v/>
      </c>
      <c r="J38">
        <f>COUNTIFS(data_llm!$A:$A,"udemy-top-down-shooter",data_llm!$C:$C,$A38)</f>
        <v/>
      </c>
      <c r="K38">
        <f>COUNTIFS(data_llm!$A:$A,"udemy-top-down-shooter",data_llm!$C:$C,$A38,data_llm!$F:$F,TRUE)</f>
        <v/>
      </c>
      <c r="L38">
        <f>J38-K38</f>
        <v/>
      </c>
      <c r="M38">
        <f>IF(J38=0,"",ROUND(100*K38/J38,1))</f>
        <v/>
      </c>
      <c r="N38">
        <f>IF(F38=0,"",ROUND(E38*G38/F38,0))</f>
        <v/>
      </c>
    </row>
    <row r="39">
      <c r="A39" t="inlineStr">
        <is>
          <t>smells-06</t>
        </is>
      </c>
      <c r="B39" t="inlineStr">
        <is>
          <t>Minor</t>
        </is>
      </c>
      <c r="C39" t="inlineStr">
        <is>
          <t>Commented-Out Code</t>
        </is>
      </c>
      <c r="D39">
        <f>COUNTIFS(data_hits!$A:$A,"udemy-top-down-shooter",data_hits!$C:$C,$A39)</f>
        <v/>
      </c>
      <c r="E39">
        <f>SUM(D39:D39)</f>
        <v/>
      </c>
      <c r="F39">
        <f>G39+H39</f>
        <v/>
      </c>
      <c r="G39">
        <f>COUNTIFS(data_adj!$A:$A,"udemy-top-down-shooter",data_adj!$C:$C,$A39,data_adj!$E:$E,"TP")</f>
        <v/>
      </c>
      <c r="H39">
        <f>COUNTIFS(data_adj!$A:$A,"udemy-top-down-shooter",data_adj!$C:$C,$A39,data_adj!$E:$E,"FP")</f>
        <v/>
      </c>
      <c r="I39">
        <f>IF(F39=0,"",ROUND(100*G39/F39,1))</f>
        <v/>
      </c>
      <c r="J39">
        <f>COUNTIFS(data_llm!$A:$A,"udemy-top-down-shooter",data_llm!$C:$C,$A39)</f>
        <v/>
      </c>
      <c r="K39">
        <f>COUNTIFS(data_llm!$A:$A,"udemy-top-down-shooter",data_llm!$C:$C,$A39,data_llm!$F:$F,TRUE)</f>
        <v/>
      </c>
      <c r="L39">
        <f>J39-K39</f>
        <v/>
      </c>
      <c r="M39">
        <f>IF(J39=0,"",ROUND(100*K39/J39,1))</f>
        <v/>
      </c>
      <c r="N39">
        <f>IF(F39=0,"",ROUND(E39*G39/F39,0))</f>
        <v/>
      </c>
    </row>
    <row r="40">
      <c r="A40" t="inlineStr">
        <is>
          <t>smells-07</t>
        </is>
      </c>
      <c r="B40" t="inlineStr">
        <is>
          <t>Minor</t>
        </is>
      </c>
      <c r="C40" t="inlineStr">
        <is>
          <t>TODO/FIXME/HACK Comments</t>
        </is>
      </c>
      <c r="D40">
        <f>COUNTIFS(data_hits!$A:$A,"udemy-top-down-shooter",data_hits!$C:$C,$A40)</f>
        <v/>
      </c>
      <c r="E40">
        <f>SUM(D40:D40)</f>
        <v/>
      </c>
      <c r="F40">
        <f>G40+H40</f>
        <v/>
      </c>
      <c r="G40">
        <f>COUNTIFS(data_adj!$A:$A,"udemy-top-down-shooter",data_adj!$C:$C,$A40,data_adj!$E:$E,"TP")</f>
        <v/>
      </c>
      <c r="H40">
        <f>COUNTIFS(data_adj!$A:$A,"udemy-top-down-shooter",data_adj!$C:$C,$A40,data_adj!$E:$E,"FP")</f>
        <v/>
      </c>
      <c r="I40">
        <f>IF(F40=0,"",ROUND(100*G40/F40,1))</f>
        <v/>
      </c>
      <c r="J40">
        <f>COUNTIFS(data_llm!$A:$A,"udemy-top-down-shooter",data_llm!$C:$C,$A40)</f>
        <v/>
      </c>
      <c r="K40">
        <f>COUNTIFS(data_llm!$A:$A,"udemy-top-down-shooter",data_llm!$C:$C,$A40,data_llm!$F:$F,TRUE)</f>
        <v/>
      </c>
      <c r="L40">
        <f>J40-K40</f>
        <v/>
      </c>
      <c r="M40">
        <f>IF(J40=0,"",ROUND(100*K40/J40,1))</f>
        <v/>
      </c>
      <c r="N40">
        <f>IF(F40=0,"",ROUND(E40*G40/F40,0))</f>
        <v/>
      </c>
    </row>
    <row r="41">
      <c r="A41" t="inlineStr">
        <is>
          <t>smells-08</t>
        </is>
      </c>
      <c r="B41" t="inlineStr">
        <is>
          <t>Major</t>
        </is>
      </c>
      <c r="C41" t="inlineStr">
        <is>
          <t>Null Returns / Null Parameters</t>
        </is>
      </c>
      <c r="D41">
        <f>COUNTIFS(data_hits!$A:$A,"udemy-top-down-shooter",data_hits!$C:$C,$A41)</f>
        <v/>
      </c>
      <c r="E41">
        <f>SUM(D41:D41)</f>
        <v/>
      </c>
      <c r="F41">
        <f>G41+H41</f>
        <v/>
      </c>
      <c r="G41">
        <f>COUNTIFS(data_adj!$A:$A,"udemy-top-down-shooter",data_adj!$C:$C,$A41,data_adj!$E:$E,"TP")</f>
        <v/>
      </c>
      <c r="H41">
        <f>COUNTIFS(data_adj!$A:$A,"udemy-top-down-shooter",data_adj!$C:$C,$A41,data_adj!$E:$E,"FP")</f>
        <v/>
      </c>
      <c r="I41">
        <f>IF(F41=0,"",ROUND(100*G41/F41,1))</f>
        <v/>
      </c>
      <c r="J41">
        <f>COUNTIFS(data_llm!$A:$A,"udemy-top-down-shooter",data_llm!$C:$C,$A41)</f>
        <v/>
      </c>
      <c r="K41">
        <f>COUNTIFS(data_llm!$A:$A,"udemy-top-down-shooter",data_llm!$C:$C,$A41,data_llm!$F:$F,TRUE)</f>
        <v/>
      </c>
      <c r="L41">
        <f>J41-K41</f>
        <v/>
      </c>
      <c r="M41">
        <f>IF(J41=0,"",ROUND(100*K41/J41,1))</f>
        <v/>
      </c>
      <c r="N41">
        <f>IF(F41=0,"",ROUND(E41*G41/F41,0))</f>
        <v/>
      </c>
    </row>
    <row r="42">
      <c r="A42" t="inlineStr">
        <is>
          <t>smells-10</t>
        </is>
      </c>
      <c r="B42" t="inlineStr">
        <is>
          <t>Moderate</t>
        </is>
      </c>
      <c r="C42" t="inlineStr">
        <is>
          <t>Train Wreck Chains</t>
        </is>
      </c>
      <c r="D42">
        <f>COUNTIFS(data_hits!$A:$A,"udemy-top-down-shooter",data_hits!$C:$C,$A42)</f>
        <v/>
      </c>
      <c r="E42">
        <f>SUM(D42:D42)</f>
        <v/>
      </c>
      <c r="F42">
        <f>G42+H42</f>
        <v/>
      </c>
      <c r="G42">
        <f>COUNTIFS(data_adj!$A:$A,"udemy-top-down-shooter",data_adj!$C:$C,$A42,data_adj!$E:$E,"TP")</f>
        <v/>
      </c>
      <c r="H42">
        <f>COUNTIFS(data_adj!$A:$A,"udemy-top-down-shooter",data_adj!$C:$C,$A42,data_adj!$E:$E,"FP")</f>
        <v/>
      </c>
      <c r="I42">
        <f>IF(F42=0,"",ROUND(100*G42/F42,1))</f>
        <v/>
      </c>
      <c r="J42">
        <f>COUNTIFS(data_llm!$A:$A,"udemy-top-down-shooter",data_llm!$C:$C,$A42)</f>
        <v/>
      </c>
      <c r="K42">
        <f>COUNTIFS(data_llm!$A:$A,"udemy-top-down-shooter",data_llm!$C:$C,$A42,data_llm!$F:$F,TRUE)</f>
        <v/>
      </c>
      <c r="L42">
        <f>J42-K42</f>
        <v/>
      </c>
      <c r="M42">
        <f>IF(J42=0,"",ROUND(100*K42/J42,1))</f>
        <v/>
      </c>
      <c r="N42">
        <f>IF(F42=0,"",ROUND(E42*G42/F42,0))</f>
        <v/>
      </c>
    </row>
    <row r="43">
      <c r="A43" t="inlineStr">
        <is>
          <t>smells-12</t>
        </is>
      </c>
      <c r="B43" t="inlineStr">
        <is>
          <t>Major</t>
        </is>
      </c>
      <c r="C43" t="inlineStr">
        <is>
          <t>Swallowed Exceptions</t>
        </is>
      </c>
      <c r="D43">
        <f>COUNTIFS(data_hits!$A:$A,"udemy-top-down-shooter",data_hits!$C:$C,$A43)</f>
        <v/>
      </c>
      <c r="E43">
        <f>SUM(D43:D43)</f>
        <v/>
      </c>
      <c r="F43">
        <f>G43+H43</f>
        <v/>
      </c>
      <c r="G43">
        <f>COUNTIFS(data_adj!$A:$A,"udemy-top-down-shooter",data_adj!$C:$C,$A43,data_adj!$E:$E,"TP")</f>
        <v/>
      </c>
      <c r="H43">
        <f>COUNTIFS(data_adj!$A:$A,"udemy-top-down-shooter",data_adj!$C:$C,$A43,data_adj!$E:$E,"FP")</f>
        <v/>
      </c>
      <c r="I43">
        <f>IF(F43=0,"",ROUND(100*G43/F43,1))</f>
        <v/>
      </c>
      <c r="J43">
        <f>COUNTIFS(data_llm!$A:$A,"udemy-top-down-shooter",data_llm!$C:$C,$A43)</f>
        <v/>
      </c>
      <c r="K43">
        <f>COUNTIFS(data_llm!$A:$A,"udemy-top-down-shooter",data_llm!$C:$C,$A43,data_llm!$F:$F,TRUE)</f>
        <v/>
      </c>
      <c r="L43">
        <f>J43-K43</f>
        <v/>
      </c>
      <c r="M43">
        <f>IF(J43=0,"",ROUND(100*K43/J43,1))</f>
        <v/>
      </c>
      <c r="N43">
        <f>IF(F43=0,"",ROUND(E43*G43/F43,0))</f>
        <v/>
      </c>
    </row>
    <row r="44">
      <c r="A44" t="inlineStr">
        <is>
          <t>smells-20</t>
        </is>
      </c>
      <c r="B44" t="inlineStr">
        <is>
          <t>Major</t>
        </is>
      </c>
      <c r="C44" t="inlineStr">
        <is>
          <t>Equality Overridden Without a Matching Hash</t>
        </is>
      </c>
      <c r="D44">
        <f>COUNTIFS(data_hits!$A:$A,"udemy-top-down-shooter",data_hits!$C:$C,$A44)</f>
        <v/>
      </c>
      <c r="E44">
        <f>SUM(D44:D44)</f>
        <v/>
      </c>
      <c r="F44">
        <f>G44+H44</f>
        <v/>
      </c>
      <c r="G44">
        <f>COUNTIFS(data_adj!$A:$A,"udemy-top-down-shooter",data_adj!$C:$C,$A44,data_adj!$E:$E,"TP")</f>
        <v/>
      </c>
      <c r="H44">
        <f>COUNTIFS(data_adj!$A:$A,"udemy-top-down-shooter",data_adj!$C:$C,$A44,data_adj!$E:$E,"FP")</f>
        <v/>
      </c>
      <c r="I44">
        <f>IF(F44=0,"",ROUND(100*G44/F44,1))</f>
        <v/>
      </c>
      <c r="J44">
        <f>COUNTIFS(data_llm!$A:$A,"udemy-top-down-shooter",data_llm!$C:$C,$A44)</f>
        <v/>
      </c>
      <c r="K44">
        <f>COUNTIFS(data_llm!$A:$A,"udemy-top-down-shooter",data_llm!$C:$C,$A44,data_llm!$F:$F,TRUE)</f>
        <v/>
      </c>
      <c r="L44">
        <f>J44-K44</f>
        <v/>
      </c>
      <c r="M44">
        <f>IF(J44=0,"",ROUND(100*K44/J44,1))</f>
        <v/>
      </c>
      <c r="N44">
        <f>IF(F44=0,"",ROUND(E44*G44/F44,0))</f>
        <v/>
      </c>
    </row>
    <row r="45">
      <c r="A45" t="inlineStr">
        <is>
          <t>smells-21</t>
        </is>
      </c>
      <c r="B45" t="inlineStr">
        <is>
          <t>Moderate</t>
        </is>
      </c>
      <c r="C45" t="inlineStr">
        <is>
          <t>Type-System Escape Hatch</t>
        </is>
      </c>
      <c r="D45">
        <f>COUNTIFS(data_hits!$A:$A,"udemy-top-down-shooter",data_hits!$C:$C,$A45)</f>
        <v/>
      </c>
      <c r="E45">
        <f>SUM(D45:D45)</f>
        <v/>
      </c>
      <c r="F45">
        <f>G45+H45</f>
        <v/>
      </c>
      <c r="G45">
        <f>COUNTIFS(data_adj!$A:$A,"udemy-top-down-shooter",data_adj!$C:$C,$A45,data_adj!$E:$E,"TP")</f>
        <v/>
      </c>
      <c r="H45">
        <f>COUNTIFS(data_adj!$A:$A,"udemy-top-down-shooter",data_adj!$C:$C,$A45,data_adj!$E:$E,"FP")</f>
        <v/>
      </c>
      <c r="I45">
        <f>IF(F45=0,"",ROUND(100*G45/F45,1))</f>
        <v/>
      </c>
      <c r="J45">
        <f>COUNTIFS(data_llm!$A:$A,"udemy-top-down-shooter",data_llm!$C:$C,$A45)</f>
        <v/>
      </c>
      <c r="K45">
        <f>COUNTIFS(data_llm!$A:$A,"udemy-top-down-shooter",data_llm!$C:$C,$A45,data_llm!$F:$F,TRUE)</f>
        <v/>
      </c>
      <c r="L45">
        <f>J45-K45</f>
        <v/>
      </c>
      <c r="M45">
        <f>IF(J45=0,"",ROUND(100*K45/J45,1))</f>
        <v/>
      </c>
      <c r="N45">
        <f>IF(F45=0,"",ROUND(E45*G45/F45,0))</f>
        <v/>
      </c>
    </row>
    <row r="46">
      <c r="A46" t="inlineStr">
        <is>
          <t>smells-22</t>
        </is>
      </c>
      <c r="B46" t="inlineStr">
        <is>
          <t>Minor</t>
        </is>
      </c>
      <c r="C46" t="inlineStr">
        <is>
          <t>Wildcard Import</t>
        </is>
      </c>
      <c r="D46">
        <f>COUNTIFS(data_hits!$A:$A,"udemy-top-down-shooter",data_hits!$C:$C,$A46)</f>
        <v/>
      </c>
      <c r="E46">
        <f>SUM(D46:D46)</f>
        <v/>
      </c>
      <c r="F46">
        <f>G46+H46</f>
        <v/>
      </c>
      <c r="G46">
        <f>COUNTIFS(data_adj!$A:$A,"udemy-top-down-shooter",data_adj!$C:$C,$A46,data_adj!$E:$E,"TP")</f>
        <v/>
      </c>
      <c r="H46">
        <f>COUNTIFS(data_adj!$A:$A,"udemy-top-down-shooter",data_adj!$C:$C,$A46,data_adj!$E:$E,"FP")</f>
        <v/>
      </c>
      <c r="I46">
        <f>IF(F46=0,"",ROUND(100*G46/F46,1))</f>
        <v/>
      </c>
      <c r="J46">
        <f>COUNTIFS(data_llm!$A:$A,"udemy-top-down-shooter",data_llm!$C:$C,$A46)</f>
        <v/>
      </c>
      <c r="K46">
        <f>COUNTIFS(data_llm!$A:$A,"udemy-top-down-shooter",data_llm!$C:$C,$A46,data_llm!$F:$F,TRUE)</f>
        <v/>
      </c>
      <c r="L46">
        <f>J46-K46</f>
        <v/>
      </c>
      <c r="M46">
        <f>IF(J46=0,"",ROUND(100*K46/J46,1))</f>
        <v/>
      </c>
      <c r="N46">
        <f>IF(F46=0,"",ROUND(E46*G46/F46,0))</f>
        <v/>
      </c>
    </row>
    <row r="47">
      <c r="A47" t="inlineStr">
        <is>
          <t>smells-23</t>
        </is>
      </c>
      <c r="B47" t="inlineStr">
        <is>
          <t>Minor</t>
        </is>
      </c>
      <c r="C47" t="inlineStr">
        <is>
          <t>Debugger Statement or Stack-Trace Dump Left in Code</t>
        </is>
      </c>
      <c r="D47">
        <f>COUNTIFS(data_hits!$A:$A,"udemy-top-down-shooter",data_hits!$C:$C,$A47)</f>
        <v/>
      </c>
      <c r="E47">
        <f>SUM(D47:D47)</f>
        <v/>
      </c>
      <c r="F47">
        <f>G47+H47</f>
        <v/>
      </c>
      <c r="G47">
        <f>COUNTIFS(data_adj!$A:$A,"udemy-top-down-shooter",data_adj!$C:$C,$A47,data_adj!$E:$E,"TP")</f>
        <v/>
      </c>
      <c r="H47">
        <f>COUNTIFS(data_adj!$A:$A,"udemy-top-down-shooter",data_adj!$C:$C,$A47,data_adj!$E:$E,"FP")</f>
        <v/>
      </c>
      <c r="I47">
        <f>IF(F47=0,"",ROUND(100*G47/F47,1))</f>
        <v/>
      </c>
      <c r="J47">
        <f>COUNTIFS(data_llm!$A:$A,"udemy-top-down-shooter",data_llm!$C:$C,$A47)</f>
        <v/>
      </c>
      <c r="K47">
        <f>COUNTIFS(data_llm!$A:$A,"udemy-top-down-shooter",data_llm!$C:$C,$A47,data_llm!$F:$F,TRUE)</f>
        <v/>
      </c>
      <c r="L47">
        <f>J47-K47</f>
        <v/>
      </c>
      <c r="M47">
        <f>IF(J47=0,"",ROUND(100*K47/J47,1))</f>
        <v/>
      </c>
      <c r="N47">
        <f>IF(F47=0,"",ROUND(E47*G47/F47,0))</f>
        <v/>
      </c>
    </row>
    <row r="48">
      <c r="A48" t="inlineStr">
        <is>
          <t>solid-06</t>
        </is>
      </c>
      <c r="B48" t="inlineStr">
        <is>
          <t>Major</t>
        </is>
      </c>
      <c r="C48" t="inlineStr">
        <is>
          <t>Public Mutable Fields</t>
        </is>
      </c>
      <c r="D48">
        <f>COUNTIFS(data_hits!$A:$A,"udemy-top-down-shooter",data_hits!$C:$C,$A48)</f>
        <v/>
      </c>
      <c r="E48">
        <f>SUM(D48:D48)</f>
        <v/>
      </c>
      <c r="F48">
        <f>G48+H48</f>
        <v/>
      </c>
      <c r="G48">
        <f>COUNTIFS(data_adj!$A:$A,"udemy-top-down-shooter",data_adj!$C:$C,$A48,data_adj!$E:$E,"TP")</f>
        <v/>
      </c>
      <c r="H48">
        <f>COUNTIFS(data_adj!$A:$A,"udemy-top-down-shooter",data_adj!$C:$C,$A48,data_adj!$E:$E,"FP")</f>
        <v/>
      </c>
      <c r="I48">
        <f>IF(F48=0,"",ROUND(100*G48/F48,1))</f>
        <v/>
      </c>
      <c r="J48">
        <f>COUNTIFS(data_llm!$A:$A,"udemy-top-down-shooter",data_llm!$C:$C,$A48)</f>
        <v/>
      </c>
      <c r="K48">
        <f>COUNTIFS(data_llm!$A:$A,"udemy-top-down-shooter",data_llm!$C:$C,$A48,data_llm!$F:$F,TRUE)</f>
        <v/>
      </c>
      <c r="L48">
        <f>J48-K48</f>
        <v/>
      </c>
      <c r="M48">
        <f>IF(J48=0,"",ROUND(100*K48/J48,1))</f>
        <v/>
      </c>
      <c r="N48">
        <f>IF(F48=0,"",ROUND(E48*G48/F48,0))</f>
        <v/>
      </c>
    </row>
    <row r="49">
      <c r="A49" t="inlineStr">
        <is>
          <t>solid-07</t>
        </is>
      </c>
      <c r="B49" t="inlineStr">
        <is>
          <t>Moderate</t>
        </is>
      </c>
      <c r="C49" t="inlineStr">
        <is>
          <t>Primitive Obsession</t>
        </is>
      </c>
      <c r="D49">
        <f>COUNTIFS(data_hits!$A:$A,"udemy-top-down-shooter",data_hits!$C:$C,$A49)</f>
        <v/>
      </c>
      <c r="E49">
        <f>SUM(D49:D49)</f>
        <v/>
      </c>
      <c r="F49">
        <f>G49+H49</f>
        <v/>
      </c>
      <c r="G49">
        <f>COUNTIFS(data_adj!$A:$A,"udemy-top-down-shooter",data_adj!$C:$C,$A49,data_adj!$E:$E,"TP")</f>
        <v/>
      </c>
      <c r="H49">
        <f>COUNTIFS(data_adj!$A:$A,"udemy-top-down-shooter",data_adj!$C:$C,$A49,data_adj!$E:$E,"FP")</f>
        <v/>
      </c>
      <c r="I49">
        <f>IF(F49=0,"",ROUND(100*G49/F49,1))</f>
        <v/>
      </c>
      <c r="J49">
        <f>COUNTIFS(data_llm!$A:$A,"udemy-top-down-shooter",data_llm!$C:$C,$A49)</f>
        <v/>
      </c>
      <c r="K49">
        <f>COUNTIFS(data_llm!$A:$A,"udemy-top-down-shooter",data_llm!$C:$C,$A49,data_llm!$F:$F,TRUE)</f>
        <v/>
      </c>
      <c r="L49">
        <f>J49-K49</f>
        <v/>
      </c>
      <c r="M49">
        <f>IF(J49=0,"",ROUND(100*K49/J49,1))</f>
        <v/>
      </c>
      <c r="N49">
        <f>IF(F49=0,"",ROUND(E49*G49/F49,0))</f>
        <v/>
      </c>
    </row>
    <row r="50">
      <c r="A50" t="inlineStr">
        <is>
          <t>solid-08</t>
        </is>
      </c>
      <c r="B50" t="inlineStr">
        <is>
          <t>Minor</t>
        </is>
      </c>
      <c r="C50" t="inlineStr">
        <is>
          <t>Unnecessary Mutability</t>
        </is>
      </c>
      <c r="D50">
        <f>COUNTIFS(data_hits!$A:$A,"udemy-top-down-shooter",data_hits!$C:$C,$A50)</f>
        <v/>
      </c>
      <c r="E50">
        <f>SUM(D50:D50)</f>
        <v/>
      </c>
      <c r="F50">
        <f>G50+H50</f>
        <v/>
      </c>
      <c r="G50">
        <f>COUNTIFS(data_adj!$A:$A,"udemy-top-down-shooter",data_adj!$C:$C,$A50,data_adj!$E:$E,"TP")</f>
        <v/>
      </c>
      <c r="H50">
        <f>COUNTIFS(data_adj!$A:$A,"udemy-top-down-shooter",data_adj!$C:$C,$A50,data_adj!$E:$E,"FP")</f>
        <v/>
      </c>
      <c r="I50">
        <f>IF(F50=0,"",ROUND(100*G50/F50,1))</f>
        <v/>
      </c>
      <c r="J50">
        <f>COUNTIFS(data_llm!$A:$A,"udemy-top-down-shooter",data_llm!$C:$C,$A50)</f>
        <v/>
      </c>
      <c r="K50">
        <f>COUNTIFS(data_llm!$A:$A,"udemy-top-down-shooter",data_llm!$C:$C,$A50,data_llm!$F:$F,TRUE)</f>
        <v/>
      </c>
      <c r="L50">
        <f>J50-K50</f>
        <v/>
      </c>
      <c r="M50">
        <f>IF(J50=0,"",ROUND(100*K50/J50,1))</f>
        <v/>
      </c>
      <c r="N50">
        <f>IF(F50=0,"",ROUND(E50*G50/F50,0))</f>
        <v/>
      </c>
    </row>
    <row r="51">
      <c r="A51" t="inlineStr">
        <is>
          <t>solid-09</t>
        </is>
      </c>
      <c r="B51" t="inlineStr">
        <is>
          <t>Major</t>
        </is>
      </c>
      <c r="C51" t="inlineStr">
        <is>
          <t>Global Mutable State</t>
        </is>
      </c>
      <c r="D51">
        <f>COUNTIFS(data_hits!$A:$A,"udemy-top-down-shooter",data_hits!$C:$C,$A51)</f>
        <v/>
      </c>
      <c r="E51">
        <f>SUM(D51:D51)</f>
        <v/>
      </c>
      <c r="F51">
        <f>G51+H51</f>
        <v/>
      </c>
      <c r="G51">
        <f>COUNTIFS(data_adj!$A:$A,"udemy-top-down-shooter",data_adj!$C:$C,$A51,data_adj!$E:$E,"TP")</f>
        <v/>
      </c>
      <c r="H51">
        <f>COUNTIFS(data_adj!$A:$A,"udemy-top-down-shooter",data_adj!$C:$C,$A51,data_adj!$E:$E,"FP")</f>
        <v/>
      </c>
      <c r="I51">
        <f>IF(F51=0,"",ROUND(100*G51/F51,1))</f>
        <v/>
      </c>
      <c r="J51">
        <f>COUNTIFS(data_llm!$A:$A,"udemy-top-down-shooter",data_llm!$C:$C,$A51)</f>
        <v/>
      </c>
      <c r="K51">
        <f>COUNTIFS(data_llm!$A:$A,"udemy-top-down-shooter",data_llm!$C:$C,$A51,data_llm!$F:$F,TRUE)</f>
        <v/>
      </c>
      <c r="L51">
        <f>J51-K51</f>
        <v/>
      </c>
      <c r="M51">
        <f>IF(J51=0,"",ROUND(100*K51/J51,1))</f>
        <v/>
      </c>
      <c r="N51">
        <f>IF(F51=0,"",ROUND(E51*G51/F51,0))</f>
        <v/>
      </c>
    </row>
    <row r="52">
      <c r="A52" t="inlineStr">
        <is>
          <t>solid-10</t>
        </is>
      </c>
      <c r="B52" t="inlineStr">
        <is>
          <t>Major</t>
        </is>
      </c>
      <c r="C52" t="inlineStr">
        <is>
          <t>Hardcoded Dependency Creation</t>
        </is>
      </c>
      <c r="D52">
        <f>COUNTIFS(data_hits!$A:$A,"udemy-top-down-shooter",data_hits!$C:$C,$A52)</f>
        <v/>
      </c>
      <c r="E52">
        <f>SUM(D52:D52)</f>
        <v/>
      </c>
      <c r="F52">
        <f>G52+H52</f>
        <v/>
      </c>
      <c r="G52">
        <f>COUNTIFS(data_adj!$A:$A,"udemy-top-down-shooter",data_adj!$C:$C,$A52,data_adj!$E:$E,"TP")</f>
        <v/>
      </c>
      <c r="H52">
        <f>COUNTIFS(data_adj!$A:$A,"udemy-top-down-shooter",data_adj!$C:$C,$A52,data_adj!$E:$E,"FP")</f>
        <v/>
      </c>
      <c r="I52">
        <f>IF(F52=0,"",ROUND(100*G52/F52,1))</f>
        <v/>
      </c>
      <c r="J52">
        <f>COUNTIFS(data_llm!$A:$A,"udemy-top-down-shooter",data_llm!$C:$C,$A52)</f>
        <v/>
      </c>
      <c r="K52">
        <f>COUNTIFS(data_llm!$A:$A,"udemy-top-down-shooter",data_llm!$C:$C,$A52,data_llm!$F:$F,TRUE)</f>
        <v/>
      </c>
      <c r="L52">
        <f>J52-K52</f>
        <v/>
      </c>
      <c r="M52">
        <f>IF(J52=0,"",ROUND(100*K52/J52,1))</f>
        <v/>
      </c>
      <c r="N52">
        <f>IF(F52=0,"",ROUND(E52*G52/F52,0))</f>
        <v/>
      </c>
    </row>
    <row r="53">
      <c r="A53" t="inlineStr">
        <is>
          <t>solid-12</t>
        </is>
      </c>
      <c r="B53" t="inlineStr">
        <is>
          <t>Moderate</t>
        </is>
      </c>
      <c r="C53" t="inlineStr">
        <is>
          <t>Logging Inside Domain</t>
        </is>
      </c>
      <c r="D53">
        <f>COUNTIFS(data_hits!$A:$A,"udemy-top-down-shooter",data_hits!$C:$C,$A53)</f>
        <v/>
      </c>
      <c r="E53">
        <f>SUM(D53:D53)</f>
        <v/>
      </c>
      <c r="F53">
        <f>G53+H53</f>
        <v/>
      </c>
      <c r="G53">
        <f>COUNTIFS(data_adj!$A:$A,"udemy-top-down-shooter",data_adj!$C:$C,$A53,data_adj!$E:$E,"TP")</f>
        <v/>
      </c>
      <c r="H53">
        <f>COUNTIFS(data_adj!$A:$A,"udemy-top-down-shooter",data_adj!$C:$C,$A53,data_adj!$E:$E,"FP")</f>
        <v/>
      </c>
      <c r="I53">
        <f>IF(F53=0,"",ROUND(100*G53/F53,1))</f>
        <v/>
      </c>
      <c r="J53">
        <f>COUNTIFS(data_llm!$A:$A,"udemy-top-down-shooter",data_llm!$C:$C,$A53)</f>
        <v/>
      </c>
      <c r="K53">
        <f>COUNTIFS(data_llm!$A:$A,"udemy-top-down-shooter",data_llm!$C:$C,$A53,data_llm!$F:$F,TRUE)</f>
        <v/>
      </c>
      <c r="L53">
        <f>J53-K53</f>
        <v/>
      </c>
      <c r="M53">
        <f>IF(J53=0,"",ROUND(100*K53/J53,1))</f>
        <v/>
      </c>
      <c r="N53">
        <f>IF(F53=0,"",ROUND(E53*G53/F53,0))</f>
        <v/>
      </c>
    </row>
    <row r="54">
      <c r="A54" t="inlineStr">
        <is>
          <t>solid-15</t>
        </is>
      </c>
      <c r="B54" t="inlineStr">
        <is>
          <t>Major</t>
        </is>
      </c>
      <c r="C54" t="inlineStr">
        <is>
          <t>Switch/If-Else Dispatching on Type</t>
        </is>
      </c>
      <c r="D54">
        <f>COUNTIFS(data_hits!$A:$A,"udemy-top-down-shooter",data_hits!$C:$C,$A54)</f>
        <v/>
      </c>
      <c r="E54">
        <f>SUM(D54:D54)</f>
        <v/>
      </c>
      <c r="F54">
        <f>G54+H54</f>
        <v/>
      </c>
      <c r="G54">
        <f>COUNTIFS(data_adj!$A:$A,"udemy-top-down-shooter",data_adj!$C:$C,$A54,data_adj!$E:$E,"TP")</f>
        <v/>
      </c>
      <c r="H54">
        <f>COUNTIFS(data_adj!$A:$A,"udemy-top-down-shooter",data_adj!$C:$C,$A54,data_adj!$E:$E,"FP")</f>
        <v/>
      </c>
      <c r="I54">
        <f>IF(F54=0,"",ROUND(100*G54/F54,1))</f>
        <v/>
      </c>
      <c r="J54">
        <f>COUNTIFS(data_llm!$A:$A,"udemy-top-down-shooter",data_llm!$C:$C,$A54)</f>
        <v/>
      </c>
      <c r="K54">
        <f>COUNTIFS(data_llm!$A:$A,"udemy-top-down-shooter",data_llm!$C:$C,$A54,data_llm!$F:$F,TRUE)</f>
        <v/>
      </c>
      <c r="L54">
        <f>J54-K54</f>
        <v/>
      </c>
      <c r="M54">
        <f>IF(J54=0,"",ROUND(100*K54/J54,1))</f>
        <v/>
      </c>
      <c r="N54">
        <f>IF(F54=0,"",ROUND(E54*G54/F54,0))</f>
        <v/>
      </c>
    </row>
    <row r="55">
      <c r="A55" t="inlineStr">
        <is>
          <t>tests-01</t>
        </is>
      </c>
      <c r="B55" t="inlineStr">
        <is>
          <t>Critical</t>
        </is>
      </c>
      <c r="C55" t="inlineStr">
        <is>
          <t>Missing Tests</t>
        </is>
      </c>
      <c r="D55">
        <f>COUNTIFS(data_hits!$A:$A,"udemy-top-down-shooter",data_hits!$C:$C,$A55)</f>
        <v/>
      </c>
      <c r="E55">
        <f>SUM(D55:D55)</f>
        <v/>
      </c>
      <c r="F55">
        <f>G55+H55</f>
        <v/>
      </c>
      <c r="G55">
        <f>COUNTIFS(data_adj!$A:$A,"udemy-top-down-shooter",data_adj!$C:$C,$A55,data_adj!$E:$E,"TP")</f>
        <v/>
      </c>
      <c r="H55">
        <f>COUNTIFS(data_adj!$A:$A,"udemy-top-down-shooter",data_adj!$C:$C,$A55,data_adj!$E:$E,"FP")</f>
        <v/>
      </c>
      <c r="I55">
        <f>IF(F55=0,"",ROUND(100*G55/F55,1))</f>
        <v/>
      </c>
      <c r="J55">
        <f>COUNTIFS(data_llm!$A:$A,"udemy-top-down-shooter",data_llm!$C:$C,$A55)</f>
        <v/>
      </c>
      <c r="K55">
        <f>COUNTIFS(data_llm!$A:$A,"udemy-top-down-shooter",data_llm!$C:$C,$A55,data_llm!$F:$F,TRUE)</f>
        <v/>
      </c>
      <c r="L55">
        <f>J55-K55</f>
        <v/>
      </c>
      <c r="M55">
        <f>IF(J55=0,"",ROUND(100*K55/J55,1))</f>
        <v/>
      </c>
      <c r="N55">
        <f>IF(F55=0,"",ROUND(E55*G55/F55,0))</f>
        <v/>
      </c>
    </row>
    <row r="56">
      <c r="A56" t="inlineStr">
        <is>
          <t>tests-04</t>
        </is>
      </c>
      <c r="B56" t="inlineStr">
        <is>
          <t>Major</t>
        </is>
      </c>
      <c r="C56" t="inlineStr">
        <is>
          <t>Flaky Test Patterns</t>
        </is>
      </c>
      <c r="D56">
        <f>COUNTIFS(data_hits!$A:$A,"udemy-top-down-shooter",data_hits!$C:$C,$A56)</f>
        <v/>
      </c>
      <c r="E56">
        <f>SUM(D56:D56)</f>
        <v/>
      </c>
      <c r="F56">
        <f>G56+H56</f>
        <v/>
      </c>
      <c r="G56">
        <f>COUNTIFS(data_adj!$A:$A,"udemy-top-down-shooter",data_adj!$C:$C,$A56,data_adj!$E:$E,"TP")</f>
        <v/>
      </c>
      <c r="H56">
        <f>COUNTIFS(data_adj!$A:$A,"udemy-top-down-shooter",data_adj!$C:$C,$A56,data_adj!$E:$E,"FP")</f>
        <v/>
      </c>
      <c r="I56">
        <f>IF(F56=0,"",ROUND(100*G56/F56,1))</f>
        <v/>
      </c>
      <c r="J56">
        <f>COUNTIFS(data_llm!$A:$A,"udemy-top-down-shooter",data_llm!$C:$C,$A56)</f>
        <v/>
      </c>
      <c r="K56">
        <f>COUNTIFS(data_llm!$A:$A,"udemy-top-down-shooter",data_llm!$C:$C,$A56,data_llm!$F:$F,TRUE)</f>
        <v/>
      </c>
      <c r="L56">
        <f>J56-K56</f>
        <v/>
      </c>
      <c r="M56">
        <f>IF(J56=0,"",ROUND(100*K56/J56,1))</f>
        <v/>
      </c>
      <c r="N56">
        <f>IF(F56=0,"",ROUND(E56*G56/F56,0))</f>
        <v/>
      </c>
    </row>
    <row r="57">
      <c r="A57" t="inlineStr">
        <is>
          <t>tests-05</t>
        </is>
      </c>
      <c r="B57" t="inlineStr">
        <is>
          <t>Major</t>
        </is>
      </c>
      <c r="C57" t="inlineStr">
        <is>
          <t>Test Accessing Private Internals</t>
        </is>
      </c>
      <c r="D57">
        <f>COUNTIFS(data_hits!$A:$A,"udemy-top-down-shooter",data_hits!$C:$C,$A57)</f>
        <v/>
      </c>
      <c r="E57">
        <f>SUM(D57:D57)</f>
        <v/>
      </c>
      <c r="F57">
        <f>G57+H57</f>
        <v/>
      </c>
      <c r="G57">
        <f>COUNTIFS(data_adj!$A:$A,"udemy-top-down-shooter",data_adj!$C:$C,$A57,data_adj!$E:$E,"TP")</f>
        <v/>
      </c>
      <c r="H57">
        <f>COUNTIFS(data_adj!$A:$A,"udemy-top-down-shooter",data_adj!$C:$C,$A57,data_adj!$E:$E,"FP")</f>
        <v/>
      </c>
      <c r="I57">
        <f>IF(F57=0,"",ROUND(100*G57/F57,1))</f>
        <v/>
      </c>
      <c r="J57">
        <f>COUNTIFS(data_llm!$A:$A,"udemy-top-down-shooter",data_llm!$C:$C,$A57)</f>
        <v/>
      </c>
      <c r="K57">
        <f>COUNTIFS(data_llm!$A:$A,"udemy-top-down-shooter",data_llm!$C:$C,$A57,data_llm!$F:$F,TRUE)</f>
        <v/>
      </c>
      <c r="L57">
        <f>J57-K57</f>
        <v/>
      </c>
      <c r="M57">
        <f>IF(J57=0,"",ROUND(100*K57/J57,1))</f>
        <v/>
      </c>
      <c r="N57">
        <f>IF(F57=0,"",ROUND(E57*G57/F57,0))</f>
        <v/>
      </c>
    </row>
    <row r="58">
      <c r="A58" t="inlineStr">
        <is>
          <t>tests-06</t>
        </is>
      </c>
      <c r="B58" t="inlineStr">
        <is>
          <t>Major</t>
        </is>
      </c>
      <c r="C58" t="inlineStr">
        <is>
          <t>Shared Mutable State Between Tests</t>
        </is>
      </c>
      <c r="D58">
        <f>COUNTIFS(data_hits!$A:$A,"udemy-top-down-shooter",data_hits!$C:$C,$A58)</f>
        <v/>
      </c>
      <c r="E58">
        <f>SUM(D58:D58)</f>
        <v/>
      </c>
      <c r="F58">
        <f>G58+H58</f>
        <v/>
      </c>
      <c r="G58">
        <f>COUNTIFS(data_adj!$A:$A,"udemy-top-down-shooter",data_adj!$C:$C,$A58,data_adj!$E:$E,"TP")</f>
        <v/>
      </c>
      <c r="H58">
        <f>COUNTIFS(data_adj!$A:$A,"udemy-top-down-shooter",data_adj!$C:$C,$A58,data_adj!$E:$E,"FP")</f>
        <v/>
      </c>
      <c r="I58">
        <f>IF(F58=0,"",ROUND(100*G58/F58,1))</f>
        <v/>
      </c>
      <c r="J58">
        <f>COUNTIFS(data_llm!$A:$A,"udemy-top-down-shooter",data_llm!$C:$C,$A58)</f>
        <v/>
      </c>
      <c r="K58">
        <f>COUNTIFS(data_llm!$A:$A,"udemy-top-down-shooter",data_llm!$C:$C,$A58,data_llm!$F:$F,TRUE)</f>
        <v/>
      </c>
      <c r="L58">
        <f>J58-K58</f>
        <v/>
      </c>
      <c r="M58">
        <f>IF(J58=0,"",ROUND(100*K58/J58,1))</f>
        <v/>
      </c>
      <c r="N58">
        <f>IF(F58=0,"",ROUND(E58*G58/F58,0))</f>
        <v/>
      </c>
    </row>
    <row r="59">
      <c r="A59" t="inlineStr">
        <is>
          <t>tests-08</t>
        </is>
      </c>
      <c r="B59" t="inlineStr">
        <is>
          <t>Major</t>
        </is>
      </c>
      <c r="C59" t="inlineStr">
        <is>
          <t>Skipped/Ignored Tests</t>
        </is>
      </c>
      <c r="D59">
        <f>COUNTIFS(data_hits!$A:$A,"udemy-top-down-shooter",data_hits!$C:$C,$A59)</f>
        <v/>
      </c>
      <c r="E59">
        <f>SUM(D59:D59)</f>
        <v/>
      </c>
      <c r="F59">
        <f>G59+H59</f>
        <v/>
      </c>
      <c r="G59">
        <f>COUNTIFS(data_adj!$A:$A,"udemy-top-down-shooter",data_adj!$C:$C,$A59,data_adj!$E:$E,"TP")</f>
        <v/>
      </c>
      <c r="H59">
        <f>COUNTIFS(data_adj!$A:$A,"udemy-top-down-shooter",data_adj!$C:$C,$A59,data_adj!$E:$E,"FP")</f>
        <v/>
      </c>
      <c r="I59">
        <f>IF(F59=0,"",ROUND(100*G59/F59,1))</f>
        <v/>
      </c>
      <c r="J59">
        <f>COUNTIFS(data_llm!$A:$A,"udemy-top-down-shooter",data_llm!$C:$C,$A59)</f>
        <v/>
      </c>
      <c r="K59">
        <f>COUNTIFS(data_llm!$A:$A,"udemy-top-down-shooter",data_llm!$C:$C,$A59,data_llm!$F:$F,TRUE)</f>
        <v/>
      </c>
      <c r="L59">
        <f>J59-K59</f>
        <v/>
      </c>
      <c r="M59">
        <f>IF(J59=0,"",ROUND(100*K59/J59,1))</f>
        <v/>
      </c>
      <c r="N59">
        <f>IF(F59=0,"",ROUND(E59*G59/F59,0))</f>
        <v/>
      </c>
    </row>
    <row r="60">
      <c r="A60" t="inlineStr">
        <is>
          <t>tests-09</t>
        </is>
      </c>
      <c r="B60" t="inlineStr">
        <is>
          <t>Critical</t>
        </is>
      </c>
      <c r="C60" t="inlineStr">
        <is>
          <t>Tests with No Meaningful Assertions</t>
        </is>
      </c>
      <c r="D60">
        <f>COUNTIFS(data_hits!$A:$A,"udemy-top-down-shooter",data_hits!$C:$C,$A60)</f>
        <v/>
      </c>
      <c r="E60">
        <f>SUM(D60:D60)</f>
        <v/>
      </c>
      <c r="F60">
        <f>G60+H60</f>
        <v/>
      </c>
      <c r="G60">
        <f>COUNTIFS(data_adj!$A:$A,"udemy-top-down-shooter",data_adj!$C:$C,$A60,data_adj!$E:$E,"TP")</f>
        <v/>
      </c>
      <c r="H60">
        <f>COUNTIFS(data_adj!$A:$A,"udemy-top-down-shooter",data_adj!$C:$C,$A60,data_adj!$E:$E,"FP")</f>
        <v/>
      </c>
      <c r="I60">
        <f>IF(F60=0,"",ROUND(100*G60/F60,1))</f>
        <v/>
      </c>
      <c r="J60">
        <f>COUNTIFS(data_llm!$A:$A,"udemy-top-down-shooter",data_llm!$C:$C,$A60)</f>
        <v/>
      </c>
      <c r="K60">
        <f>COUNTIFS(data_llm!$A:$A,"udemy-top-down-shooter",data_llm!$C:$C,$A60,data_llm!$F:$F,TRUE)</f>
        <v/>
      </c>
      <c r="L60">
        <f>J60-K60</f>
        <v/>
      </c>
      <c r="M60">
        <f>IF(J60=0,"",ROUND(100*K60/J60,1))</f>
        <v/>
      </c>
      <c r="N60">
        <f>IF(F60=0,"",ROUND(E60*G60/F60,0))</f>
        <v/>
      </c>
    </row>
    <row r="61">
      <c r="A61" t="inlineStr">
        <is>
          <t>tests-13</t>
        </is>
      </c>
      <c r="B61" t="inlineStr">
        <is>
          <t>Critical</t>
        </is>
      </c>
      <c r="C61" t="inlineStr">
        <is>
          <t>Test Module Containing No Assertions</t>
        </is>
      </c>
      <c r="D61">
        <f>COUNTIFS(data_hits!$A:$A,"udemy-top-down-shooter",data_hits!$C:$C,$A61)</f>
        <v/>
      </c>
      <c r="E61">
        <f>SUM(D61:D61)</f>
        <v/>
      </c>
      <c r="F61">
        <f>G61+H61</f>
        <v/>
      </c>
      <c r="G61">
        <f>COUNTIFS(data_adj!$A:$A,"udemy-top-down-shooter",data_adj!$C:$C,$A61,data_adj!$E:$E,"TP")</f>
        <v/>
      </c>
      <c r="H61">
        <f>COUNTIFS(data_adj!$A:$A,"udemy-top-down-shooter",data_adj!$C:$C,$A61,data_adj!$E:$E,"FP")</f>
        <v/>
      </c>
      <c r="I61">
        <f>IF(F61=0,"",ROUND(100*G61/F61,1))</f>
        <v/>
      </c>
      <c r="J61">
        <f>COUNTIFS(data_llm!$A:$A,"udemy-top-down-shooter",data_llm!$C:$C,$A61)</f>
        <v/>
      </c>
      <c r="K61">
        <f>COUNTIFS(data_llm!$A:$A,"udemy-top-down-shooter",data_llm!$C:$C,$A61,data_llm!$F:$F,TRUE)</f>
        <v/>
      </c>
      <c r="L61">
        <f>J61-K61</f>
        <v/>
      </c>
      <c r="M61">
        <f>IF(J61=0,"",ROUND(100*K61/J61,1))</f>
        <v/>
      </c>
      <c r="N61">
        <f>IF(F61=0,"",ROUND(E61*G61/F61,0))</f>
        <v/>
      </c>
    </row>
  </sheetData>
  <conditionalFormatting sqref="A2:N61">
    <cfRule type="expression" priority="1" dxfId="0">
      <formula>$E2=0</formula>
    </cfRule>
  </conditionalFormatting>
  <conditionalFormatting sqref="I2:I6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path</t>
        </is>
      </c>
      <c r="C1" s="1" t="inlineStr">
        <is>
          <t>lines</t>
        </is>
      </c>
      <c r="D1" s="1" t="inlineStr">
        <is>
          <t>role</t>
        </is>
      </c>
      <c r="E1" s="1" t="inlineStr">
        <is>
          <t>stratum</t>
        </is>
      </c>
      <c r="F1" s="1" t="inlineStr">
        <is>
          <t>script hits</t>
        </is>
      </c>
      <c r="G1" s="1" t="inlineStr">
        <is>
          <t>processed</t>
        </is>
      </c>
    </row>
    <row r="2">
      <c r="A2" t="inlineStr">
        <is>
          <t>archon-search</t>
        </is>
      </c>
      <c r="B2" t="inlineStr">
        <is>
          <t>/Users/manczg/Documents/development/archon-search/archon_search/pipeline.py</t>
        </is>
      </c>
      <c r="C2" t="n">
        <v>3635</v>
      </c>
      <c r="D2" t="inlineStr">
        <is>
          <t>prod</t>
        </is>
      </c>
      <c r="E2" t="inlineStr">
        <is>
          <t>top</t>
        </is>
      </c>
      <c r="F2">
        <f>COUNTIFS(data_hits!$B:$B,$B2)</f>
        <v/>
      </c>
      <c r="G2" t="inlineStr">
        <is>
          <t>yes</t>
        </is>
      </c>
    </row>
    <row r="3">
      <c r="A3" t="inlineStr">
        <is>
          <t>archon-search</t>
        </is>
      </c>
      <c r="B3" t="inlineStr">
        <is>
          <t>/Users/manczg/Documents/development/archon-search/archon_search/store.py</t>
        </is>
      </c>
      <c r="C3" t="n">
        <v>3105</v>
      </c>
      <c r="D3" t="inlineStr">
        <is>
          <t>prod</t>
        </is>
      </c>
      <c r="E3" t="inlineStr">
        <is>
          <t>top</t>
        </is>
      </c>
      <c r="F3">
        <f>COUNTIFS(data_hits!$B:$B,$B3)</f>
        <v/>
      </c>
      <c r="G3" t="inlineStr">
        <is>
          <t>yes</t>
        </is>
      </c>
    </row>
    <row r="4">
      <c r="A4" t="inlineStr">
        <is>
          <t>archon-search</t>
        </is>
      </c>
      <c r="B4" t="inlineStr">
        <is>
          <t>/Users/manczg/Documents/development/archon-search/archon_search/graph_store.py</t>
        </is>
      </c>
      <c r="C4" t="n">
        <v>2449</v>
      </c>
      <c r="D4" t="inlineStr">
        <is>
          <t>prod</t>
        </is>
      </c>
      <c r="E4" t="inlineStr">
        <is>
          <t>top</t>
        </is>
      </c>
      <c r="F4">
        <f>COUNTIFS(data_hits!$B:$B,$B4)</f>
        <v/>
      </c>
      <c r="G4" t="inlineStr">
        <is>
          <t>yes</t>
        </is>
      </c>
    </row>
    <row r="5">
      <c r="A5" t="inlineStr">
        <is>
          <t>archon-search</t>
        </is>
      </c>
      <c r="B5" t="inlineStr">
        <is>
          <t>/Users/manczg/Documents/development/archon-search/archon_search/server/mcp.py</t>
        </is>
      </c>
      <c r="C5" t="n">
        <v>2259</v>
      </c>
      <c r="D5" t="inlineStr">
        <is>
          <t>prod</t>
        </is>
      </c>
      <c r="E5" t="inlineStr">
        <is>
          <t>top</t>
        </is>
      </c>
      <c r="F5">
        <f>COUNTIFS(data_hits!$B:$B,$B5)</f>
        <v/>
      </c>
      <c r="G5" t="inlineStr">
        <is>
          <t>yes</t>
        </is>
      </c>
    </row>
    <row r="6">
      <c r="A6" t="inlineStr">
        <is>
          <t>archon-search</t>
        </is>
      </c>
      <c r="B6" t="inlineStr">
        <is>
          <t>/Users/manczg/Documents/development/archon-search/archon_search/eval/runner.py</t>
        </is>
      </c>
      <c r="C6" t="n">
        <v>2014</v>
      </c>
      <c r="D6" t="inlineStr">
        <is>
          <t>prod</t>
        </is>
      </c>
      <c r="E6" t="inlineStr">
        <is>
          <t>top</t>
        </is>
      </c>
      <c r="F6">
        <f>COUNTIFS(data_hits!$B:$B,$B6)</f>
        <v/>
      </c>
      <c r="G6" t="inlineStr">
        <is>
          <t>yes</t>
        </is>
      </c>
    </row>
    <row r="7">
      <c r="A7" t="inlineStr">
        <is>
          <t>archon-search</t>
        </is>
      </c>
      <c r="B7" t="inlineStr">
        <is>
          <t>/Users/manczg/Documents/development/archon-search/archon_search/parser.py</t>
        </is>
      </c>
      <c r="C7" t="n">
        <v>362</v>
      </c>
      <c r="D7" t="inlineStr">
        <is>
          <t>prod</t>
        </is>
      </c>
      <c r="E7" t="inlineStr">
        <is>
          <t>p25</t>
        </is>
      </c>
      <c r="F7">
        <f>COUNTIFS(data_hits!$B:$B,$B7)</f>
        <v/>
      </c>
      <c r="G7" t="inlineStr">
        <is>
          <t>yes</t>
        </is>
      </c>
    </row>
    <row r="8">
      <c r="A8" t="inlineStr">
        <is>
          <t>archon-search</t>
        </is>
      </c>
      <c r="B8" t="inlineStr">
        <is>
          <t>/Users/manczg/Documents/development/archon-search/archon_search/embedder_cache.py</t>
        </is>
      </c>
      <c r="C8" t="n">
        <v>195</v>
      </c>
      <c r="D8" t="inlineStr">
        <is>
          <t>prod</t>
        </is>
      </c>
      <c r="E8" t="inlineStr">
        <is>
          <t>p50</t>
        </is>
      </c>
      <c r="F8">
        <f>COUNTIFS(data_hits!$B:$B,$B8)</f>
        <v/>
      </c>
      <c r="G8" t="inlineStr">
        <is>
          <t>yes</t>
        </is>
      </c>
    </row>
    <row r="9">
      <c r="A9" t="inlineStr">
        <is>
          <t>archon-search</t>
        </is>
      </c>
      <c r="B9" t="inlineStr">
        <is>
          <t>/Users/manczg/Documents/development/archon-search/archon_search/sync_suppression.py</t>
        </is>
      </c>
      <c r="C9" t="n">
        <v>84</v>
      </c>
      <c r="D9" t="inlineStr">
        <is>
          <t>prod</t>
        </is>
      </c>
      <c r="E9" t="inlineStr">
        <is>
          <t>p75</t>
        </is>
      </c>
      <c r="F9">
        <f>COUNTIFS(data_hits!$B:$B,$B9)</f>
        <v/>
      </c>
      <c r="G9" t="inlineStr">
        <is>
          <t>yes</t>
        </is>
      </c>
    </row>
    <row r="10">
      <c r="A10" t="inlineStr">
        <is>
          <t>archon-search</t>
        </is>
      </c>
      <c r="B10" t="inlineStr">
        <is>
          <t>/Users/manczg/Documents/development/archon-search/tests/test_store.py</t>
        </is>
      </c>
      <c r="C10" t="n">
        <v>8271</v>
      </c>
      <c r="D10" t="inlineStr">
        <is>
          <t>test</t>
        </is>
      </c>
      <c r="E10" t="inlineStr">
        <is>
          <t>top</t>
        </is>
      </c>
      <c r="F10">
        <f>COUNTIFS(data_hits!$B:$B,$B10)</f>
        <v/>
      </c>
      <c r="G10" t="inlineStr">
        <is>
          <t>yes</t>
        </is>
      </c>
    </row>
    <row r="11">
      <c r="A11" t="inlineStr">
        <is>
          <t>archon-search</t>
        </is>
      </c>
      <c r="B11" t="inlineStr">
        <is>
          <t>/Users/manczg/Documents/development/archon-search/tests/test_sync.py</t>
        </is>
      </c>
      <c r="C11" t="n">
        <v>5742</v>
      </c>
      <c r="D11" t="inlineStr">
        <is>
          <t>test</t>
        </is>
      </c>
      <c r="E11" t="inlineStr">
        <is>
          <t>top</t>
        </is>
      </c>
      <c r="F11">
        <f>COUNTIFS(data_hits!$B:$B,$B11)</f>
        <v/>
      </c>
      <c r="G11" t="inlineStr">
        <is>
          <t>yes</t>
        </is>
      </c>
    </row>
    <row r="12">
      <c r="A12" t="inlineStr">
        <is>
          <t>moonset</t>
        </is>
      </c>
      <c r="B12" t="inlineStr">
        <is>
          <t>/Users/manczg/Documents/development/moonset/moonset-app/MoonsetApp/Presentation/ViewModels/SleepTimerViewModel.swift</t>
        </is>
      </c>
      <c r="C12" t="n">
        <v>1003</v>
      </c>
      <c r="D12" t="inlineStr">
        <is>
          <t>prod</t>
        </is>
      </c>
      <c r="E12" t="inlineStr">
        <is>
          <t>top</t>
        </is>
      </c>
      <c r="F12">
        <f>COUNTIFS(data_hits!$B:$B,$B12)</f>
        <v/>
      </c>
      <c r="G12" t="inlineStr">
        <is>
          <t>yes</t>
        </is>
      </c>
    </row>
    <row r="13">
      <c r="A13" t="inlineStr">
        <is>
          <t>moonset</t>
        </is>
      </c>
      <c r="B13" t="inlineStr">
        <is>
          <t>/Users/manczg/Documents/development/moonset/moonset-app/MoonsetApp/Presentation/Views/SleepTimerView.swift</t>
        </is>
      </c>
      <c r="C13" t="n">
        <v>379</v>
      </c>
      <c r="D13" t="inlineStr">
        <is>
          <t>prod</t>
        </is>
      </c>
      <c r="E13" t="inlineStr">
        <is>
          <t>top</t>
        </is>
      </c>
      <c r="F13">
        <f>COUNTIFS(data_hits!$B:$B,$B13)</f>
        <v/>
      </c>
      <c r="G13" t="inlineStr">
        <is>
          <t>yes</t>
        </is>
      </c>
    </row>
    <row r="14">
      <c r="A14" t="inlineStr">
        <is>
          <t>moonset</t>
        </is>
      </c>
      <c r="B14" t="inlineStr">
        <is>
          <t>/Users/manczg/Documents/development/moonset/moonset-app/MoonsetApp/Presentation/Views/Components/ControlButtonsView.swift</t>
        </is>
      </c>
      <c r="C14" t="n">
        <v>293</v>
      </c>
      <c r="D14" t="inlineStr">
        <is>
          <t>prod</t>
        </is>
      </c>
      <c r="E14" t="inlineStr">
        <is>
          <t>top</t>
        </is>
      </c>
      <c r="F14">
        <f>COUNTIFS(data_hits!$B:$B,$B14)</f>
        <v/>
      </c>
      <c r="G14" t="inlineStr">
        <is>
          <t>yes</t>
        </is>
      </c>
    </row>
    <row r="15">
      <c r="A15" t="inlineStr">
        <is>
          <t>moonset</t>
        </is>
      </c>
      <c r="B15" t="inlineStr">
        <is>
          <t>/Users/manczg/Documents/development/moonset/moonset-app/MoonsetApp/Infrastructure/Audio/AVFoundationAudioService.swift</t>
        </is>
      </c>
      <c r="C15" t="n">
        <v>288</v>
      </c>
      <c r="D15" t="inlineStr">
        <is>
          <t>prod</t>
        </is>
      </c>
      <c r="E15" t="inlineStr">
        <is>
          <t>top</t>
        </is>
      </c>
      <c r="F15">
        <f>COUNTIFS(data_hits!$B:$B,$B15)</f>
        <v/>
      </c>
      <c r="G15" t="inlineStr">
        <is>
          <t>yes</t>
        </is>
      </c>
    </row>
    <row r="16">
      <c r="A16" t="inlineStr">
        <is>
          <t>moonset</t>
        </is>
      </c>
      <c r="B16" t="inlineStr">
        <is>
          <t>/Users/manczg/Documents/development/moonset/moonset-app/MoonsetApp/Presentation/Views/Components/TimerDisplayView.swift</t>
        </is>
      </c>
      <c r="C16" t="n">
        <v>256</v>
      </c>
      <c r="D16" t="inlineStr">
        <is>
          <t>prod</t>
        </is>
      </c>
      <c r="E16" t="inlineStr">
        <is>
          <t>top</t>
        </is>
      </c>
      <c r="F16">
        <f>COUNTIFS(data_hits!$B:$B,$B16)</f>
        <v/>
      </c>
      <c r="G16" t="inlineStr">
        <is>
          <t>yes</t>
        </is>
      </c>
    </row>
    <row r="17">
      <c r="A17" t="inlineStr">
        <is>
          <t>moonset</t>
        </is>
      </c>
      <c r="B17" t="inlineStr">
        <is>
          <t>/Users/manczg/Documents/development/moonset/moonset-app/MoonsetApp/Presentation/Views/Components/OverlayPanelContainer.swift</t>
        </is>
      </c>
      <c r="C17" t="n">
        <v>144</v>
      </c>
      <c r="D17" t="inlineStr">
        <is>
          <t>prod</t>
        </is>
      </c>
      <c r="E17" t="inlineStr">
        <is>
          <t>p25</t>
        </is>
      </c>
      <c r="F17">
        <f>COUNTIFS(data_hits!$B:$B,$B17)</f>
        <v/>
      </c>
      <c r="G17" t="inlineStr">
        <is>
          <t>yes</t>
        </is>
      </c>
    </row>
    <row r="18">
      <c r="A18" t="inlineStr">
        <is>
          <t>moonset</t>
        </is>
      </c>
      <c r="B18" t="inlineStr">
        <is>
          <t>/Users/manczg/Documents/development/moonset/moonset-app/MoonsetApp/Presentation/Views/Components/StarAnimationView.swift</t>
        </is>
      </c>
      <c r="C18" t="n">
        <v>97</v>
      </c>
      <c r="D18" t="inlineStr">
        <is>
          <t>prod</t>
        </is>
      </c>
      <c r="E18" t="inlineStr">
        <is>
          <t>p50</t>
        </is>
      </c>
      <c r="F18">
        <f>COUNTIFS(data_hits!$B:$B,$B18)</f>
        <v/>
      </c>
      <c r="G18" t="inlineStr">
        <is>
          <t>yes</t>
        </is>
      </c>
    </row>
    <row r="19">
      <c r="A19" t="inlineStr">
        <is>
          <t>moonset</t>
        </is>
      </c>
      <c r="B19" t="inlineStr">
        <is>
          <t>/Users/manczg/Documents/development/moonset/moonset-app/MoonsetApp/Presentation/Views/Components/SymbolButton/SymbolButtonModifiers.swift</t>
        </is>
      </c>
      <c r="C19" t="n">
        <v>38</v>
      </c>
      <c r="D19" t="inlineStr">
        <is>
          <t>prod</t>
        </is>
      </c>
      <c r="E19" t="inlineStr">
        <is>
          <t>p75</t>
        </is>
      </c>
      <c r="F19">
        <f>COUNTIFS(data_hits!$B:$B,$B19)</f>
        <v/>
      </c>
      <c r="G19" t="inlineStr">
        <is>
          <t>yes</t>
        </is>
      </c>
    </row>
    <row r="20">
      <c r="A20" t="inlineStr">
        <is>
          <t>moonset</t>
        </is>
      </c>
      <c r="B20" t="inlineStr">
        <is>
          <t>/Users/manczg/Documents/development/moonset/moonset-app/MoonsetAppTests/Presentation/ViewModels/SleepTimerViewModelMusicSetupTests.swift</t>
        </is>
      </c>
      <c r="C20" t="n">
        <v>1086</v>
      </c>
      <c r="D20" t="inlineStr">
        <is>
          <t>test</t>
        </is>
      </c>
      <c r="E20" t="inlineStr">
        <is>
          <t>top</t>
        </is>
      </c>
      <c r="F20">
        <f>COUNTIFS(data_hits!$B:$B,$B20)</f>
        <v/>
      </c>
      <c r="G20" t="inlineStr">
        <is>
          <t>yes</t>
        </is>
      </c>
    </row>
    <row r="21">
      <c r="A21" t="inlineStr">
        <is>
          <t>moonset</t>
        </is>
      </c>
      <c r="B21" t="inlineStr">
        <is>
          <t>/Users/manczg/Documents/development/moonset/core/Tests/MoonsetCoreTests/Domain/Entities/SleepTimerTests.swift</t>
        </is>
      </c>
      <c r="C21" t="n">
        <v>601</v>
      </c>
      <c r="D21" t="inlineStr">
        <is>
          <t>test</t>
        </is>
      </c>
      <c r="E21" t="inlineStr">
        <is>
          <t>top</t>
        </is>
      </c>
      <c r="F21">
        <f>COUNTIFS(data_hits!$B:$B,$B21)</f>
        <v/>
      </c>
      <c r="G21" t="inlineStr">
        <is>
          <t>yes</t>
        </is>
      </c>
    </row>
    <row r="22">
      <c r="A22" t="inlineStr">
        <is>
          <t>financialwell</t>
        </is>
      </c>
      <c r="B22" t="inlineStr">
        <is>
          <t>/Users/manczg/Documents/development/financialwell/FinancialWell/Views/AddTransactionViewController.swift</t>
        </is>
      </c>
      <c r="C22" t="n">
        <v>619</v>
      </c>
      <c r="D22" t="inlineStr">
        <is>
          <t>prod</t>
        </is>
      </c>
      <c r="E22" t="inlineStr">
        <is>
          <t>top</t>
        </is>
      </c>
      <c r="F22">
        <f>COUNTIFS(data_hits!$B:$B,$B22)</f>
        <v/>
      </c>
      <c r="G22" t="inlineStr">
        <is>
          <t>yes</t>
        </is>
      </c>
    </row>
    <row r="23">
      <c r="A23" t="inlineStr">
        <is>
          <t>financialwell</t>
        </is>
      </c>
      <c r="B23" t="inlineStr">
        <is>
          <t>/Users/manczg/Documents/development/financialwell/FinancialWell/Home/HomeViewController.swift</t>
        </is>
      </c>
      <c r="C23" t="n">
        <v>561</v>
      </c>
      <c r="D23" t="inlineStr">
        <is>
          <t>prod</t>
        </is>
      </c>
      <c r="E23" t="inlineStr">
        <is>
          <t>top</t>
        </is>
      </c>
      <c r="F23">
        <f>COUNTIFS(data_hits!$B:$B,$B23)</f>
        <v/>
      </c>
      <c r="G23" t="inlineStr">
        <is>
          <t>yes</t>
        </is>
      </c>
    </row>
    <row r="24">
      <c r="A24" t="inlineStr">
        <is>
          <t>financialwell</t>
        </is>
      </c>
      <c r="B24" t="inlineStr">
        <is>
          <t>/Users/manczg/Documents/development/financialwell/FinancialWell/ViewModels/FilterViewModel.swift</t>
        </is>
      </c>
      <c r="C24" t="n">
        <v>560</v>
      </c>
      <c r="D24" t="inlineStr">
        <is>
          <t>prod</t>
        </is>
      </c>
      <c r="E24" t="inlineStr">
        <is>
          <t>top</t>
        </is>
      </c>
      <c r="F24">
        <f>COUNTIFS(data_hits!$B:$B,$B24)</f>
        <v/>
      </c>
      <c r="G24" t="inlineStr">
        <is>
          <t>yes</t>
        </is>
      </c>
    </row>
    <row r="25">
      <c r="A25" t="inlineStr">
        <is>
          <t>financialwell</t>
        </is>
      </c>
      <c r="B25" t="inlineStr">
        <is>
          <t>/Users/manczg/Documents/development/financialwell/FinancialWell/Models/ModelCurrencies.swift</t>
        </is>
      </c>
      <c r="C25" t="n">
        <v>542</v>
      </c>
      <c r="D25" t="inlineStr">
        <is>
          <t>prod</t>
        </is>
      </c>
      <c r="E25" t="inlineStr">
        <is>
          <t>top</t>
        </is>
      </c>
      <c r="F25">
        <f>COUNTIFS(data_hits!$B:$B,$B25)</f>
        <v/>
      </c>
      <c r="G25" t="inlineStr">
        <is>
          <t>yes</t>
        </is>
      </c>
    </row>
    <row r="26">
      <c r="A26" t="inlineStr">
        <is>
          <t>financialwell</t>
        </is>
      </c>
      <c r="B26" t="inlineStr">
        <is>
          <t>/Users/manczg/Documents/development/financialwell/FinancialWell/Models/TransactionModel.swift</t>
        </is>
      </c>
      <c r="C26" t="n">
        <v>533</v>
      </c>
      <c r="D26" t="inlineStr">
        <is>
          <t>prod</t>
        </is>
      </c>
      <c r="E26" t="inlineStr">
        <is>
          <t>top</t>
        </is>
      </c>
      <c r="F26">
        <f>COUNTIFS(data_hits!$B:$B,$B26)</f>
        <v/>
      </c>
      <c r="G26" t="inlineStr">
        <is>
          <t>yes</t>
        </is>
      </c>
    </row>
    <row r="27">
      <c r="A27" t="inlineStr">
        <is>
          <t>financialwell</t>
        </is>
      </c>
      <c r="B27" t="inlineStr">
        <is>
          <t>/Users/manczg/Documents/development/financialwell/FinancialWell/Import/Import.swift</t>
        </is>
      </c>
      <c r="C27" t="n">
        <v>154</v>
      </c>
      <c r="D27" t="inlineStr">
        <is>
          <t>prod</t>
        </is>
      </c>
      <c r="E27" t="inlineStr">
        <is>
          <t>p25</t>
        </is>
      </c>
      <c r="F27">
        <f>COUNTIFS(data_hits!$B:$B,$B27)</f>
        <v/>
      </c>
      <c r="G27" t="inlineStr">
        <is>
          <t>yes</t>
        </is>
      </c>
    </row>
    <row r="28">
      <c r="A28" t="inlineStr">
        <is>
          <t>financialwell</t>
        </is>
      </c>
      <c r="B28" t="inlineStr">
        <is>
          <t>/Users/manczg/Documents/development/financialwell/FinancialWell/ViewModels/AccountEditViewModel.swift</t>
        </is>
      </c>
      <c r="C28" t="n">
        <v>85</v>
      </c>
      <c r="D28" t="inlineStr">
        <is>
          <t>prod</t>
        </is>
      </c>
      <c r="E28" t="inlineStr">
        <is>
          <t>p50</t>
        </is>
      </c>
      <c r="F28">
        <f>COUNTIFS(data_hits!$B:$B,$B28)</f>
        <v/>
      </c>
      <c r="G28" t="inlineStr">
        <is>
          <t>yes</t>
        </is>
      </c>
    </row>
    <row r="29">
      <c r="A29" t="inlineStr">
        <is>
          <t>financialwell</t>
        </is>
      </c>
      <c r="B29" t="inlineStr">
        <is>
          <t>/Users/manczg/Documents/development/financialwell/FinancialWell/Import/ImportTransactionsImportFailedViewController.swift</t>
        </is>
      </c>
      <c r="C29" t="n">
        <v>44</v>
      </c>
      <c r="D29" t="inlineStr">
        <is>
          <t>prod</t>
        </is>
      </c>
      <c r="E29" t="inlineStr">
        <is>
          <t>p75</t>
        </is>
      </c>
      <c r="F29">
        <f>COUNTIFS(data_hits!$B:$B,$B29)</f>
        <v/>
      </c>
      <c r="G29" t="inlineStr">
        <is>
          <t>yes</t>
        </is>
      </c>
    </row>
    <row r="30">
      <c r="A30" t="inlineStr">
        <is>
          <t>financialwell</t>
        </is>
      </c>
      <c r="B30" t="inlineStr">
        <is>
          <t>/Users/manczg/Documents/development/financialwell/UITests/FrenchLocaleE2ESmokeTests.swift</t>
        </is>
      </c>
      <c r="C30" t="n">
        <v>729</v>
      </c>
      <c r="D30" t="inlineStr">
        <is>
          <t>test</t>
        </is>
      </c>
      <c r="E30" t="inlineStr">
        <is>
          <t>top</t>
        </is>
      </c>
      <c r="F30">
        <f>COUNTIFS(data_hits!$B:$B,$B30)</f>
        <v/>
      </c>
      <c r="G30" t="inlineStr">
        <is>
          <t>yes</t>
        </is>
      </c>
    </row>
    <row r="31">
      <c r="A31" t="inlineStr">
        <is>
          <t>financialwell</t>
        </is>
      </c>
      <c r="B31" t="inlineStr">
        <is>
          <t>/Users/manczg/Documents/development/financialwell/UITests/Authentication/LockScreenUITests.swift</t>
        </is>
      </c>
      <c r="C31" t="n">
        <v>702</v>
      </c>
      <c r="D31" t="inlineStr">
        <is>
          <t>test</t>
        </is>
      </c>
      <c r="E31" t="inlineStr">
        <is>
          <t>top</t>
        </is>
      </c>
      <c r="F31">
        <f>COUNTIFS(data_hits!$B:$B,$B31)</f>
        <v/>
      </c>
      <c r="G31" t="inlineStr">
        <is>
          <t>yes</t>
        </is>
      </c>
    </row>
    <row r="32">
      <c r="A32" t="inlineStr">
        <is>
          <t>dddd</t>
        </is>
      </c>
      <c r="B32" t="inlineStr">
        <is>
          <t>/Users/manczg/Documents/development/dddd/src/metrics/pr-cycle-time-dashboard.ts</t>
        </is>
      </c>
      <c r="C32" t="n">
        <v>833</v>
      </c>
      <c r="D32" t="inlineStr">
        <is>
          <t>prod</t>
        </is>
      </c>
      <c r="E32" t="inlineStr">
        <is>
          <t>top</t>
        </is>
      </c>
      <c r="F32">
        <f>COUNTIFS(data_hits!$B:$B,$B32)</f>
        <v/>
      </c>
      <c r="G32" t="inlineStr">
        <is>
          <t>yes</t>
        </is>
      </c>
    </row>
    <row r="33">
      <c r="A33" t="inlineStr">
        <is>
          <t>dddd</t>
        </is>
      </c>
      <c r="B33" t="inlineStr">
        <is>
          <t>/Users/manczg/Documents/development/dddd/src/components/dashboard/PrCycleTimeDashboard.tsx</t>
        </is>
      </c>
      <c r="C33" t="n">
        <v>699</v>
      </c>
      <c r="D33" t="inlineStr">
        <is>
          <t>prod</t>
        </is>
      </c>
      <c r="E33" t="inlineStr">
        <is>
          <t>top</t>
        </is>
      </c>
      <c r="F33">
        <f>COUNTIFS(data_hits!$B:$B,$B33)</f>
        <v/>
      </c>
      <c r="G33" t="inlineStr">
        <is>
          <t>yes</t>
        </is>
      </c>
    </row>
    <row r="34">
      <c r="A34" t="inlineStr">
        <is>
          <t>dddd</t>
        </is>
      </c>
      <c r="B34" t="inlineStr">
        <is>
          <t>/Users/manczg/Documents/development/dddd/src/collector/github-client.ts</t>
        </is>
      </c>
      <c r="C34" t="n">
        <v>588</v>
      </c>
      <c r="D34" t="inlineStr">
        <is>
          <t>prod</t>
        </is>
      </c>
      <c r="E34" t="inlineStr">
        <is>
          <t>top</t>
        </is>
      </c>
      <c r="F34">
        <f>COUNTIFS(data_hits!$B:$B,$B34)</f>
        <v/>
      </c>
      <c r="G34" t="inlineStr">
        <is>
          <t>yes</t>
        </is>
      </c>
    </row>
    <row r="35">
      <c r="A35" t="inlineStr">
        <is>
          <t>dddd</t>
        </is>
      </c>
      <c r="B35" t="inlineStr">
        <is>
          <t>/Users/manczg/Documents/development/dddd/src/components/dashboard/weekly-trend-chart.tsx</t>
        </is>
      </c>
      <c r="C35" t="n">
        <v>525</v>
      </c>
      <c r="D35" t="inlineStr">
        <is>
          <t>prod</t>
        </is>
      </c>
      <c r="E35" t="inlineStr">
        <is>
          <t>top</t>
        </is>
      </c>
      <c r="F35">
        <f>COUNTIFS(data_hits!$B:$B,$B35)</f>
        <v/>
      </c>
      <c r="G35" t="inlineStr">
        <is>
          <t>yes</t>
        </is>
      </c>
    </row>
    <row r="36">
      <c r="A36" t="inlineStr">
        <is>
          <t>dddd</t>
        </is>
      </c>
      <c r="B36" t="inlineStr">
        <is>
          <t>/Users/manczg/Documents/development/dddd/src/collector/pr-size-sync.ts</t>
        </is>
      </c>
      <c r="C36" t="n">
        <v>518</v>
      </c>
      <c r="D36" t="inlineStr">
        <is>
          <t>prod</t>
        </is>
      </c>
      <c r="E36" t="inlineStr">
        <is>
          <t>top</t>
        </is>
      </c>
      <c r="F36">
        <f>COUNTIFS(data_hits!$B:$B,$B36)</f>
        <v/>
      </c>
      <c r="G36" t="inlineStr">
        <is>
          <t>yes</t>
        </is>
      </c>
    </row>
    <row r="37">
      <c r="A37" t="inlineStr">
        <is>
          <t>dddd</t>
        </is>
      </c>
      <c r="B37" t="inlineStr">
        <is>
          <t>/Users/manczg/Documents/development/dddd/src/components/dashboard/FirstReviewExceptionsPanel.tsx</t>
        </is>
      </c>
      <c r="C37" t="n">
        <v>107</v>
      </c>
      <c r="D37" t="inlineStr">
        <is>
          <t>prod</t>
        </is>
      </c>
      <c r="E37" t="inlineStr">
        <is>
          <t>p25</t>
        </is>
      </c>
      <c r="F37">
        <f>COUNTIFS(data_hits!$B:$B,$B37)</f>
        <v/>
      </c>
      <c r="G37" t="inlineStr">
        <is>
          <t>yes</t>
        </is>
      </c>
    </row>
    <row r="38">
      <c r="A38" t="inlineStr">
        <is>
          <t>dddd</t>
        </is>
      </c>
      <c r="B38" t="inlineStr">
        <is>
          <t>/Users/manczg/Documents/development/dddd/src/server/derive-refresh-button-state.ts</t>
        </is>
      </c>
      <c r="C38" t="n">
        <v>53</v>
      </c>
      <c r="D38" t="inlineStr">
        <is>
          <t>prod</t>
        </is>
      </c>
      <c r="E38" t="inlineStr">
        <is>
          <t>p50</t>
        </is>
      </c>
      <c r="F38">
        <f>COUNTIFS(data_hits!$B:$B,$B38)</f>
        <v/>
      </c>
      <c r="G38" t="inlineStr">
        <is>
          <t>yes</t>
        </is>
      </c>
    </row>
    <row r="39">
      <c r="A39" t="inlineStr">
        <is>
          <t>dddd</t>
        </is>
      </c>
      <c r="B39" t="inlineStr">
        <is>
          <t>/Users/manczg/Documents/development/dddd/src/components/dashboard/team-label.tsx</t>
        </is>
      </c>
      <c r="C39" t="n">
        <v>26</v>
      </c>
      <c r="D39" t="inlineStr">
        <is>
          <t>prod</t>
        </is>
      </c>
      <c r="E39" t="inlineStr">
        <is>
          <t>p75</t>
        </is>
      </c>
      <c r="F39">
        <f>COUNTIFS(data_hits!$B:$B,$B39)</f>
        <v/>
      </c>
      <c r="G39" t="inlineStr">
        <is>
          <t>yes</t>
        </is>
      </c>
    </row>
    <row r="40">
      <c r="A40" t="inlineStr">
        <is>
          <t>dddd</t>
        </is>
      </c>
      <c r="B40" t="inlineStr">
        <is>
          <t>/Users/manczg/Documents/development/dddd/tests/metrics/pr-cycle-time-dashboard.test.ts</t>
        </is>
      </c>
      <c r="C40" t="n">
        <v>1149</v>
      </c>
      <c r="D40" t="inlineStr">
        <is>
          <t>test</t>
        </is>
      </c>
      <c r="E40" t="inlineStr">
        <is>
          <t>top</t>
        </is>
      </c>
      <c r="F40">
        <f>COUNTIFS(data_hits!$B:$B,$B40)</f>
        <v/>
      </c>
      <c r="G40" t="inlineStr">
        <is>
          <t>yes</t>
        </is>
      </c>
    </row>
    <row r="41">
      <c r="A41" t="inlineStr">
        <is>
          <t>dddd</t>
        </is>
      </c>
      <c r="B41" t="inlineStr">
        <is>
          <t>/Users/manczg/Documents/development/dddd/tests/components/pr-cycle-time-dashboard.test.tsx</t>
        </is>
      </c>
      <c r="C41" t="n">
        <v>1031</v>
      </c>
      <c r="D41" t="inlineStr">
        <is>
          <t>test</t>
        </is>
      </c>
      <c r="E41" t="inlineStr">
        <is>
          <t>top</t>
        </is>
      </c>
      <c r="F41">
        <f>COUNTIFS(data_hits!$B:$B,$B41)</f>
        <v/>
      </c>
      <c r="G41" t="inlineStr">
        <is>
          <t>yes</t>
        </is>
      </c>
    </row>
    <row r="42">
      <c r="A42" t="inlineStr">
        <is>
          <t>udemy-top-down-shooter</t>
        </is>
      </c>
      <c r="B42" t="inlineStr">
        <is>
          <t>/Users/manczg/Documents/development/udemy-top-down-shooter/Assets/PlayerControls.cs</t>
        </is>
      </c>
      <c r="C42" t="n">
        <v>378</v>
      </c>
      <c r="D42" t="inlineStr">
        <is>
          <t>prod</t>
        </is>
      </c>
      <c r="E42" t="inlineStr">
        <is>
          <t>all</t>
        </is>
      </c>
      <c r="F42">
        <f>COUNTIFS(data_hits!$B:$B,$B42)</f>
        <v/>
      </c>
      <c r="G42" t="inlineStr">
        <is>
          <t>yes</t>
        </is>
      </c>
    </row>
    <row r="43">
      <c r="A43" t="inlineStr">
        <is>
          <t>udemy-top-down-shooter</t>
        </is>
      </c>
      <c r="B43" t="inlineStr">
        <is>
          <t>/Users/manczg/Documents/development/udemy-top-down-shooter/Assets/PlayerMovement.cs</t>
        </is>
      </c>
      <c r="C43" t="n">
        <v>121</v>
      </c>
      <c r="D43" t="inlineStr">
        <is>
          <t>prod</t>
        </is>
      </c>
      <c r="E43" t="inlineStr">
        <is>
          <t>all</t>
        </is>
      </c>
      <c r="F43">
        <f>COUNTIFS(data_hits!$B:$B,$B43)</f>
        <v/>
      </c>
      <c r="G43" t="inlineStr">
        <is>
          <t>yes</t>
        </is>
      </c>
    </row>
    <row r="44">
      <c r="A44" t="inlineStr">
        <is>
          <t>udemy-top-down-shooter</t>
        </is>
      </c>
      <c r="B44" t="inlineStr">
        <is>
          <t>/Users/manczg/Documents/development/udemy-top-down-shooter/Assets/WeaponVisualController.cs</t>
        </is>
      </c>
      <c r="C44" t="n">
        <v>69</v>
      </c>
      <c r="D44" t="inlineStr">
        <is>
          <t>prod</t>
        </is>
      </c>
      <c r="E44" t="inlineStr">
        <is>
          <t>all</t>
        </is>
      </c>
      <c r="F44">
        <f>COUNTIFS(data_hits!$B:$B,$B44)</f>
        <v/>
      </c>
      <c r="G44" t="inlineStr">
        <is>
          <t>yes</t>
        </is>
      </c>
    </row>
    <row r="45">
      <c r="A45" t="inlineStr">
        <is>
          <t>udemy-top-down-shooter</t>
        </is>
      </c>
      <c r="B45" t="inlineStr">
        <is>
          <t>/Users/manczg/Documents/development/udemy-top-down-shooter/Assets/Player.cs</t>
        </is>
      </c>
      <c r="C45" t="n">
        <v>22</v>
      </c>
      <c r="D45" t="inlineStr">
        <is>
          <t>prod</t>
        </is>
      </c>
      <c r="E45" t="inlineStr">
        <is>
          <t>all</t>
        </is>
      </c>
      <c r="F45">
        <f>COUNTIFS(data_hits!$B:$B,$B45)</f>
        <v/>
      </c>
      <c r="G45" t="inlineStr">
        <is>
          <t>yes</t>
        </is>
      </c>
    </row>
    <row r="46">
      <c r="A46" t="inlineStr">
        <is>
          <t>udemy-top-down-shooter</t>
        </is>
      </c>
      <c r="B46" t="inlineStr">
        <is>
          <t>/Users/manczg/Documents/development/udemy-top-down-shooter/Assets/PlayerWeaponController.cs</t>
        </is>
      </c>
      <c r="C46" t="n">
        <v>21</v>
      </c>
      <c r="D46" t="inlineStr">
        <is>
          <t>prod</t>
        </is>
      </c>
      <c r="E46" t="inlineStr">
        <is>
          <t>all</t>
        </is>
      </c>
      <c r="F46">
        <f>COUNTIFS(data_hits!$B:$B,$B46)</f>
        <v/>
      </c>
      <c r="G46" t="inlineStr">
        <is>
          <t>yes</t>
        </is>
      </c>
    </row>
    <row r="47">
      <c r="A47" t="inlineStr">
        <is>
          <t>udemy-top-down-shooter</t>
        </is>
      </c>
      <c r="B47" t="inlineStr">
        <is>
          <t>/Users/manczg/Documents/development/udemy-top-down-shooter/Assets/LeftHandTargetTransform.cs</t>
        </is>
      </c>
      <c r="C47" t="n">
        <v>9</v>
      </c>
      <c r="D47" t="inlineStr">
        <is>
          <t>prod</t>
        </is>
      </c>
      <c r="E47" t="inlineStr">
        <is>
          <t>all</t>
        </is>
      </c>
      <c r="F47">
        <f>COUNTIFS(data_hits!$B:$B,$B47)</f>
        <v/>
      </c>
      <c r="G4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sonnet (adjudication + LLM-only agents)</t>
        </is>
      </c>
    </row>
    <row r="2">
      <c r="A2" t="inlineStr">
        <is>
          <t>run date</t>
        </is>
      </c>
      <c r="B2" t="inlineStr">
        <is>
          <t>2026-08-26 (round-9 rerun, live round-8 scripts)</t>
        </is>
      </c>
    </row>
    <row r="3">
      <c r="A3" t="inlineStr">
        <is>
          <t>execution</t>
        </is>
      </c>
      <c r="B3" t="inlineStr">
        <is>
          <t>collect.sh sweep upfront (all 46 files); then serial sonnet agents chunked by project (&lt;=150 hits/agent): adjudicate + LLM-only -&gt; rebuild xlsx</t>
        </is>
      </c>
    </row>
    <row r="4">
      <c r="A4" t="inlineStr">
        <is>
          <t>adjudication sample</t>
        </is>
      </c>
      <c r="B4" t="inlineStr">
        <is>
          <t>all hits, every file (no per-check cap)</t>
        </is>
      </c>
    </row>
    <row r="5">
      <c r="A5" t="inlineStr">
        <is>
          <t>script coverage %</t>
        </is>
      </c>
      <c r="B5" t="inlineStr">
        <is>
          <t>overlap / LLM-only found (recall proxy, formula)</t>
        </is>
      </c>
    </row>
    <row r="6">
      <c r="A6" t="inlineStr">
        <is>
          <t>est. true hits</t>
        </is>
      </c>
      <c r="B6" t="inlineStr">
        <is>
          <t>hits total x precision (script haul corrected for FPs, formula)</t>
        </is>
      </c>
    </row>
    <row r="7">
      <c r="A7" t="inlineStr">
        <is>
          <t>LLM-only repeats</t>
        </is>
      </c>
      <c r="B7" t="inlineStr">
        <is>
          <t>1 (token budget; variance not measured)</t>
        </is>
      </c>
    </row>
    <row r="8">
      <c r="A8" t="inlineStr">
        <is>
          <t>LLM-only input</t>
        </is>
      </c>
      <c r="B8" t="inlineStr">
        <is>
          <t>catalog of 60 scriptable checks (id/severity/title), hits withheld</t>
        </is>
      </c>
    </row>
    <row r="9">
      <c r="A9" t="inlineStr">
        <is>
          <t>match tolerance</t>
        </is>
      </c>
      <c r="B9" t="inlineStr">
        <is>
          <t>same check + file, ±3 lines (data_llm.matched, computed at build time)</t>
        </is>
      </c>
    </row>
    <row r="10">
      <c r="A10" t="inlineStr">
        <is>
          <t>HIT_CAP</t>
        </is>
      </c>
      <c r="B10" t="inlineStr">
        <is>
          <t>200 (as shipped, per-file runs, no cap warnings observed unless noted)</t>
        </is>
      </c>
    </row>
    <row r="11">
      <c r="A11" t="inlineStr">
        <is>
          <t>file selection</t>
        </is>
      </c>
      <c r="B11" t="inlineStr">
        <is>
          <t>files.tsv (frozen 2026-08-24)</t>
        </is>
      </c>
    </row>
    <row r="12">
      <c r="A12" t="inlineStr">
        <is>
          <t>precision</t>
        </is>
      </c>
      <c r="B12" t="inlineStr">
        <is>
          <t>TP / adjudicated script hits (formula)</t>
        </is>
      </c>
    </row>
    <row r="13">
      <c r="A13" t="inlineStr">
        <is>
          <t>script misses</t>
        </is>
      </c>
      <c r="B13" t="inlineStr">
        <is>
          <t>LLM-only found - overlap (formula)</t>
        </is>
      </c>
    </row>
    <row r="14">
      <c r="A14" t="inlineStr">
        <is>
          <t>aggregates</t>
        </is>
      </c>
      <c r="B14" t="inlineStr">
        <is>
          <t>all counts are COUNTIFS/SUM formulas over data_hits/data_adj/data_llm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file</t>
        </is>
      </c>
      <c r="C1" s="1" t="inlineStr">
        <is>
          <t>check</t>
        </is>
      </c>
      <c r="D1" s="1" t="inlineStr">
        <is>
          <t>line</t>
        </is>
      </c>
      <c r="E1" s="1" t="inlineStr">
        <is>
          <t>excerpt</t>
        </is>
      </c>
    </row>
    <row r="2">
      <c r="A2" t="inlineStr">
        <is>
          <t>archon-search</t>
        </is>
      </c>
      <c r="B2" t="inlineStr">
        <is>
          <t>/Users/manczg/Documents/development/archon-search/archon_search/pipeline.py</t>
        </is>
      </c>
      <c r="C2" t="inlineStr">
        <is>
          <t>clarity-06</t>
        </is>
      </c>
      <c r="D2" t="n">
        <v>95</v>
      </c>
      <c r="E2" t="inlineStr">
        <is>
          <t>class RagFusionSubQueryInfo:</t>
        </is>
      </c>
    </row>
    <row r="3">
      <c r="A3" t="inlineStr">
        <is>
          <t>archon-search</t>
        </is>
      </c>
      <c r="B3" t="inlineStr">
        <is>
          <t>/Users/manczg/Documents/development/archon-search/archon_search/pipeline.py</t>
        </is>
      </c>
      <c r="C3" t="inlineStr">
        <is>
          <t>clarity-09</t>
        </is>
      </c>
      <c r="D3" t="n">
        <v>1717</v>
      </c>
      <c r="E3" t="inlineStr">
        <is>
          <t>if k != "include_metadata" and v is not None and v is not False</t>
        </is>
      </c>
    </row>
    <row r="4">
      <c r="A4" t="inlineStr">
        <is>
          <t>archon-search</t>
        </is>
      </c>
      <c r="B4" t="inlineStr">
        <is>
          <t>/Users/manczg/Documents/development/archon-search/archon_search/pipeline.py</t>
        </is>
      </c>
      <c r="C4" t="inlineStr">
        <is>
          <t>clarity-09</t>
        </is>
      </c>
      <c r="D4" t="n">
        <v>1801</v>
      </c>
      <c r="E4" t="inlineStr">
        <is>
          <t>if rerank is False and len(collections) &gt; 1 and self._reranker is not None:</t>
        </is>
      </c>
    </row>
    <row r="5">
      <c r="A5" t="inlineStr">
        <is>
          <t>archon-search</t>
        </is>
      </c>
      <c r="B5" t="inlineStr">
        <is>
          <t>/Users/manczg/Documents/development/archon-search/archon_search/pipeline.py</t>
        </is>
      </c>
      <c r="C5" t="inlineStr">
        <is>
          <t>clarity-09</t>
        </is>
      </c>
      <c r="D5" t="n">
        <v>864</v>
      </c>
      <c r="E5" t="inlineStr">
        <is>
          <t>if (</t>
        </is>
      </c>
    </row>
    <row r="6">
      <c r="A6" t="inlineStr">
        <is>
          <t>archon-search</t>
        </is>
      </c>
      <c r="B6" t="inlineStr">
        <is>
          <t>/Users/manczg/Documents/development/archon-search/archon_search/pipeline.py</t>
        </is>
      </c>
      <c r="C6" t="inlineStr">
        <is>
          <t>clarity-09</t>
        </is>
      </c>
      <c r="D6" t="n">
        <v>1059</v>
      </c>
      <c r="E6" t="inlineStr">
        <is>
          <t>if (</t>
        </is>
      </c>
    </row>
    <row r="7">
      <c r="A7" t="inlineStr">
        <is>
          <t>archon-search</t>
        </is>
      </c>
      <c r="B7" t="inlineStr">
        <is>
          <t>/Users/manczg/Documents/development/archon-search/archon_search/pipeline.py</t>
        </is>
      </c>
      <c r="C7" t="inlineStr">
        <is>
          <t>clarity-09</t>
        </is>
      </c>
      <c r="D7" t="n">
        <v>1960</v>
      </c>
      <c r="E7" t="inlineStr">
        <is>
          <t>if (</t>
        </is>
      </c>
    </row>
    <row r="8">
      <c r="A8" t="inlineStr">
        <is>
          <t>archon-search</t>
        </is>
      </c>
      <c r="B8" t="inlineStr">
        <is>
          <t>/Users/manczg/Documents/development/archon-search/archon_search/pipeline.py</t>
        </is>
      </c>
      <c r="C8" t="inlineStr">
        <is>
          <t>clarity-09</t>
        </is>
      </c>
      <c r="D8" t="n">
        <v>2672</v>
      </c>
      <c r="E8" t="inlineStr">
        <is>
          <t>if (</t>
        </is>
      </c>
    </row>
    <row r="9">
      <c r="A9" t="inlineStr">
        <is>
          <t>archon-search</t>
        </is>
      </c>
      <c r="B9" t="inlineStr">
        <is>
          <t>/Users/manczg/Documents/development/archon-search/archon_search/pipeline.py</t>
        </is>
      </c>
      <c r="C9" t="inlineStr">
        <is>
          <t>clarity-09</t>
        </is>
      </c>
      <c r="D9" t="n">
        <v>3457</v>
      </c>
      <c r="E9" t="inlineStr">
        <is>
          <t>if (</t>
        </is>
      </c>
    </row>
    <row r="10">
      <c r="A10" t="inlineStr">
        <is>
          <t>archon-search</t>
        </is>
      </c>
      <c r="B10" t="inlineStr">
        <is>
          <t>/Users/manczg/Documents/development/archon-search/archon_search/pipeline.py</t>
        </is>
      </c>
      <c r="C10" t="inlineStr">
        <is>
          <t>clarity-16</t>
        </is>
      </c>
      <c r="D10" t="n">
        <v>421</v>
      </c>
      <c r="E10" t="inlineStr">
        <is>
          <t>async def ingest_file(</t>
        </is>
      </c>
    </row>
    <row r="11">
      <c r="A11" t="inlineStr">
        <is>
          <t>archon-search</t>
        </is>
      </c>
      <c r="B11" t="inlineStr">
        <is>
          <t>/Users/manczg/Documents/development/archon-search/archon_search/pipeline.py</t>
        </is>
      </c>
      <c r="C11" t="inlineStr">
        <is>
          <t>clarity-16</t>
        </is>
      </c>
      <c r="D11" t="n">
        <v>888</v>
      </c>
      <c r="E11" t="inlineStr">
        <is>
          <t>async def ingest_directory(</t>
        </is>
      </c>
    </row>
    <row r="12">
      <c r="A12" t="inlineStr">
        <is>
          <t>archon-search</t>
        </is>
      </c>
      <c r="B12" t="inlineStr">
        <is>
          <t>/Users/manczg/Documents/development/archon-search/archon_search/pipeline.py</t>
        </is>
      </c>
      <c r="C12" t="inlineStr">
        <is>
          <t>clarity-16</t>
        </is>
      </c>
      <c r="D12" t="n">
        <v>1019</v>
      </c>
      <c r="E12" t="inlineStr">
        <is>
          <t>async def search(</t>
        </is>
      </c>
    </row>
    <row r="13">
      <c r="A13" t="inlineStr">
        <is>
          <t>archon-search</t>
        </is>
      </c>
      <c r="B13" t="inlineStr">
        <is>
          <t>/Users/manczg/Documents/development/archon-search/archon_search/pipeline.py</t>
        </is>
      </c>
      <c r="C13" t="inlineStr">
        <is>
          <t>clarity-16</t>
        </is>
      </c>
      <c r="D13" t="n">
        <v>1226</v>
      </c>
      <c r="E13" t="inlineStr">
        <is>
          <t>async def _search_graph_mode(</t>
        </is>
      </c>
    </row>
    <row r="14">
      <c r="A14" t="inlineStr">
        <is>
          <t>archon-search</t>
        </is>
      </c>
      <c r="B14" t="inlineStr">
        <is>
          <t>/Users/manczg/Documents/development/archon-search/archon_search/pipeline.py</t>
        </is>
      </c>
      <c r="C14" t="inlineStr">
        <is>
          <t>clarity-16</t>
        </is>
      </c>
      <c r="D14" t="n">
        <v>1313</v>
      </c>
      <c r="E14" t="inlineStr">
        <is>
          <t>async def _search_ppr_mode(</t>
        </is>
      </c>
    </row>
    <row r="15">
      <c r="A15" t="inlineStr">
        <is>
          <t>archon-search</t>
        </is>
      </c>
      <c r="B15" t="inlineStr">
        <is>
          <t>/Users/manczg/Documents/development/archon-search/archon_search/pipeline.py</t>
        </is>
      </c>
      <c r="C15" t="inlineStr">
        <is>
          <t>clarity-16</t>
        </is>
      </c>
      <c r="D15" t="n">
        <v>1459</v>
      </c>
      <c r="E15" t="inlineStr">
        <is>
          <t>async def _search_local_mode(</t>
        </is>
      </c>
    </row>
    <row r="16">
      <c r="A16" t="inlineStr">
        <is>
          <t>archon-search</t>
        </is>
      </c>
      <c r="B16" t="inlineStr">
        <is>
          <t>/Users/manczg/Documents/development/archon-search/archon_search/pipeline.py</t>
        </is>
      </c>
      <c r="C16" t="inlineStr">
        <is>
          <t>clarity-16</t>
        </is>
      </c>
      <c r="D16" t="n">
        <v>1683</v>
      </c>
      <c r="E16" t="inlineStr">
        <is>
          <t>async def _search_standard(</t>
        </is>
      </c>
    </row>
    <row r="17">
      <c r="A17" t="inlineStr">
        <is>
          <t>archon-search</t>
        </is>
      </c>
      <c r="B17" t="inlineStr">
        <is>
          <t>/Users/manczg/Documents/development/archon-search/archon_search/pipeline.py</t>
        </is>
      </c>
      <c r="C17" t="inlineStr">
        <is>
          <t>clarity-16</t>
        </is>
      </c>
      <c r="D17" t="n">
        <v>1740</v>
      </c>
      <c r="E17" t="inlineStr">
        <is>
          <t>async def explain(</t>
        </is>
      </c>
    </row>
    <row r="18">
      <c r="A18" t="inlineStr">
        <is>
          <t>archon-search</t>
        </is>
      </c>
      <c r="B18" t="inlineStr">
        <is>
          <t>/Users/manczg/Documents/development/archon-search/archon_search/pipeline.py</t>
        </is>
      </c>
      <c r="C18" t="inlineStr">
        <is>
          <t>clarity-16</t>
        </is>
      </c>
      <c r="D18" t="n">
        <v>2107</v>
      </c>
      <c r="E18" t="inlineStr">
        <is>
          <t>async def _explain_naive_graph_candidates(</t>
        </is>
      </c>
    </row>
    <row r="19">
      <c r="A19" t="inlineStr">
        <is>
          <t>archon-search</t>
        </is>
      </c>
      <c r="B19" t="inlineStr">
        <is>
          <t>/Users/manczg/Documents/development/archon-search/archon_search/pipeline.py</t>
        </is>
      </c>
      <c r="C19" t="inlineStr">
        <is>
          <t>clarity-16</t>
        </is>
      </c>
      <c r="D19" t="n">
        <v>2241</v>
      </c>
      <c r="E19" t="inlineStr">
        <is>
          <t>async def _explain_ppr_candidates(</t>
        </is>
      </c>
    </row>
    <row r="20">
      <c r="A20" t="inlineStr">
        <is>
          <t>archon-search</t>
        </is>
      </c>
      <c r="B20" t="inlineStr">
        <is>
          <t>/Users/manczg/Documents/development/archon-search/archon_search/pipeline.py</t>
        </is>
      </c>
      <c r="C20" t="inlineStr">
        <is>
          <t>clarity-16</t>
        </is>
      </c>
      <c r="D20" t="n">
        <v>2378</v>
      </c>
      <c r="E20" t="inlineStr">
        <is>
          <t>async def _explain_community_candidates(</t>
        </is>
      </c>
    </row>
    <row r="21">
      <c r="A21" t="inlineStr">
        <is>
          <t>archon-search</t>
        </is>
      </c>
      <c r="B21" t="inlineStr">
        <is>
          <t>/Users/manczg/Documents/development/archon-search/archon_search/pipeline.py</t>
        </is>
      </c>
      <c r="C21" t="inlineStr">
        <is>
          <t>clarity-16</t>
        </is>
      </c>
      <c r="D21" t="n">
        <v>2624</v>
      </c>
      <c r="E21" t="inlineStr">
        <is>
          <t>async def search_many(</t>
        </is>
      </c>
    </row>
    <row r="22">
      <c r="A22" t="inlineStr">
        <is>
          <t>archon-search</t>
        </is>
      </c>
      <c r="B22" t="inlineStr">
        <is>
          <t>/Users/manczg/Documents/development/archon-search/archon_search/pipeline.py</t>
        </is>
      </c>
      <c r="C22" t="inlineStr">
        <is>
          <t>clarity-16</t>
        </is>
      </c>
      <c r="D22" t="n">
        <v>2980</v>
      </c>
      <c r="E22" t="inlineStr">
        <is>
          <t>async def _local_leg(coll: str) -&gt; tuple[list[ScoredSearchCandidate], bool]:</t>
        </is>
      </c>
    </row>
    <row r="23">
      <c r="A23" t="inlineStr">
        <is>
          <t>archon-search</t>
        </is>
      </c>
      <c r="B23" t="inlineStr">
        <is>
          <t>/Users/manczg/Documents/development/archon-search/archon_search/pipeline.py</t>
        </is>
      </c>
      <c r="C23" t="inlineStr">
        <is>
          <t>clarity-16</t>
        </is>
      </c>
      <c r="D23" t="n">
        <v>3436</v>
      </c>
      <c r="E23" t="inlineStr">
        <is>
          <t>async def recompute_collection_meta(</t>
        </is>
      </c>
    </row>
    <row r="24">
      <c r="A24" t="inlineStr">
        <is>
          <t>archon-search</t>
        </is>
      </c>
      <c r="B24" t="inlineStr">
        <is>
          <t>/Users/manczg/Documents/development/archon-search/archon_search/pipeline.py</t>
        </is>
      </c>
      <c r="C24" t="inlineStr">
        <is>
          <t>clarity-17</t>
        </is>
      </c>
      <c r="D24" t="n">
        <v>421</v>
      </c>
      <c r="E24" t="inlineStr">
        <is>
          <t>async def ingest_file(</t>
        </is>
      </c>
    </row>
    <row r="25">
      <c r="A25" t="inlineStr">
        <is>
          <t>archon-search</t>
        </is>
      </c>
      <c r="B25" t="inlineStr">
        <is>
          <t>/Users/manczg/Documents/development/archon-search/archon_search/pipeline.py</t>
        </is>
      </c>
      <c r="C25" t="inlineStr">
        <is>
          <t>clarity-17</t>
        </is>
      </c>
      <c r="D25" t="n">
        <v>1019</v>
      </c>
      <c r="E25" t="inlineStr">
        <is>
          <t>async def search(</t>
        </is>
      </c>
    </row>
    <row r="26">
      <c r="A26" t="inlineStr">
        <is>
          <t>archon-search</t>
        </is>
      </c>
      <c r="B26" t="inlineStr">
        <is>
          <t>/Users/manczg/Documents/development/archon-search/archon_search/pipeline.py</t>
        </is>
      </c>
      <c r="C26" t="inlineStr">
        <is>
          <t>clarity-17</t>
        </is>
      </c>
      <c r="D26" t="n">
        <v>1459</v>
      </c>
      <c r="E26" t="inlineStr">
        <is>
          <t>async def _search_local_mode(</t>
        </is>
      </c>
    </row>
    <row r="27">
      <c r="A27" t="inlineStr">
        <is>
          <t>archon-search</t>
        </is>
      </c>
      <c r="B27" t="inlineStr">
        <is>
          <t>/Users/manczg/Documents/development/archon-search/archon_search/pipeline.py</t>
        </is>
      </c>
      <c r="C27" t="inlineStr">
        <is>
          <t>clarity-17</t>
        </is>
      </c>
      <c r="D27" t="n">
        <v>1740</v>
      </c>
      <c r="E27" t="inlineStr">
        <is>
          <t>async def explain(</t>
        </is>
      </c>
    </row>
    <row r="28">
      <c r="A28" t="inlineStr">
        <is>
          <t>archon-search</t>
        </is>
      </c>
      <c r="B28" t="inlineStr">
        <is>
          <t>/Users/manczg/Documents/development/archon-search/archon_search/pipeline.py</t>
        </is>
      </c>
      <c r="C28" t="inlineStr">
        <is>
          <t>clarity-17</t>
        </is>
      </c>
      <c r="D28" t="n">
        <v>2378</v>
      </c>
      <c r="E28" t="inlineStr">
        <is>
          <t>async def _explain_community_candidates(</t>
        </is>
      </c>
    </row>
    <row r="29">
      <c r="A29" t="inlineStr">
        <is>
          <t>archon-search</t>
        </is>
      </c>
      <c r="B29" t="inlineStr">
        <is>
          <t>/Users/manczg/Documents/development/archon-search/archon_search/pipeline.py</t>
        </is>
      </c>
      <c r="C29" t="inlineStr">
        <is>
          <t>clarity-17</t>
        </is>
      </c>
      <c r="D29" t="n">
        <v>2624</v>
      </c>
      <c r="E29" t="inlineStr">
        <is>
          <t>async def search_many(</t>
        </is>
      </c>
    </row>
    <row r="30">
      <c r="A30" t="inlineStr">
        <is>
          <t>archon-search</t>
        </is>
      </c>
      <c r="B30" t="inlineStr">
        <is>
          <t>/Users/manczg/Documents/development/archon-search/archon_search/pipeline.py</t>
        </is>
      </c>
      <c r="C30" t="inlineStr">
        <is>
          <t>ddd-01</t>
        </is>
      </c>
      <c r="D30" t="n">
        <v>52</v>
      </c>
      <c r="E30" t="inlineStr">
        <is>
          <t>@dataclass</t>
        </is>
      </c>
    </row>
    <row r="31">
      <c r="A31" t="inlineStr">
        <is>
          <t>archon-search</t>
        </is>
      </c>
      <c r="B31" t="inlineStr">
        <is>
          <t>/Users/manczg/Documents/development/archon-search/archon_search/pipeline.py</t>
        </is>
      </c>
      <c r="C31" t="inlineStr">
        <is>
          <t>ddd-01</t>
        </is>
      </c>
      <c r="D31" t="n">
        <v>66</v>
      </c>
      <c r="E31" t="inlineStr">
        <is>
          <t>@dataclass</t>
        </is>
      </c>
    </row>
    <row r="32">
      <c r="A32" t="inlineStr">
        <is>
          <t>archon-search</t>
        </is>
      </c>
      <c r="B32" t="inlineStr">
        <is>
          <t>/Users/manczg/Documents/development/archon-search/archon_search/pipeline.py</t>
        </is>
      </c>
      <c r="C32" t="inlineStr">
        <is>
          <t>ddd-01</t>
        </is>
      </c>
      <c r="D32" t="n">
        <v>94</v>
      </c>
      <c r="E32" t="inlineStr">
        <is>
          <t>@dataclass</t>
        </is>
      </c>
    </row>
    <row r="33">
      <c r="A33" t="inlineStr">
        <is>
          <t>archon-search</t>
        </is>
      </c>
      <c r="B33" t="inlineStr">
        <is>
          <t>/Users/manczg/Documents/development/archon-search/archon_search/pipeline.py</t>
        </is>
      </c>
      <c r="C33" t="inlineStr">
        <is>
          <t>ddd-01</t>
        </is>
      </c>
      <c r="D33" t="n">
        <v>107</v>
      </c>
      <c r="E33" t="inlineStr">
        <is>
          <t>@dataclass</t>
        </is>
      </c>
    </row>
    <row r="34">
      <c r="A34" t="inlineStr">
        <is>
          <t>archon-search</t>
        </is>
      </c>
      <c r="B34" t="inlineStr">
        <is>
          <t>/Users/manczg/Documents/development/archon-search/archon_search/pipeline.py</t>
        </is>
      </c>
      <c r="C34" t="inlineStr">
        <is>
          <t>safety-07</t>
        </is>
      </c>
      <c r="D34" t="n">
        <v>176</v>
      </c>
      <c r="E34" t="inlineStr">
        <is>
          <t>ingested_by=ingested_by,  # type: ignore[arg-type]</t>
        </is>
      </c>
    </row>
    <row r="35">
      <c r="A35" t="inlineStr">
        <is>
          <t>archon-search</t>
        </is>
      </c>
      <c r="B35" t="inlineStr">
        <is>
          <t>/Users/manczg/Documents/development/archon-search/archon_search/pipeline.py</t>
        </is>
      </c>
      <c r="C35" t="inlineStr">
        <is>
          <t>safety-07</t>
        </is>
      </c>
      <c r="D35" t="n">
        <v>294</v>
      </c>
      <c r="E35" t="inlineStr">
        <is>
          <t>import yaml  # noqa: PLC0415</t>
        </is>
      </c>
    </row>
    <row r="36">
      <c r="A36" t="inlineStr">
        <is>
          <t>archon-search</t>
        </is>
      </c>
      <c r="B36" t="inlineStr">
        <is>
          <t>/Users/manczg/Documents/development/archon-search/archon_search/pipeline.py</t>
        </is>
      </c>
      <c r="C36" t="inlineStr">
        <is>
          <t>safety-07</t>
        </is>
      </c>
      <c r="D36" t="n">
        <v>1047</v>
      </c>
      <c r="E36" t="inlineStr">
        <is>
          <t>return await self._search_graph_mode(  # type: ignore[return-value]</t>
        </is>
      </c>
    </row>
    <row r="37">
      <c r="A37" t="inlineStr">
        <is>
          <t>archon-search</t>
        </is>
      </c>
      <c r="B37" t="inlineStr">
        <is>
          <t>/Users/manczg/Documents/development/archon-search/archon_search/pipeline.py</t>
        </is>
      </c>
      <c r="C37" t="inlineStr">
        <is>
          <t>safety-07</t>
        </is>
      </c>
      <c r="D37" t="n">
        <v>1065</v>
      </c>
      <c r="E37" t="inlineStr">
        <is>
          <t>from archon_search.rag_fusion import RAGFusionDependencyError  # noqa: PLC0415</t>
        </is>
      </c>
    </row>
    <row r="38">
      <c r="A38" t="inlineStr">
        <is>
          <t>archon-search</t>
        </is>
      </c>
      <c r="B38" t="inlineStr">
        <is>
          <t>/Users/manczg/Documents/development/archon-search/archon_search/pipeline.py</t>
        </is>
      </c>
      <c r="C38" t="inlineStr">
        <is>
          <t>safety-07</t>
        </is>
      </c>
      <c r="D38" t="n">
        <v>1159</v>
      </c>
      <c r="E38" t="inlineStr">
        <is>
          <t>successful_results.append(r)  # type: ignore[arg-type]</t>
        </is>
      </c>
    </row>
    <row r="39">
      <c r="A39" t="inlineStr">
        <is>
          <t>archon-search</t>
        </is>
      </c>
      <c r="B39" t="inlineStr">
        <is>
          <t>/Users/manczg/Documents/development/archon-search/archon_search/pipeline.py</t>
        </is>
      </c>
      <c r="C39" t="inlineStr">
        <is>
          <t>safety-07</t>
        </is>
      </c>
      <c r="D39" t="n">
        <v>1966</v>
      </c>
      <c r="E39" t="inlineStr">
        <is>
          <t>from archon_search.rag_fusion import RAGFusionDependencyError  # noqa: PLC0415</t>
        </is>
      </c>
    </row>
    <row r="40">
      <c r="A40" t="inlineStr">
        <is>
          <t>archon-search</t>
        </is>
      </c>
      <c r="B40" t="inlineStr">
        <is>
          <t>/Users/manczg/Documents/development/archon-search/archon_search/pipeline.py</t>
        </is>
      </c>
      <c r="C40" t="inlineStr">
        <is>
          <t>safety-07</t>
        </is>
      </c>
      <c r="D40" t="n">
        <v>2039</v>
      </c>
      <c r="E40" t="inlineStr">
        <is>
          <t>successful_results.append(r)  # type: ignore[arg-type]</t>
        </is>
      </c>
    </row>
    <row r="41">
      <c r="A41" t="inlineStr">
        <is>
          <t>archon-search</t>
        </is>
      </c>
      <c r="B41" t="inlineStr">
        <is>
          <t>/Users/manczg/Documents/development/archon-search/archon_search/pipeline.py</t>
        </is>
      </c>
      <c r="C41" t="inlineStr">
        <is>
          <t>safety-07</t>
        </is>
      </c>
      <c r="D41" t="n">
        <v>2678</v>
      </c>
      <c r="E41" t="inlineStr">
        <is>
          <t>from archon_search.rag_fusion import RAGFusionDependencyError  # noqa: PLC0415</t>
        </is>
      </c>
    </row>
    <row r="42">
      <c r="A42" t="inlineStr">
        <is>
          <t>archon-search</t>
        </is>
      </c>
      <c r="B42" t="inlineStr">
        <is>
          <t>/Users/manczg/Documents/development/archon-search/archon_search/pipeline.py</t>
        </is>
      </c>
      <c r="C42" t="inlineStr">
        <is>
          <t>safety-07</t>
        </is>
      </c>
      <c r="D42" t="n">
        <v>2770</v>
      </c>
      <c r="E42" t="inlineStr">
        <is>
          <t>successful_coll.append(r)  # type: ignore[arg-type]</t>
        </is>
      </c>
    </row>
    <row r="43">
      <c r="A43" t="inlineStr">
        <is>
          <t>archon-search</t>
        </is>
      </c>
      <c r="B43" t="inlineStr">
        <is>
          <t>/Users/manczg/Documents/development/archon-search/archon_search/pipeline.py</t>
        </is>
      </c>
      <c r="C43" t="inlineStr">
        <is>
          <t>safety-07</t>
        </is>
      </c>
      <c r="D43" t="n">
        <v>3205</v>
      </c>
      <c r="E43" t="inlineStr">
        <is>
          <t>vector,  # type: ignore[no-untyped-def]</t>
        </is>
      </c>
    </row>
    <row r="44">
      <c r="A44" t="inlineStr">
        <is>
          <t>archon-search</t>
        </is>
      </c>
      <c r="B44" t="inlineStr">
        <is>
          <t>/Users/manczg/Documents/development/archon-search/archon_search/pipeline.py</t>
        </is>
      </c>
      <c r="C44" t="inlineStr">
        <is>
          <t>safety-07</t>
        </is>
      </c>
      <c r="D44" t="n">
        <v>3215</v>
      </c>
      <c r="E44" t="inlineStr">
        <is>
          <t>async def _leg(coll: str):  # type: ignore[no-untyped-def]</t>
        </is>
      </c>
    </row>
    <row r="45">
      <c r="A45" t="inlineStr">
        <is>
          <t>archon-search</t>
        </is>
      </c>
      <c r="B45" t="inlineStr">
        <is>
          <t>/Users/manczg/Documents/development/archon-search/archon_search/pipeline.py</t>
        </is>
      </c>
      <c r="C45" t="inlineStr">
        <is>
          <t>safety-07</t>
        </is>
      </c>
      <c r="D45" t="n">
        <v>3565</v>
      </c>
      <c r="E45" t="inlineStr">
        <is>
          <t>from archon_search.language_detector import (  # noqa: PLC0415</t>
        </is>
      </c>
    </row>
    <row r="46">
      <c r="A46" t="inlineStr">
        <is>
          <t>archon-search</t>
        </is>
      </c>
      <c r="B46" t="inlineStr">
        <is>
          <t>/Users/manczg/Documents/development/archon-search/archon_search/pipeline.py</t>
        </is>
      </c>
      <c r="C46" t="inlineStr">
        <is>
          <t>safety-07</t>
        </is>
      </c>
      <c r="D46" t="n">
        <v>3574</v>
      </c>
      <c r="E46" t="inlineStr">
        <is>
          <t>from archon_search.graph_extractor import ensure_spacy_importable  # noqa: PLC0415</t>
        </is>
      </c>
    </row>
    <row r="47">
      <c r="A47" t="inlineStr">
        <is>
          <t>archon-search</t>
        </is>
      </c>
      <c r="B47" t="inlineStr">
        <is>
          <t>/Users/manczg/Documents/development/archon-search/archon_search/pipeline.py</t>
        </is>
      </c>
      <c r="C47" t="inlineStr">
        <is>
          <t>safety-07</t>
        </is>
      </c>
      <c r="D47" t="n">
        <v>3606</v>
      </c>
      <c r="E47" t="inlineStr">
        <is>
          <t>from archon_search.defref_extractor import DefRefExtractor  # noqa: PLC0415</t>
        </is>
      </c>
    </row>
    <row r="48">
      <c r="A48" t="inlineStr">
        <is>
          <t>archon-search</t>
        </is>
      </c>
      <c r="B48" t="inlineStr">
        <is>
          <t>/Users/manczg/Documents/development/archon-search/archon_search/pipeline.py</t>
        </is>
      </c>
      <c r="C48" t="inlineStr">
        <is>
          <t>safety-07</t>
        </is>
      </c>
      <c r="D48" t="n">
        <v>3607</v>
      </c>
      <c r="E48" t="inlineStr">
        <is>
          <t>from archon_search.graph_extractor import GraphExtractor  # noqa: PLC0415</t>
        </is>
      </c>
    </row>
    <row r="49">
      <c r="A49" t="inlineStr">
        <is>
          <t>archon-search</t>
        </is>
      </c>
      <c r="B49" t="inlineStr">
        <is>
          <t>/Users/manczg/Documents/development/archon-search/archon_search/pipeline.py</t>
        </is>
      </c>
      <c r="C49" t="inlineStr">
        <is>
          <t>safety-07</t>
        </is>
      </c>
      <c r="D49" t="n">
        <v>3608</v>
      </c>
      <c r="E49" t="inlineStr">
        <is>
          <t>from archon_search.graph_store import GraphStore as _GraphStore  # noqa: PLC0415</t>
        </is>
      </c>
    </row>
    <row r="50">
      <c r="A50" t="inlineStr">
        <is>
          <t>archon-search</t>
        </is>
      </c>
      <c r="B50" t="inlineStr">
        <is>
          <t>/Users/manczg/Documents/development/archon-search/archon_search/pipeline.py</t>
        </is>
      </c>
      <c r="C50" t="inlineStr">
        <is>
          <t>safety-07</t>
        </is>
      </c>
      <c r="D50" t="n">
        <v>3609</v>
      </c>
      <c r="E50" t="inlineStr">
        <is>
          <t>from archon_search.graph_expander import GraphExpander  # noqa: PLC0415</t>
        </is>
      </c>
    </row>
    <row r="51">
      <c r="A51" t="inlineStr">
        <is>
          <t>archon-search</t>
        </is>
      </c>
      <c r="B51" t="inlineStr">
        <is>
          <t>/Users/manczg/Documents/development/archon-search/archon_search/pipeline.py</t>
        </is>
      </c>
      <c r="C51" t="inlineStr">
        <is>
          <t>safety-11</t>
        </is>
      </c>
      <c r="D51" t="n">
        <v>594</v>
      </c>
      <c r="E51" t="inlineStr">
        <is>
          <t>normalize_iso_utc(datetime.now(UTC) + timedelta(seconds=_effective_ttl))</t>
        </is>
      </c>
    </row>
    <row r="52">
      <c r="A52" t="inlineStr">
        <is>
          <t>archon-search</t>
        </is>
      </c>
      <c r="B52" t="inlineStr">
        <is>
          <t>/Users/manczg/Documents/development/archon-search/archon_search/pipeline.py</t>
        </is>
      </c>
      <c r="C52" t="inlineStr">
        <is>
          <t>safety-11</t>
        </is>
      </c>
      <c r="D52" t="n">
        <v>998</v>
      </c>
      <c r="E52" t="inlineStr">
        <is>
          <t>last_described = datetime.now(UTC)</t>
        </is>
      </c>
    </row>
    <row r="53">
      <c r="A53" t="inlineStr">
        <is>
          <t>archon-search</t>
        </is>
      </c>
      <c r="B53" t="inlineStr">
        <is>
          <t>/Users/manczg/Documents/development/archon-search/archon_search/pipeline.py</t>
        </is>
      </c>
      <c r="C53" t="inlineStr">
        <is>
          <t>safety-11</t>
        </is>
      </c>
      <c r="D53" t="n">
        <v>1005</v>
      </c>
      <c r="E53" t="inlineStr">
        <is>
          <t>last_indexed=datetime.now(UTC),</t>
        </is>
      </c>
    </row>
    <row r="54">
      <c r="A54" t="inlineStr">
        <is>
          <t>archon-search</t>
        </is>
      </c>
      <c r="B54" t="inlineStr">
        <is>
          <t>/Users/manczg/Documents/development/archon-search/archon_search/pipeline.py</t>
        </is>
      </c>
      <c r="C54" t="inlineStr">
        <is>
          <t>safety-11</t>
        </is>
      </c>
      <c r="D54" t="n">
        <v>3502</v>
      </c>
      <c r="E54" t="inlineStr">
        <is>
          <t>last_indexed=datetime.now(UTC),</t>
        </is>
      </c>
    </row>
    <row r="55">
      <c r="A55" t="inlineStr">
        <is>
          <t>archon-search</t>
        </is>
      </c>
      <c r="B55" t="inlineStr">
        <is>
          <t>/Users/manczg/Documents/development/archon-search/archon_search/pipeline.py</t>
        </is>
      </c>
      <c r="C55" t="inlineStr">
        <is>
          <t>safety-11</t>
        </is>
      </c>
      <c r="D55" t="n">
        <v>3538</v>
      </c>
      <c r="E55" t="inlineStr">
        <is>
          <t>last_indexed=datetime.now(UTC),</t>
        </is>
      </c>
    </row>
    <row r="56">
      <c r="A56" t="inlineStr">
        <is>
          <t>archon-search</t>
        </is>
      </c>
      <c r="B56" t="inlineStr">
        <is>
          <t>/Users/manczg/Documents/development/archon-search/archon_search/pipeline.py</t>
        </is>
      </c>
      <c r="C56" t="inlineStr">
        <is>
          <t>safety-13</t>
        </is>
      </c>
      <c r="D56" t="n">
        <v>1242</v>
      </c>
      <c r="E56" t="inlineStr">
        <is>
          <t>assert scope_filter is None, (</t>
        </is>
      </c>
    </row>
    <row r="57">
      <c r="A57" t="inlineStr">
        <is>
          <t>archon-search</t>
        </is>
      </c>
      <c r="B57" t="inlineStr">
        <is>
          <t>/Users/manczg/Documents/development/archon-search/archon_search/pipeline.py</t>
        </is>
      </c>
      <c r="C57" t="inlineStr">
        <is>
          <t>safety-13</t>
        </is>
      </c>
      <c r="D57" t="n">
        <v>1336</v>
      </c>
      <c r="E57" t="inlineStr">
        <is>
          <t>assert scope_filter is None, (</t>
        </is>
      </c>
    </row>
    <row r="58">
      <c r="A58" t="inlineStr">
        <is>
          <t>archon-search</t>
        </is>
      </c>
      <c r="B58" t="inlineStr">
        <is>
          <t>/Users/manczg/Documents/development/archon-search/archon_search/pipeline.py</t>
        </is>
      </c>
      <c r="C58" t="inlineStr">
        <is>
          <t>safety-13</t>
        </is>
      </c>
      <c r="D58" t="n">
        <v>2131</v>
      </c>
      <c r="E58" t="inlineStr">
        <is>
          <t>assert scope_filter is None, (</t>
        </is>
      </c>
    </row>
    <row r="59">
      <c r="A59" t="inlineStr">
        <is>
          <t>archon-search</t>
        </is>
      </c>
      <c r="B59" t="inlineStr">
        <is>
          <t>/Users/manczg/Documents/development/archon-search/archon_search/pipeline.py</t>
        </is>
      </c>
      <c r="C59" t="inlineStr">
        <is>
          <t>safety-13</t>
        </is>
      </c>
      <c r="D59" t="n">
        <v>2255</v>
      </c>
      <c r="E59" t="inlineStr">
        <is>
          <t>assert scope_filter is None, "scope_filter must be None in graph-mode paths"</t>
        </is>
      </c>
    </row>
    <row r="60">
      <c r="A60" t="inlineStr">
        <is>
          <t>archon-search</t>
        </is>
      </c>
      <c r="B60" t="inlineStr">
        <is>
          <t>/Users/manczg/Documents/development/archon-search/archon_search/pipeline.py</t>
        </is>
      </c>
      <c r="C60" t="inlineStr">
        <is>
          <t>safety-13</t>
        </is>
      </c>
      <c r="D60" t="n">
        <v>2327</v>
      </c>
      <c r="E60" t="inlineStr">
        <is>
          <t>assert scope_filter is None, "scope_filter must be None in graph-mode paths — check the 422 guard"</t>
        </is>
      </c>
    </row>
    <row r="61">
      <c r="A61" t="inlineStr">
        <is>
          <t>archon-search</t>
        </is>
      </c>
      <c r="B61" t="inlineStr">
        <is>
          <t>/Users/manczg/Documents/development/archon-search/archon_search/pipeline.py</t>
        </is>
      </c>
      <c r="C61" t="inlineStr">
        <is>
          <t>safety-13</t>
        </is>
      </c>
      <c r="D61" t="n">
        <v>2407</v>
      </c>
      <c r="E61" t="inlineStr">
        <is>
          <t>assert scope_filter is None, (</t>
        </is>
      </c>
    </row>
    <row r="62">
      <c r="A62" t="inlineStr">
        <is>
          <t>archon-search</t>
        </is>
      </c>
      <c r="B62" t="inlineStr">
        <is>
          <t>/Users/manczg/Documents/development/archon-search/archon_search/pipeline.py</t>
        </is>
      </c>
      <c r="C62" t="inlineStr">
        <is>
          <t>safety-13</t>
        </is>
      </c>
      <c r="D62" t="n">
        <v>2839</v>
      </c>
      <c r="E62" t="inlineStr">
        <is>
          <t>assert scope_filter is None, (</t>
        </is>
      </c>
    </row>
    <row r="63">
      <c r="A63" t="inlineStr">
        <is>
          <t>archon-search</t>
        </is>
      </c>
      <c r="B63" t="inlineStr">
        <is>
          <t>/Users/manczg/Documents/development/archon-search/archon_search/pipeline.py</t>
        </is>
      </c>
      <c r="C63" t="inlineStr">
        <is>
          <t>safety-13</t>
        </is>
      </c>
      <c r="D63" t="n">
        <v>2925</v>
      </c>
      <c r="E63" t="inlineStr">
        <is>
          <t>assert scope_filter is None, (</t>
        </is>
      </c>
    </row>
    <row r="64">
      <c r="A64" t="inlineStr">
        <is>
          <t>archon-search</t>
        </is>
      </c>
      <c r="B64" t="inlineStr">
        <is>
          <t>/Users/manczg/Documents/development/archon-search/archon_search/pipeline.py</t>
        </is>
      </c>
      <c r="C64" t="inlineStr">
        <is>
          <t>safety-13</t>
        </is>
      </c>
      <c r="D64" t="n">
        <v>2968</v>
      </c>
      <c r="E64" t="inlineStr">
        <is>
          <t>assert scope_filter is None, (</t>
        </is>
      </c>
    </row>
    <row r="65">
      <c r="A65" t="inlineStr">
        <is>
          <t>archon-search</t>
        </is>
      </c>
      <c r="B65" t="inlineStr">
        <is>
          <t>/Users/manczg/Documents/development/archon-search/archon_search/pipeline.py</t>
        </is>
      </c>
      <c r="C65" t="inlineStr">
        <is>
          <t>smells-01</t>
        </is>
      </c>
      <c r="D65" t="n">
        <v>1</v>
      </c>
      <c r="E65" t="inlineStr">
        <is>
          <t>file-level: 3635 lines</t>
        </is>
      </c>
    </row>
    <row r="66">
      <c r="A66" t="inlineStr">
        <is>
          <t>archon-search</t>
        </is>
      </c>
      <c r="B66" t="inlineStr">
        <is>
          <t>/Users/manczg/Documents/development/archon-search/archon_search/pipeline.py</t>
        </is>
      </c>
      <c r="C66" t="inlineStr">
        <is>
          <t>smells-02</t>
        </is>
      </c>
      <c r="D66" t="n">
        <v>313</v>
      </c>
      <c r="E66" t="inlineStr">
        <is>
          <t>def __init__(</t>
        </is>
      </c>
    </row>
    <row r="67">
      <c r="A67" t="inlineStr">
        <is>
          <t>archon-search</t>
        </is>
      </c>
      <c r="B67" t="inlineStr">
        <is>
          <t>/Users/manczg/Documents/development/archon-search/archon_search/pipeline.py</t>
        </is>
      </c>
      <c r="C67" t="inlineStr">
        <is>
          <t>smells-02</t>
        </is>
      </c>
      <c r="D67" t="n">
        <v>421</v>
      </c>
      <c r="E67" t="inlineStr">
        <is>
          <t>async def ingest_file(</t>
        </is>
      </c>
    </row>
    <row r="68">
      <c r="A68" t="inlineStr">
        <is>
          <t>archon-search</t>
        </is>
      </c>
      <c r="B68" t="inlineStr">
        <is>
          <t>/Users/manczg/Documents/development/archon-search/archon_search/pipeline.py</t>
        </is>
      </c>
      <c r="C68" t="inlineStr">
        <is>
          <t>smells-02</t>
        </is>
      </c>
      <c r="D68" t="n">
        <v>888</v>
      </c>
      <c r="E68" t="inlineStr">
        <is>
          <t>async def ingest_directory(</t>
        </is>
      </c>
    </row>
    <row r="69">
      <c r="A69" t="inlineStr">
        <is>
          <t>archon-search</t>
        </is>
      </c>
      <c r="B69" t="inlineStr">
        <is>
          <t>/Users/manczg/Documents/development/archon-search/archon_search/pipeline.py</t>
        </is>
      </c>
      <c r="C69" t="inlineStr">
        <is>
          <t>smells-02</t>
        </is>
      </c>
      <c r="D69" t="n">
        <v>1019</v>
      </c>
      <c r="E69" t="inlineStr">
        <is>
          <t>async def search(</t>
        </is>
      </c>
    </row>
    <row r="70">
      <c r="A70" t="inlineStr">
        <is>
          <t>archon-search</t>
        </is>
      </c>
      <c r="B70" t="inlineStr">
        <is>
          <t>/Users/manczg/Documents/development/archon-search/archon_search/pipeline.py</t>
        </is>
      </c>
      <c r="C70" t="inlineStr">
        <is>
          <t>smells-02</t>
        </is>
      </c>
      <c r="D70" t="n">
        <v>1226</v>
      </c>
      <c r="E70" t="inlineStr">
        <is>
          <t>async def _search_graph_mode(</t>
        </is>
      </c>
    </row>
    <row r="71">
      <c r="A71" t="inlineStr">
        <is>
          <t>archon-search</t>
        </is>
      </c>
      <c r="B71" t="inlineStr">
        <is>
          <t>/Users/manczg/Documents/development/archon-search/archon_search/pipeline.py</t>
        </is>
      </c>
      <c r="C71" t="inlineStr">
        <is>
          <t>smells-02</t>
        </is>
      </c>
      <c r="D71" t="n">
        <v>1313</v>
      </c>
      <c r="E71" t="inlineStr">
        <is>
          <t>async def _search_ppr_mode(</t>
        </is>
      </c>
    </row>
    <row r="72">
      <c r="A72" t="inlineStr">
        <is>
          <t>archon-search</t>
        </is>
      </c>
      <c r="B72" t="inlineStr">
        <is>
          <t>/Users/manczg/Documents/development/archon-search/archon_search/pipeline.py</t>
        </is>
      </c>
      <c r="C72" t="inlineStr">
        <is>
          <t>smells-02</t>
        </is>
      </c>
      <c r="D72" t="n">
        <v>1459</v>
      </c>
      <c r="E72" t="inlineStr">
        <is>
          <t>async def _search_local_mode(</t>
        </is>
      </c>
    </row>
    <row r="73">
      <c r="A73" t="inlineStr">
        <is>
          <t>archon-search</t>
        </is>
      </c>
      <c r="B73" t="inlineStr">
        <is>
          <t>/Users/manczg/Documents/development/archon-search/archon_search/pipeline.py</t>
        </is>
      </c>
      <c r="C73" t="inlineStr">
        <is>
          <t>smells-02</t>
        </is>
      </c>
      <c r="D73" t="n">
        <v>1683</v>
      </c>
      <c r="E73" t="inlineStr">
        <is>
          <t>async def _search_standard(</t>
        </is>
      </c>
    </row>
    <row r="74">
      <c r="A74" t="inlineStr">
        <is>
          <t>archon-search</t>
        </is>
      </c>
      <c r="B74" t="inlineStr">
        <is>
          <t>/Users/manczg/Documents/development/archon-search/archon_search/pipeline.py</t>
        </is>
      </c>
      <c r="C74" t="inlineStr">
        <is>
          <t>smells-02</t>
        </is>
      </c>
      <c r="D74" t="n">
        <v>1740</v>
      </c>
      <c r="E74" t="inlineStr">
        <is>
          <t>async def explain(</t>
        </is>
      </c>
    </row>
    <row r="75">
      <c r="A75" t="inlineStr">
        <is>
          <t>archon-search</t>
        </is>
      </c>
      <c r="B75" t="inlineStr">
        <is>
          <t>/Users/manczg/Documents/development/archon-search/archon_search/pipeline.py</t>
        </is>
      </c>
      <c r="C75" t="inlineStr">
        <is>
          <t>smells-02</t>
        </is>
      </c>
      <c r="D75" t="n">
        <v>2107</v>
      </c>
      <c r="E75" t="inlineStr">
        <is>
          <t>async def _explain_naive_graph_candidates(</t>
        </is>
      </c>
    </row>
    <row r="76">
      <c r="A76" t="inlineStr">
        <is>
          <t>archon-search</t>
        </is>
      </c>
      <c r="B76" t="inlineStr">
        <is>
          <t>/Users/manczg/Documents/development/archon-search/archon_search/pipeline.py</t>
        </is>
      </c>
      <c r="C76" t="inlineStr">
        <is>
          <t>smells-02</t>
        </is>
      </c>
      <c r="D76" t="n">
        <v>2241</v>
      </c>
      <c r="E76" t="inlineStr">
        <is>
          <t>async def _explain_ppr_candidates(</t>
        </is>
      </c>
    </row>
    <row r="77">
      <c r="A77" t="inlineStr">
        <is>
          <t>archon-search</t>
        </is>
      </c>
      <c r="B77" t="inlineStr">
        <is>
          <t>/Users/manczg/Documents/development/archon-search/archon_search/pipeline.py</t>
        </is>
      </c>
      <c r="C77" t="inlineStr">
        <is>
          <t>smells-02</t>
        </is>
      </c>
      <c r="D77" t="n">
        <v>2312</v>
      </c>
      <c r="E77" t="inlineStr">
        <is>
          <t>async def _explain_merge_and_rank(</t>
        </is>
      </c>
    </row>
    <row r="78">
      <c r="A78" t="inlineStr">
        <is>
          <t>archon-search</t>
        </is>
      </c>
      <c r="B78" t="inlineStr">
        <is>
          <t>/Users/manczg/Documents/development/archon-search/archon_search/pipeline.py</t>
        </is>
      </c>
      <c r="C78" t="inlineStr">
        <is>
          <t>smells-02</t>
        </is>
      </c>
      <c r="D78" t="n">
        <v>2378</v>
      </c>
      <c r="E78" t="inlineStr">
        <is>
          <t>async def _explain_community_candidates(</t>
        </is>
      </c>
    </row>
    <row r="79">
      <c r="A79" t="inlineStr">
        <is>
          <t>archon-search</t>
        </is>
      </c>
      <c r="B79" t="inlineStr">
        <is>
          <t>/Users/manczg/Documents/development/archon-search/archon_search/pipeline.py</t>
        </is>
      </c>
      <c r="C79" t="inlineStr">
        <is>
          <t>smells-02</t>
        </is>
      </c>
      <c r="D79" t="n">
        <v>2564</v>
      </c>
      <c r="E79" t="inlineStr">
        <is>
          <t>async def _explain_standard(</t>
        </is>
      </c>
    </row>
    <row r="80">
      <c r="A80" t="inlineStr">
        <is>
          <t>archon-search</t>
        </is>
      </c>
      <c r="B80" t="inlineStr">
        <is>
          <t>/Users/manczg/Documents/development/archon-search/archon_search/pipeline.py</t>
        </is>
      </c>
      <c r="C80" t="inlineStr">
        <is>
          <t>smells-02</t>
        </is>
      </c>
      <c r="D80" t="n">
        <v>2624</v>
      </c>
      <c r="E80" t="inlineStr">
        <is>
          <t>async def search_many(</t>
        </is>
      </c>
    </row>
    <row r="81">
      <c r="A81" t="inlineStr">
        <is>
          <t>archon-search</t>
        </is>
      </c>
      <c r="B81" t="inlineStr">
        <is>
          <t>/Users/manczg/Documents/development/archon-search/archon_search/pipeline.py</t>
        </is>
      </c>
      <c r="C81" t="inlineStr">
        <is>
          <t>smells-02</t>
        </is>
      </c>
      <c r="D81" t="n">
        <v>3202</v>
      </c>
      <c r="E81" t="inlineStr">
        <is>
          <t>async def _fanout_merge_acl(</t>
        </is>
      </c>
    </row>
    <row r="82">
      <c r="A82" t="inlineStr">
        <is>
          <t>archon-search</t>
        </is>
      </c>
      <c r="B82" t="inlineStr">
        <is>
          <t>/Users/manczg/Documents/development/archon-search/archon_search/pipeline.py</t>
        </is>
      </c>
      <c r="C82" t="inlineStr">
        <is>
          <t>smells-02</t>
        </is>
      </c>
      <c r="D82" t="n">
        <v>3289</v>
      </c>
      <c r="E82" t="inlineStr">
        <is>
          <t>async def search_with_context(</t>
        </is>
      </c>
    </row>
    <row r="83">
      <c r="A83" t="inlineStr">
        <is>
          <t>archon-search</t>
        </is>
      </c>
      <c r="B83" t="inlineStr">
        <is>
          <t>/Users/manczg/Documents/development/archon-search/archon_search/pipeline.py</t>
        </is>
      </c>
      <c r="C83" t="inlineStr">
        <is>
          <t>smells-02</t>
        </is>
      </c>
      <c r="D83" t="n">
        <v>3365</v>
      </c>
      <c r="E83" t="inlineStr">
        <is>
          <t>async def delete_by_source_path(</t>
        </is>
      </c>
    </row>
    <row r="84">
      <c r="A84" t="inlineStr">
        <is>
          <t>archon-search</t>
        </is>
      </c>
      <c r="B84" t="inlineStr">
        <is>
          <t>/Users/manczg/Documents/development/archon-search/archon_search/pipeline.py</t>
        </is>
      </c>
      <c r="C84" t="inlineStr">
        <is>
          <t>smells-02</t>
        </is>
      </c>
      <c r="D84" t="n">
        <v>3417</v>
      </c>
      <c r="E84" t="inlineStr">
        <is>
          <t>async def list_documents(</t>
        </is>
      </c>
    </row>
    <row r="85">
      <c r="A85" t="inlineStr">
        <is>
          <t>archon-search</t>
        </is>
      </c>
      <c r="B85" t="inlineStr">
        <is>
          <t>/Users/manczg/Documents/development/archon-search/archon_search/pipeline.py</t>
        </is>
      </c>
      <c r="C85" t="inlineStr">
        <is>
          <t>smells-02</t>
        </is>
      </c>
      <c r="D85" t="n">
        <v>3436</v>
      </c>
      <c r="E85" t="inlineStr">
        <is>
          <t>async def recompute_collection_meta(</t>
        </is>
      </c>
    </row>
    <row r="86">
      <c r="A86" t="inlineStr">
        <is>
          <t>archon-search</t>
        </is>
      </c>
      <c r="B86" t="inlineStr">
        <is>
          <t>/Users/manczg/Documents/development/archon-search/archon_search/pipeline.py</t>
        </is>
      </c>
      <c r="C86" t="inlineStr">
        <is>
          <t>smells-03</t>
        </is>
      </c>
      <c r="D86" t="n">
        <v>425</v>
      </c>
      <c r="E86" t="inlineStr">
        <is>
          <t>rebuild_fts: bool = True,</t>
        </is>
      </c>
    </row>
    <row r="87">
      <c r="A87" t="inlineStr">
        <is>
          <t>archon-search</t>
        </is>
      </c>
      <c r="B87" t="inlineStr">
        <is>
          <t>/Users/manczg/Documents/development/archon-search/archon_search/pipeline.py</t>
        </is>
      </c>
      <c r="C87" t="inlineStr">
        <is>
          <t>smells-03</t>
        </is>
      </c>
      <c r="D87" t="n">
        <v>894</v>
      </c>
      <c r="E87" t="inlineStr">
        <is>
          <t>force_regenerate_description: bool = False,</t>
        </is>
      </c>
    </row>
    <row r="88">
      <c r="A88" t="inlineStr">
        <is>
          <t>archon-search</t>
        </is>
      </c>
      <c r="B88" t="inlineStr">
        <is>
          <t>/Users/manczg/Documents/development/archon-search/archon_search/pipeline.py</t>
        </is>
      </c>
      <c r="C88" t="inlineStr">
        <is>
          <t>smells-03</t>
        </is>
      </c>
      <c r="D88" t="n">
        <v>902</v>
      </c>
      <c r="E88" t="inlineStr">
        <is>
          <t>rebuild_fts: bool = True,</t>
        </is>
      </c>
    </row>
    <row r="89">
      <c r="A89" t="inlineStr">
        <is>
          <t>archon-search</t>
        </is>
      </c>
      <c r="B89" t="inlineStr">
        <is>
          <t>/Users/manczg/Documents/development/archon-search/archon_search/pipeline.py</t>
        </is>
      </c>
      <c r="C89" t="inlineStr">
        <is>
          <t>smells-03</t>
        </is>
      </c>
      <c r="D89" t="n">
        <v>1028</v>
      </c>
      <c r="E89" t="inlineStr">
        <is>
          <t>rag_fusion: bool = False,</t>
        </is>
      </c>
    </row>
    <row r="90">
      <c r="A90" t="inlineStr">
        <is>
          <t>archon-search</t>
        </is>
      </c>
      <c r="B90" t="inlineStr">
        <is>
          <t>/Users/manczg/Documents/development/archon-search/archon_search/pipeline.py</t>
        </is>
      </c>
      <c r="C90" t="inlineStr">
        <is>
          <t>smells-03</t>
        </is>
      </c>
      <c r="D90" t="n">
        <v>1692</v>
      </c>
      <c r="E90" t="inlineStr">
        <is>
          <t>rag_fusion_attempted: bool = False,</t>
        </is>
      </c>
    </row>
    <row r="91">
      <c r="A91" t="inlineStr">
        <is>
          <t>archon-search</t>
        </is>
      </c>
      <c r="B91" t="inlineStr">
        <is>
          <t>/Users/manczg/Documents/development/archon-search/archon_search/pipeline.py</t>
        </is>
      </c>
      <c r="C91" t="inlineStr">
        <is>
          <t>smells-03</t>
        </is>
      </c>
      <c r="D91" t="n">
        <v>1747</v>
      </c>
      <c r="E91" t="inlineStr">
        <is>
          <t>rerank: bool = True,</t>
        </is>
      </c>
    </row>
    <row r="92">
      <c r="A92" t="inlineStr">
        <is>
          <t>archon-search</t>
        </is>
      </c>
      <c r="B92" t="inlineStr">
        <is>
          <t>/Users/manczg/Documents/development/archon-search/archon_search/pipeline.py</t>
        </is>
      </c>
      <c r="C92" t="inlineStr">
        <is>
          <t>smells-03</t>
        </is>
      </c>
      <c r="D92" t="n">
        <v>1751</v>
      </c>
      <c r="E92" t="inlineStr">
        <is>
          <t>rag_fusion: bool = False,</t>
        </is>
      </c>
    </row>
    <row r="93">
      <c r="A93" t="inlineStr">
        <is>
          <t>archon-search</t>
        </is>
      </c>
      <c r="B93" t="inlineStr">
        <is>
          <t>/Users/manczg/Documents/development/archon-search/archon_search/pipeline.py</t>
        </is>
      </c>
      <c r="C93" t="inlineStr">
        <is>
          <t>smells-03</t>
        </is>
      </c>
      <c r="D93" t="n">
        <v>2319</v>
      </c>
      <c r="E93" t="inlineStr">
        <is>
          <t>rerank: bool,</t>
        </is>
      </c>
    </row>
    <row r="94">
      <c r="A94" t="inlineStr">
        <is>
          <t>archon-search</t>
        </is>
      </c>
      <c r="B94" t="inlineStr">
        <is>
          <t>/Users/manczg/Documents/development/archon-search/archon_search/pipeline.py</t>
        </is>
      </c>
      <c r="C94" t="inlineStr">
        <is>
          <t>smells-03</t>
        </is>
      </c>
      <c r="D94" t="n">
        <v>2570</v>
      </c>
      <c r="E94" t="inlineStr">
        <is>
          <t>rerank: bool = True,</t>
        </is>
      </c>
    </row>
    <row r="95">
      <c r="A95" t="inlineStr">
        <is>
          <t>archon-search</t>
        </is>
      </c>
      <c r="B95" t="inlineStr">
        <is>
          <t>/Users/manczg/Documents/development/archon-search/archon_search/pipeline.py</t>
        </is>
      </c>
      <c r="C95" t="inlineStr">
        <is>
          <t>smells-03</t>
        </is>
      </c>
      <c r="D95" t="n">
        <v>2574</v>
      </c>
      <c r="E95" t="inlineStr">
        <is>
          <t>rag_fusion_attempted: bool = False,</t>
        </is>
      </c>
    </row>
    <row r="96">
      <c r="A96" t="inlineStr">
        <is>
          <t>archon-search</t>
        </is>
      </c>
      <c r="B96" t="inlineStr">
        <is>
          <t>/Users/manczg/Documents/development/archon-search/archon_search/pipeline.py</t>
        </is>
      </c>
      <c r="C96" t="inlineStr">
        <is>
          <t>smells-03</t>
        </is>
      </c>
      <c r="D96" t="n">
        <v>2630</v>
      </c>
      <c r="E96" t="inlineStr">
        <is>
          <t>rag_fusion: bool = False,</t>
        </is>
      </c>
    </row>
    <row r="97">
      <c r="A97" t="inlineStr">
        <is>
          <t>archon-search</t>
        </is>
      </c>
      <c r="B97" t="inlineStr">
        <is>
          <t>/Users/manczg/Documents/development/archon-search/archon_search/pipeline.py</t>
        </is>
      </c>
      <c r="C97" t="inlineStr">
        <is>
          <t>smells-03</t>
        </is>
      </c>
      <c r="D97" t="n">
        <v>3299</v>
      </c>
      <c r="E97" t="inlineStr">
        <is>
          <t>rag_fusion: bool = False,</t>
        </is>
      </c>
    </row>
    <row r="98">
      <c r="A98" t="inlineStr">
        <is>
          <t>archon-search</t>
        </is>
      </c>
      <c r="B98" t="inlineStr">
        <is>
          <t>/Users/manczg/Documents/development/archon-search/archon_search/pipeline.py</t>
        </is>
      </c>
      <c r="C98" t="inlineStr">
        <is>
          <t>smells-03</t>
        </is>
      </c>
      <c r="D98" t="n">
        <v>3371</v>
      </c>
      <c r="E98" t="inlineStr">
        <is>
          <t>skip_fts_optimize: bool = False,</t>
        </is>
      </c>
    </row>
    <row r="99">
      <c r="A99" t="inlineStr">
        <is>
          <t>archon-search</t>
        </is>
      </c>
      <c r="B99" t="inlineStr">
        <is>
          <t>/Users/manczg/Documents/development/archon-search/archon_search/pipeline.py</t>
        </is>
      </c>
      <c r="C99" t="inlineStr">
        <is>
          <t>smells-03</t>
        </is>
      </c>
      <c r="D99" t="n">
        <v>3441</v>
      </c>
      <c r="E99" t="inlineStr">
        <is>
          <t>force: bool = False,</t>
        </is>
      </c>
    </row>
    <row r="100">
      <c r="A100" t="inlineStr">
        <is>
          <t>archon-search</t>
        </is>
      </c>
      <c r="B100" t="inlineStr">
        <is>
          <t>/Users/manczg/Documents/development/archon-search/archon_search/pipeline.py</t>
        </is>
      </c>
      <c r="C100" t="inlineStr">
        <is>
          <t>smells-08</t>
        </is>
      </c>
      <c r="D100" t="n">
        <v>325</v>
      </c>
      <c r="E100" t="inlineStr">
        <is>
          <t>language_detector: LanguageDetector | None = None,</t>
        </is>
      </c>
    </row>
    <row r="101">
      <c r="A101" t="inlineStr">
        <is>
          <t>archon-search</t>
        </is>
      </c>
      <c r="B101" t="inlineStr">
        <is>
          <t>/Users/manczg/Documents/development/archon-search/archon_search/pipeline.py</t>
        </is>
      </c>
      <c r="C101" t="inlineStr">
        <is>
          <t>smells-08</t>
        </is>
      </c>
      <c r="D101" t="n">
        <v>328</v>
      </c>
      <c r="E101" t="inlineStr">
        <is>
          <t>graph_extractor: GraphExtractor | None = None,</t>
        </is>
      </c>
    </row>
    <row r="102">
      <c r="A102" t="inlineStr">
        <is>
          <t>archon-search</t>
        </is>
      </c>
      <c r="B102" t="inlineStr">
        <is>
          <t>/Users/manczg/Documents/development/archon-search/archon_search/pipeline.py</t>
        </is>
      </c>
      <c r="C102" t="inlineStr">
        <is>
          <t>smells-08</t>
        </is>
      </c>
      <c r="D102" t="n">
        <v>329</v>
      </c>
      <c r="E102" t="inlineStr">
        <is>
          <t>graph_store: GraphStore | None = None,</t>
        </is>
      </c>
    </row>
    <row r="103">
      <c r="A103" t="inlineStr">
        <is>
          <t>archon-search</t>
        </is>
      </c>
      <c r="B103" t="inlineStr">
        <is>
          <t>/Users/manczg/Documents/development/archon-search/archon_search/pipeline.py</t>
        </is>
      </c>
      <c r="C103" t="inlineStr">
        <is>
          <t>smells-08</t>
        </is>
      </c>
      <c r="D103" t="n">
        <v>330</v>
      </c>
      <c r="E103" t="inlineStr">
        <is>
          <t>graph_config: GraphConfig | None = None,</t>
        </is>
      </c>
    </row>
    <row r="104">
      <c r="A104" t="inlineStr">
        <is>
          <t>archon-search</t>
        </is>
      </c>
      <c r="B104" t="inlineStr">
        <is>
          <t>/Users/manczg/Documents/development/archon-search/archon_search/pipeline.py</t>
        </is>
      </c>
      <c r="C104" t="inlineStr">
        <is>
          <t>smells-08</t>
        </is>
      </c>
      <c r="D104" t="n">
        <v>331</v>
      </c>
      <c r="E104" t="inlineStr">
        <is>
          <t>graph_expander: "GraphExpander | None" = None,</t>
        </is>
      </c>
    </row>
    <row r="105">
      <c r="A105" t="inlineStr">
        <is>
          <t>archon-search</t>
        </is>
      </c>
      <c r="B105" t="inlineStr">
        <is>
          <t>/Users/manczg/Documents/development/archon-search/archon_search/pipeline.py</t>
        </is>
      </c>
      <c r="C105" t="inlineStr">
        <is>
          <t>smells-08</t>
        </is>
      </c>
      <c r="D105" t="n">
        <v>332</v>
      </c>
      <c r="E105" t="inlineStr">
        <is>
          <t>defref_extractor: "DefRefExtractor | None" = None,</t>
        </is>
      </c>
    </row>
    <row r="106">
      <c r="A106" t="inlineStr">
        <is>
          <t>archon-search</t>
        </is>
      </c>
      <c r="B106" t="inlineStr">
        <is>
          <t>/Users/manczg/Documents/development/archon-search/archon_search/pipeline.py</t>
        </is>
      </c>
      <c r="C106" t="inlineStr">
        <is>
          <t>smells-08</t>
        </is>
      </c>
      <c r="D106" t="n">
        <v>333</v>
      </c>
      <c r="E106" t="inlineStr">
        <is>
          <t>ast_chunker: ASTChunker | None = None,</t>
        </is>
      </c>
    </row>
    <row r="107">
      <c r="A107" t="inlineStr">
        <is>
          <t>archon-search</t>
        </is>
      </c>
      <c r="B107" t="inlineStr">
        <is>
          <t>/Users/manczg/Documents/development/archon-search/archon_search/pipeline.py</t>
        </is>
      </c>
      <c r="C107" t="inlineStr">
        <is>
          <t>smells-08</t>
        </is>
      </c>
      <c r="D107" t="n">
        <v>334</v>
      </c>
      <c r="E107" t="inlineStr">
        <is>
          <t>ppr_walker: "PPRWalker | None" = None,</t>
        </is>
      </c>
    </row>
    <row r="108">
      <c r="A108" t="inlineStr">
        <is>
          <t>archon-search</t>
        </is>
      </c>
      <c r="B108" t="inlineStr">
        <is>
          <t>/Users/manczg/Documents/development/archon-search/archon_search/pipeline.py</t>
        </is>
      </c>
      <c r="C108" t="inlineStr">
        <is>
          <t>smells-08</t>
        </is>
      </c>
      <c r="D108" t="n">
        <v>394</v>
      </c>
      <c r="E108" t="inlineStr">
        <is>
          <t>async def warmup_models(self, embedder: Embedder | None = None) -&gt; None:</t>
        </is>
      </c>
    </row>
    <row r="109">
      <c r="A109" t="inlineStr">
        <is>
          <t>archon-search</t>
        </is>
      </c>
      <c r="B109" t="inlineStr">
        <is>
          <t>/Users/manczg/Documents/development/archon-search/archon_search/pipeline.py</t>
        </is>
      </c>
      <c r="C109" t="inlineStr">
        <is>
          <t>smells-08</t>
        </is>
      </c>
      <c r="D109" t="n">
        <v>426</v>
      </c>
      <c r="E109" t="inlineStr">
        <is>
          <t>_vector_collector: list[list[float]] | None = None,</t>
        </is>
      </c>
    </row>
    <row r="110">
      <c r="A110" t="inlineStr">
        <is>
          <t>archon-search</t>
        </is>
      </c>
      <c r="B110" t="inlineStr">
        <is>
          <t>/Users/manczg/Documents/development/archon-search/archon_search/pipeline.py</t>
        </is>
      </c>
      <c r="C110" t="inlineStr">
        <is>
          <t>smells-08</t>
        </is>
      </c>
      <c r="D110" t="n">
        <v>427</v>
      </c>
      <c r="E110" t="inlineStr">
        <is>
          <t>_chunk_collector: list[str] | None = None,</t>
        </is>
      </c>
    </row>
    <row r="111">
      <c r="A111" t="inlineStr">
        <is>
          <t>archon-search</t>
        </is>
      </c>
      <c r="B111" t="inlineStr">
        <is>
          <t>/Users/manczg/Documents/development/archon-search/archon_search/pipeline.py</t>
        </is>
      </c>
      <c r="C111" t="inlineStr">
        <is>
          <t>smells-08</t>
        </is>
      </c>
      <c r="D111" t="n">
        <v>432</v>
      </c>
      <c r="E111" t="inlineStr">
        <is>
          <t>collection_root: Path | None = None,</t>
        </is>
      </c>
    </row>
    <row r="112">
      <c r="A112" t="inlineStr">
        <is>
          <t>archon-search</t>
        </is>
      </c>
      <c r="B112" t="inlineStr">
        <is>
          <t>/Users/manczg/Documents/development/archon-search/archon_search/pipeline.py</t>
        </is>
      </c>
      <c r="C112" t="inlineStr">
        <is>
          <t>smells-08</t>
        </is>
      </c>
      <c r="D112" t="n">
        <v>433</v>
      </c>
      <c r="E112" t="inlineStr">
        <is>
          <t>chunk_ttl_seconds: int | None = None,</t>
        </is>
      </c>
    </row>
    <row r="113">
      <c r="A113" t="inlineStr">
        <is>
          <t>archon-search</t>
        </is>
      </c>
      <c r="B113" t="inlineStr">
        <is>
          <t>/Users/manczg/Documents/development/archon-search/archon_search/pipeline.py</t>
        </is>
      </c>
      <c r="C113" t="inlineStr">
        <is>
          <t>smells-08</t>
        </is>
      </c>
      <c r="D113" t="n">
        <v>434</v>
      </c>
      <c r="E113" t="inlineStr">
        <is>
          <t>chunk_scopes: list[str] | None = None,</t>
        </is>
      </c>
    </row>
    <row r="114">
      <c r="A114" t="inlineStr">
        <is>
          <t>archon-search</t>
        </is>
      </c>
      <c r="B114" t="inlineStr">
        <is>
          <t>/Users/manczg/Documents/development/archon-search/archon_search/pipeline.py</t>
        </is>
      </c>
      <c r="C114" t="inlineStr">
        <is>
          <t>smells-08</t>
        </is>
      </c>
      <c r="D114" t="n">
        <v>893</v>
      </c>
      <c r="E114" t="inlineStr">
        <is>
          <t>progress_cb: Callable[[int, int], None | Awaitable[None]] | None = None,</t>
        </is>
      </c>
    </row>
    <row r="115">
      <c r="A115" t="inlineStr">
        <is>
          <t>archon-search</t>
        </is>
      </c>
      <c r="B115" t="inlineStr">
        <is>
          <t>/Users/manczg/Documents/development/archon-search/archon_search/pipeline.py</t>
        </is>
      </c>
      <c r="C115" t="inlineStr">
        <is>
          <t>smells-08</t>
        </is>
      </c>
      <c r="D115" t="n">
        <v>895</v>
      </c>
      <c r="E115" t="inlineStr">
        <is>
          <t>exclude_paths: frozenset[str] | None = None,</t>
        </is>
      </c>
    </row>
    <row r="116">
      <c r="A116" t="inlineStr">
        <is>
          <t>archon-search</t>
        </is>
      </c>
      <c r="B116" t="inlineStr">
        <is>
          <t>/Users/manczg/Documents/development/archon-search/archon_search/pipeline.py</t>
        </is>
      </c>
      <c r="C116" t="inlineStr">
        <is>
          <t>smells-08</t>
        </is>
      </c>
      <c r="D116" t="n">
        <v>896</v>
      </c>
      <c r="E116" t="inlineStr">
        <is>
          <t>on_file_complete: Callable[[Path], None] | None = None,</t>
        </is>
      </c>
    </row>
    <row r="117">
      <c r="A117" t="inlineStr">
        <is>
          <t>archon-search</t>
        </is>
      </c>
      <c r="B117" t="inlineStr">
        <is>
          <t>/Users/manczg/Documents/development/archon-search/archon_search/pipeline.py</t>
        </is>
      </c>
      <c r="C117" t="inlineStr">
        <is>
          <t>smells-08</t>
        </is>
      </c>
      <c r="D117" t="n">
        <v>901</v>
      </c>
      <c r="E117" t="inlineStr">
        <is>
          <t>collection_root: Path | None = None,</t>
        </is>
      </c>
    </row>
    <row r="118">
      <c r="A118" t="inlineStr">
        <is>
          <t>archon-search</t>
        </is>
      </c>
      <c r="B118" t="inlineStr">
        <is>
          <t>/Users/manczg/Documents/development/archon-search/archon_search/pipeline.py</t>
        </is>
      </c>
      <c r="C118" t="inlineStr">
        <is>
          <t>smells-08</t>
        </is>
      </c>
      <c r="D118" t="n">
        <v>903</v>
      </c>
      <c r="E118" t="inlineStr">
        <is>
          <t>chunk_ttl_seconds: int | None = None,</t>
        </is>
      </c>
    </row>
    <row r="119">
      <c r="A119" t="inlineStr">
        <is>
          <t>archon-search</t>
        </is>
      </c>
      <c r="B119" t="inlineStr">
        <is>
          <t>/Users/manczg/Documents/development/archon-search/archon_search/pipeline.py</t>
        </is>
      </c>
      <c r="C119" t="inlineStr">
        <is>
          <t>smells-08</t>
        </is>
      </c>
      <c r="D119" t="n">
        <v>904</v>
      </c>
      <c r="E119" t="inlineStr">
        <is>
          <t>chunk_scopes: list[str] | None = None,</t>
        </is>
      </c>
    </row>
    <row r="120">
      <c r="A120" t="inlineStr">
        <is>
          <t>archon-search</t>
        </is>
      </c>
      <c r="B120" t="inlineStr">
        <is>
          <t>/Users/manczg/Documents/development/archon-search/archon_search/pipeline.py</t>
        </is>
      </c>
      <c r="C120" t="inlineStr">
        <is>
          <t>smells-08</t>
        </is>
      </c>
      <c r="D120" t="n">
        <v>1026</v>
      </c>
      <c r="E120" t="inlineStr">
        <is>
          <t>filters: SearchFilters | None = None,</t>
        </is>
      </c>
    </row>
    <row r="121">
      <c r="A121" t="inlineStr">
        <is>
          <t>archon-search</t>
        </is>
      </c>
      <c r="B121" t="inlineStr">
        <is>
          <t>/Users/manczg/Documents/development/archon-search/archon_search/pipeline.py</t>
        </is>
      </c>
      <c r="C121" t="inlineStr">
        <is>
          <t>smells-08</t>
        </is>
      </c>
      <c r="D121" t="n">
        <v>1027</v>
      </c>
      <c r="E121" t="inlineStr">
        <is>
          <t>query_vector: list[float] | None = None,</t>
        </is>
      </c>
    </row>
    <row r="122">
      <c r="A122" t="inlineStr">
        <is>
          <t>archon-search</t>
        </is>
      </c>
      <c r="B122" t="inlineStr">
        <is>
          <t>/Users/manczg/Documents/development/archon-search/archon_search/pipeline.py</t>
        </is>
      </c>
      <c r="C122" t="inlineStr">
        <is>
          <t>smells-08</t>
        </is>
      </c>
      <c r="D122" t="n">
        <v>1029</v>
      </c>
      <c r="E122" t="inlineStr">
        <is>
          <t>rag_fusion_generator: "RAGFusionGenerator | None" = None,</t>
        </is>
      </c>
    </row>
    <row r="123">
      <c r="A123" t="inlineStr">
        <is>
          <t>archon-search</t>
        </is>
      </c>
      <c r="B123" t="inlineStr">
        <is>
          <t>/Users/manczg/Documents/development/archon-search/archon_search/pipeline.py</t>
        </is>
      </c>
      <c r="C123" t="inlineStr">
        <is>
          <t>smells-08</t>
        </is>
      </c>
      <c r="D123" t="n">
        <v>1030</v>
      </c>
      <c r="E123" t="inlineStr">
        <is>
          <t>rag_fusion_config: "RAGFusionConfig | None" = None,</t>
        </is>
      </c>
    </row>
    <row r="124">
      <c r="A124" t="inlineStr">
        <is>
          <t>archon-search</t>
        </is>
      </c>
      <c r="B124" t="inlineStr">
        <is>
          <t>/Users/manczg/Documents/development/archon-search/archon_search/pipeline.py</t>
        </is>
      </c>
      <c r="C124" t="inlineStr">
        <is>
          <t>smells-08</t>
        </is>
      </c>
      <c r="D124" t="n">
        <v>1031</v>
      </c>
      <c r="E124" t="inlineStr">
        <is>
          <t>graph_mode: str | None = None,</t>
        </is>
      </c>
    </row>
    <row r="125">
      <c r="A125" t="inlineStr">
        <is>
          <t>archon-search</t>
        </is>
      </c>
      <c r="B125" t="inlineStr">
        <is>
          <t>/Users/manczg/Documents/development/archon-search/archon_search/pipeline.py</t>
        </is>
      </c>
      <c r="C125" t="inlineStr">
        <is>
          <t>smells-08</t>
        </is>
      </c>
      <c r="D125" t="n">
        <v>1032</v>
      </c>
      <c r="E125" t="inlineStr">
        <is>
          <t>scope_filter: str | None = None,</t>
        </is>
      </c>
    </row>
    <row r="126">
      <c r="A126" t="inlineStr">
        <is>
          <t>archon-search</t>
        </is>
      </c>
      <c r="B126" t="inlineStr">
        <is>
          <t>/Users/manczg/Documents/development/archon-search/archon_search/pipeline.py</t>
        </is>
      </c>
      <c r="C126" t="inlineStr">
        <is>
          <t>smells-08</t>
        </is>
      </c>
      <c r="D126" t="n">
        <v>1233</v>
      </c>
      <c r="E126" t="inlineStr">
        <is>
          <t>filters: "SearchFilters | None" = None,</t>
        </is>
      </c>
    </row>
    <row r="127">
      <c r="A127" t="inlineStr">
        <is>
          <t>archon-search</t>
        </is>
      </c>
      <c r="B127" t="inlineStr">
        <is>
          <t>/Users/manczg/Documents/development/archon-search/archon_search/pipeline.py</t>
        </is>
      </c>
      <c r="C127" t="inlineStr">
        <is>
          <t>smells-08</t>
        </is>
      </c>
      <c r="D127" t="n">
        <v>1234</v>
      </c>
      <c r="E127" t="inlineStr">
        <is>
          <t>scope_filter: str | None = None,</t>
        </is>
      </c>
    </row>
    <row r="128">
      <c r="A128" t="inlineStr">
        <is>
          <t>archon-search</t>
        </is>
      </c>
      <c r="B128" t="inlineStr">
        <is>
          <t>/Users/manczg/Documents/development/archon-search/archon_search/pipeline.py</t>
        </is>
      </c>
      <c r="C128" t="inlineStr">
        <is>
          <t>smells-08</t>
        </is>
      </c>
      <c r="D128" t="n">
        <v>1319</v>
      </c>
      <c r="E128" t="inlineStr">
        <is>
          <t>filters: "SearchFilters | None" = None,</t>
        </is>
      </c>
    </row>
    <row r="129">
      <c r="A129" t="inlineStr">
        <is>
          <t>archon-search</t>
        </is>
      </c>
      <c r="B129" t="inlineStr">
        <is>
          <t>/Users/manczg/Documents/development/archon-search/archon_search/pipeline.py</t>
        </is>
      </c>
      <c r="C129" t="inlineStr">
        <is>
          <t>smells-08</t>
        </is>
      </c>
      <c r="D129" t="n">
        <v>1320</v>
      </c>
      <c r="E129" t="inlineStr">
        <is>
          <t>scope_filter: "str | None" = None,</t>
        </is>
      </c>
    </row>
    <row r="130">
      <c r="A130" t="inlineStr">
        <is>
          <t>archon-search</t>
        </is>
      </c>
      <c r="B130" t="inlineStr">
        <is>
          <t>/Users/manczg/Documents/development/archon-search/archon_search/pipeline.py</t>
        </is>
      </c>
      <c r="C130" t="inlineStr">
        <is>
          <t>smells-08</t>
        </is>
      </c>
      <c r="D130" t="n">
        <v>1465</v>
      </c>
      <c r="E130" t="inlineStr">
        <is>
          <t>filters: "SearchFilters | None" = None,</t>
        </is>
      </c>
    </row>
    <row r="131">
      <c r="A131" t="inlineStr">
        <is>
          <t>archon-search</t>
        </is>
      </c>
      <c r="B131" t="inlineStr">
        <is>
          <t>/Users/manczg/Documents/development/archon-search/archon_search/pipeline.py</t>
        </is>
      </c>
      <c r="C131" t="inlineStr">
        <is>
          <t>smells-08</t>
        </is>
      </c>
      <c r="D131" t="n">
        <v>1690</v>
      </c>
      <c r="E131" t="inlineStr">
        <is>
          <t>filters: SearchFilters | None = None,</t>
        </is>
      </c>
    </row>
    <row r="132">
      <c r="A132" t="inlineStr">
        <is>
          <t>archon-search</t>
        </is>
      </c>
      <c r="B132" t="inlineStr">
        <is>
          <t>/Users/manczg/Documents/development/archon-search/archon_search/pipeline.py</t>
        </is>
      </c>
      <c r="C132" t="inlineStr">
        <is>
          <t>smells-08</t>
        </is>
      </c>
      <c r="D132" t="n">
        <v>1691</v>
      </c>
      <c r="E132" t="inlineStr">
        <is>
          <t>query_vector: list[float] | None = None,</t>
        </is>
      </c>
    </row>
    <row r="133">
      <c r="A133" t="inlineStr">
        <is>
          <t>archon-search</t>
        </is>
      </c>
      <c r="B133" t="inlineStr">
        <is>
          <t>/Users/manczg/Documents/development/archon-search/archon_search/pipeline.py</t>
        </is>
      </c>
      <c r="C133" t="inlineStr">
        <is>
          <t>smells-08</t>
        </is>
      </c>
      <c r="D133" t="n">
        <v>1693</v>
      </c>
      <c r="E133" t="inlineStr">
        <is>
          <t>scope_filter: str | None = None,</t>
        </is>
      </c>
    </row>
    <row r="134">
      <c r="A134" t="inlineStr">
        <is>
          <t>archon-search</t>
        </is>
      </c>
      <c r="B134" t="inlineStr">
        <is>
          <t>/Users/manczg/Documents/development/archon-search/archon_search/pipeline.py</t>
        </is>
      </c>
      <c r="C134" t="inlineStr">
        <is>
          <t>smells-08</t>
        </is>
      </c>
      <c r="D134" t="n">
        <v>1743</v>
      </c>
      <c r="E134" t="inlineStr">
        <is>
          <t>collection: str | None = None,</t>
        </is>
      </c>
    </row>
    <row r="135">
      <c r="A135" t="inlineStr">
        <is>
          <t>archon-search</t>
        </is>
      </c>
      <c r="B135" t="inlineStr">
        <is>
          <t>/Users/manczg/Documents/development/archon-search/archon_search/pipeline.py</t>
        </is>
      </c>
      <c r="C135" t="inlineStr">
        <is>
          <t>smells-08</t>
        </is>
      </c>
      <c r="D135" t="n">
        <v>1745</v>
      </c>
      <c r="E135" t="inlineStr">
        <is>
          <t>collections: list[str] | None = None,</t>
        </is>
      </c>
    </row>
    <row r="136">
      <c r="A136" t="inlineStr">
        <is>
          <t>archon-search</t>
        </is>
      </c>
      <c r="B136" t="inlineStr">
        <is>
          <t>/Users/manczg/Documents/development/archon-search/archon_search/pipeline.py</t>
        </is>
      </c>
      <c r="C136" t="inlineStr">
        <is>
          <t>smells-08</t>
        </is>
      </c>
      <c r="D136" t="n">
        <v>1749</v>
      </c>
      <c r="E136" t="inlineStr">
        <is>
          <t>query_vector: list[float] | None = None,</t>
        </is>
      </c>
    </row>
    <row r="137">
      <c r="A137" t="inlineStr">
        <is>
          <t>archon-search</t>
        </is>
      </c>
      <c r="B137" t="inlineStr">
        <is>
          <t>/Users/manczg/Documents/development/archon-search/archon_search/pipeline.py</t>
        </is>
      </c>
      <c r="C137" t="inlineStr">
        <is>
          <t>smells-08</t>
        </is>
      </c>
      <c r="D137" t="n">
        <v>1750</v>
      </c>
      <c r="E137" t="inlineStr">
        <is>
          <t>embedder: Embedder | None = None,</t>
        </is>
      </c>
    </row>
    <row r="138">
      <c r="A138" t="inlineStr">
        <is>
          <t>archon-search</t>
        </is>
      </c>
      <c r="B138" t="inlineStr">
        <is>
          <t>/Users/manczg/Documents/development/archon-search/archon_search/pipeline.py</t>
        </is>
      </c>
      <c r="C138" t="inlineStr">
        <is>
          <t>smells-08</t>
        </is>
      </c>
      <c r="D138" t="n">
        <v>1752</v>
      </c>
      <c r="E138" t="inlineStr">
        <is>
          <t>rag_fusion_generator: "RAGFusionGenerator | None" = None,</t>
        </is>
      </c>
    </row>
    <row r="139">
      <c r="A139" t="inlineStr">
        <is>
          <t>archon-search</t>
        </is>
      </c>
      <c r="B139" t="inlineStr">
        <is>
          <t>/Users/manczg/Documents/development/archon-search/archon_search/pipeline.py</t>
        </is>
      </c>
      <c r="C139" t="inlineStr">
        <is>
          <t>smells-08</t>
        </is>
      </c>
      <c r="D139" t="n">
        <v>1753</v>
      </c>
      <c r="E139" t="inlineStr">
        <is>
          <t>rag_fusion_config: "RAGFusionConfig | None" = None,</t>
        </is>
      </c>
    </row>
    <row r="140">
      <c r="A140" t="inlineStr">
        <is>
          <t>archon-search</t>
        </is>
      </c>
      <c r="B140" t="inlineStr">
        <is>
          <t>/Users/manczg/Documents/development/archon-search/archon_search/pipeline.py</t>
        </is>
      </c>
      <c r="C140" t="inlineStr">
        <is>
          <t>smells-08</t>
        </is>
      </c>
      <c r="D140" t="n">
        <v>1754</v>
      </c>
      <c r="E140" t="inlineStr">
        <is>
          <t>graph_mode: Literal["naive", "local", "global", "ppr"] | None = None,</t>
        </is>
      </c>
    </row>
    <row r="141">
      <c r="A141" t="inlineStr">
        <is>
          <t>archon-search</t>
        </is>
      </c>
      <c r="B141" t="inlineStr">
        <is>
          <t>/Users/manczg/Documents/development/archon-search/archon_search/pipeline.py</t>
        </is>
      </c>
      <c r="C141" t="inlineStr">
        <is>
          <t>smells-08</t>
        </is>
      </c>
      <c r="D141" t="n">
        <v>1755</v>
      </c>
      <c r="E141" t="inlineStr">
        <is>
          <t>scope_filter: str | None = None,</t>
        </is>
      </c>
    </row>
    <row r="142">
      <c r="A142" t="inlineStr">
        <is>
          <t>archon-search</t>
        </is>
      </c>
      <c r="B142" t="inlineStr">
        <is>
          <t>/Users/manczg/Documents/development/archon-search/archon_search/pipeline.py</t>
        </is>
      </c>
      <c r="C142" t="inlineStr">
        <is>
          <t>smells-08</t>
        </is>
      </c>
      <c r="D142" t="n">
        <v>2114</v>
      </c>
      <c r="E142" t="inlineStr">
        <is>
          <t>scope_filter: str | None = None,</t>
        </is>
      </c>
    </row>
    <row r="143">
      <c r="A143" t="inlineStr">
        <is>
          <t>archon-search</t>
        </is>
      </c>
      <c r="B143" t="inlineStr">
        <is>
          <t>/Users/manczg/Documents/development/archon-search/archon_search/pipeline.py</t>
        </is>
      </c>
      <c r="C143" t="inlineStr">
        <is>
          <t>smells-08</t>
        </is>
      </c>
      <c r="D143" t="n">
        <v>2247</v>
      </c>
      <c r="E143" t="inlineStr">
        <is>
          <t>scope_filter: str | None = None,</t>
        </is>
      </c>
    </row>
    <row r="144">
      <c r="A144" t="inlineStr">
        <is>
          <t>archon-search</t>
        </is>
      </c>
      <c r="B144" t="inlineStr">
        <is>
          <t>/Users/manczg/Documents/development/archon-search/archon_search/pipeline.py</t>
        </is>
      </c>
      <c r="C144" t="inlineStr">
        <is>
          <t>smells-08</t>
        </is>
      </c>
      <c r="D144" t="n">
        <v>2324</v>
      </c>
      <c r="E144" t="inlineStr">
        <is>
          <t>scope_filter: str | None = None,</t>
        </is>
      </c>
    </row>
    <row r="145">
      <c r="A145" t="inlineStr">
        <is>
          <t>archon-search</t>
        </is>
      </c>
      <c r="B145" t="inlineStr">
        <is>
          <t>/Users/manczg/Documents/development/archon-search/archon_search/pipeline.py</t>
        </is>
      </c>
      <c r="C145" t="inlineStr">
        <is>
          <t>smells-08</t>
        </is>
      </c>
      <c r="D145" t="n">
        <v>2385</v>
      </c>
      <c r="E145" t="inlineStr">
        <is>
          <t>scope_filter: str | None = None,</t>
        </is>
      </c>
    </row>
    <row r="146">
      <c r="A146" t="inlineStr">
        <is>
          <t>archon-search</t>
        </is>
      </c>
      <c r="B146" t="inlineStr">
        <is>
          <t>/Users/manczg/Documents/development/archon-search/archon_search/pipeline.py</t>
        </is>
      </c>
      <c r="C146" t="inlineStr">
        <is>
          <t>smells-08</t>
        </is>
      </c>
      <c r="D146" t="n">
        <v>2572</v>
      </c>
      <c r="E146" t="inlineStr">
        <is>
          <t>query_vector: list[float] | None = None,</t>
        </is>
      </c>
    </row>
    <row r="147">
      <c r="A147" t="inlineStr">
        <is>
          <t>archon-search</t>
        </is>
      </c>
      <c r="B147" t="inlineStr">
        <is>
          <t>/Users/manczg/Documents/development/archon-search/archon_search/pipeline.py</t>
        </is>
      </c>
      <c r="C147" t="inlineStr">
        <is>
          <t>smells-08</t>
        </is>
      </c>
      <c r="D147" t="n">
        <v>2575</v>
      </c>
      <c r="E147" t="inlineStr">
        <is>
          <t>rag_fusion_failure_reason: str | None = None,</t>
        </is>
      </c>
    </row>
    <row r="148">
      <c r="A148" t="inlineStr">
        <is>
          <t>archon-search</t>
        </is>
      </c>
      <c r="B148" t="inlineStr">
        <is>
          <t>/Users/manczg/Documents/development/archon-search/archon_search/pipeline.py</t>
        </is>
      </c>
      <c r="C148" t="inlineStr">
        <is>
          <t>smells-08</t>
        </is>
      </c>
      <c r="D148" t="n">
        <v>2576</v>
      </c>
      <c r="E148" t="inlineStr">
        <is>
          <t>scope_filter: str | None = None,</t>
        </is>
      </c>
    </row>
    <row r="149">
      <c r="A149" t="inlineStr">
        <is>
          <t>archon-search</t>
        </is>
      </c>
      <c r="B149" t="inlineStr">
        <is>
          <t>/Users/manczg/Documents/development/archon-search/archon_search/pipeline.py</t>
        </is>
      </c>
      <c r="C149" t="inlineStr">
        <is>
          <t>smells-08</t>
        </is>
      </c>
      <c r="D149" t="n">
        <v>2629</v>
      </c>
      <c r="E149" t="inlineStr">
        <is>
          <t>query_vector: list[float] | None = None,</t>
        </is>
      </c>
    </row>
    <row r="150">
      <c r="A150" t="inlineStr">
        <is>
          <t>archon-search</t>
        </is>
      </c>
      <c r="B150" t="inlineStr">
        <is>
          <t>/Users/manczg/Documents/development/archon-search/archon_search/pipeline.py</t>
        </is>
      </c>
      <c r="C150" t="inlineStr">
        <is>
          <t>smells-08</t>
        </is>
      </c>
      <c r="D150" t="n">
        <v>2631</v>
      </c>
      <c r="E150" t="inlineStr">
        <is>
          <t>rag_fusion_generator: "RAGFusionGenerator | None" = None,</t>
        </is>
      </c>
    </row>
    <row r="151">
      <c r="A151" t="inlineStr">
        <is>
          <t>archon-search</t>
        </is>
      </c>
      <c r="B151" t="inlineStr">
        <is>
          <t>/Users/manczg/Documents/development/archon-search/archon_search/pipeline.py</t>
        </is>
      </c>
      <c r="C151" t="inlineStr">
        <is>
          <t>smells-08</t>
        </is>
      </c>
      <c r="D151" t="n">
        <v>2632</v>
      </c>
      <c r="E151" t="inlineStr">
        <is>
          <t>rag_fusion_config: "RAGFusionConfig | None" = None,</t>
        </is>
      </c>
    </row>
    <row r="152">
      <c r="A152" t="inlineStr">
        <is>
          <t>archon-search</t>
        </is>
      </c>
      <c r="B152" t="inlineStr">
        <is>
          <t>/Users/manczg/Documents/development/archon-search/archon_search/pipeline.py</t>
        </is>
      </c>
      <c r="C152" t="inlineStr">
        <is>
          <t>smells-08</t>
        </is>
      </c>
      <c r="D152" t="n">
        <v>2633</v>
      </c>
      <c r="E152" t="inlineStr">
        <is>
          <t>filters: SearchFilters | None = None,</t>
        </is>
      </c>
    </row>
    <row r="153">
      <c r="A153" t="inlineStr">
        <is>
          <t>archon-search</t>
        </is>
      </c>
      <c r="B153" t="inlineStr">
        <is>
          <t>/Users/manczg/Documents/development/archon-search/archon_search/pipeline.py</t>
        </is>
      </c>
      <c r="C153" t="inlineStr">
        <is>
          <t>smells-08</t>
        </is>
      </c>
      <c r="D153" t="n">
        <v>2634</v>
      </c>
      <c r="E153" t="inlineStr">
        <is>
          <t>graph_mode: str | None = None,</t>
        </is>
      </c>
    </row>
    <row r="154">
      <c r="A154" t="inlineStr">
        <is>
          <t>archon-search</t>
        </is>
      </c>
      <c r="B154" t="inlineStr">
        <is>
          <t>/Users/manczg/Documents/development/archon-search/archon_search/pipeline.py</t>
        </is>
      </c>
      <c r="C154" t="inlineStr">
        <is>
          <t>smells-08</t>
        </is>
      </c>
      <c r="D154" t="n">
        <v>2635</v>
      </c>
      <c r="E154" t="inlineStr">
        <is>
          <t>scope_filter: str | None = None,</t>
        </is>
      </c>
    </row>
    <row r="155">
      <c r="A155" t="inlineStr">
        <is>
          <t>archon-search</t>
        </is>
      </c>
      <c r="B155" t="inlineStr">
        <is>
          <t>/Users/manczg/Documents/development/archon-search/archon_search/pipeline.py</t>
        </is>
      </c>
      <c r="C155" t="inlineStr">
        <is>
          <t>smells-08</t>
        </is>
      </c>
      <c r="D155" t="n">
        <v>3209</v>
      </c>
      <c r="E155" t="inlineStr">
        <is>
          <t>filters: SearchFilters | None = None,</t>
        </is>
      </c>
    </row>
    <row r="156">
      <c r="A156" t="inlineStr">
        <is>
          <t>archon-search</t>
        </is>
      </c>
      <c r="B156" t="inlineStr">
        <is>
          <t>/Users/manczg/Documents/development/archon-search/archon_search/pipeline.py</t>
        </is>
      </c>
      <c r="C156" t="inlineStr">
        <is>
          <t>smells-08</t>
        </is>
      </c>
      <c r="D156" t="n">
        <v>3210</v>
      </c>
      <c r="E156" t="inlineStr">
        <is>
          <t>scope_filter: str | None = None,</t>
        </is>
      </c>
    </row>
    <row r="157">
      <c r="A157" t="inlineStr">
        <is>
          <t>archon-search</t>
        </is>
      </c>
      <c r="B157" t="inlineStr">
        <is>
          <t>/Users/manczg/Documents/development/archon-search/archon_search/pipeline.py</t>
        </is>
      </c>
      <c r="C157" t="inlineStr">
        <is>
          <t>smells-08</t>
        </is>
      </c>
      <c r="D157" t="n">
        <v>3297</v>
      </c>
      <c r="E157" t="inlineStr">
        <is>
          <t>filters: SearchFilters | None = None,</t>
        </is>
      </c>
    </row>
    <row r="158">
      <c r="A158" t="inlineStr">
        <is>
          <t>archon-search</t>
        </is>
      </c>
      <c r="B158" t="inlineStr">
        <is>
          <t>/Users/manczg/Documents/development/archon-search/archon_search/pipeline.py</t>
        </is>
      </c>
      <c r="C158" t="inlineStr">
        <is>
          <t>smells-08</t>
        </is>
      </c>
      <c r="D158" t="n">
        <v>3298</v>
      </c>
      <c r="E158" t="inlineStr">
        <is>
          <t>query_vector: list[float] | None = None,</t>
        </is>
      </c>
    </row>
    <row r="159">
      <c r="A159" t="inlineStr">
        <is>
          <t>archon-search</t>
        </is>
      </c>
      <c r="B159" t="inlineStr">
        <is>
          <t>/Users/manczg/Documents/development/archon-search/archon_search/pipeline.py</t>
        </is>
      </c>
      <c r="C159" t="inlineStr">
        <is>
          <t>smells-08</t>
        </is>
      </c>
      <c r="D159" t="n">
        <v>3300</v>
      </c>
      <c r="E159" t="inlineStr">
        <is>
          <t>rag_fusion_generator: "RAGFusionGenerator | None" = None,</t>
        </is>
      </c>
    </row>
    <row r="160">
      <c r="A160" t="inlineStr">
        <is>
          <t>archon-search</t>
        </is>
      </c>
      <c r="B160" t="inlineStr">
        <is>
          <t>/Users/manczg/Documents/development/archon-search/archon_search/pipeline.py</t>
        </is>
      </c>
      <c r="C160" t="inlineStr">
        <is>
          <t>smells-08</t>
        </is>
      </c>
      <c r="D160" t="n">
        <v>3301</v>
      </c>
      <c r="E160" t="inlineStr">
        <is>
          <t>rag_fusion_config: "RAGFusionConfig | None" = None,</t>
        </is>
      </c>
    </row>
    <row r="161">
      <c r="A161" t="inlineStr">
        <is>
          <t>archon-search</t>
        </is>
      </c>
      <c r="B161" t="inlineStr">
        <is>
          <t>/Users/manczg/Documents/development/archon-search/archon_search/pipeline.py</t>
        </is>
      </c>
      <c r="C161" t="inlineStr">
        <is>
          <t>smells-08</t>
        </is>
      </c>
      <c r="D161" t="n">
        <v>3302</v>
      </c>
      <c r="E161" t="inlineStr">
        <is>
          <t>scope_filter: str | None = None,</t>
        </is>
      </c>
    </row>
    <row r="162">
      <c r="A162" t="inlineStr">
        <is>
          <t>archon-search</t>
        </is>
      </c>
      <c r="B162" t="inlineStr">
        <is>
          <t>/Users/manczg/Documents/development/archon-search/archon_search/pipeline.py</t>
        </is>
      </c>
      <c r="C162" t="inlineStr">
        <is>
          <t>smells-08</t>
        </is>
      </c>
      <c r="D162" t="n">
        <v>3414</v>
      </c>
      <c r="E162" t="inlineStr">
        <is>
          <t>async def get_collection_meta(self, name: str, namespace: str = DEFAULT_NAMESPACE) -&gt; CollectionMeta | None:</t>
        </is>
      </c>
    </row>
    <row r="163">
      <c r="A163" t="inlineStr">
        <is>
          <t>archon-search</t>
        </is>
      </c>
      <c r="B163" t="inlineStr">
        <is>
          <t>/Users/manczg/Documents/development/archon-search/archon_search/pipeline.py</t>
        </is>
      </c>
      <c r="C163" t="inlineStr">
        <is>
          <t>smells-08</t>
        </is>
      </c>
      <c r="D163" t="n">
        <v>3421</v>
      </c>
      <c r="E163" t="inlineStr">
        <is>
          <t>cursor: str | None = None,</t>
        </is>
      </c>
    </row>
    <row r="164">
      <c r="A164" t="inlineStr">
        <is>
          <t>archon-search</t>
        </is>
      </c>
      <c r="B164" t="inlineStr">
        <is>
          <t>/Users/manczg/Documents/development/archon-search/archon_search/pipeline.py</t>
        </is>
      </c>
      <c r="C164" t="inlineStr">
        <is>
          <t>smells-08</t>
        </is>
      </c>
      <c r="D164" t="n">
        <v>3423</v>
      </c>
      <c r="E164" t="inlineStr">
        <is>
          <t>) -&gt; tuple[list[DocumentInfo], str | None, int]:</t>
        </is>
      </c>
    </row>
    <row r="165">
      <c r="A165" t="inlineStr">
        <is>
          <t>archon-search</t>
        </is>
      </c>
      <c r="B165" t="inlineStr">
        <is>
          <t>/Users/manczg/Documents/development/archon-search/archon_search/pipeline.py</t>
        </is>
      </c>
      <c r="C165" t="inlineStr">
        <is>
          <t>smells-08</t>
        </is>
      </c>
      <c r="D165" t="n">
        <v>3558</v>
      </c>
      <c r="E165" t="inlineStr">
        <is>
          <t>embedder_backend: EmbedderBackend | None = None,</t>
        </is>
      </c>
    </row>
    <row r="166">
      <c r="A166" t="inlineStr">
        <is>
          <t>archon-search</t>
        </is>
      </c>
      <c r="B166" t="inlineStr">
        <is>
          <t>/Users/manczg/Documents/development/archon-search/archon_search/pipeline.py</t>
        </is>
      </c>
      <c r="C166" t="inlineStr">
        <is>
          <t>smells-08</t>
        </is>
      </c>
      <c r="D166" t="n">
        <v>3559</v>
      </c>
      <c r="E166" t="inlineStr">
        <is>
          <t>reranker_backend: RerankerBackend | None = None,</t>
        </is>
      </c>
    </row>
    <row r="167">
      <c r="A167" t="inlineStr">
        <is>
          <t>archon-search</t>
        </is>
      </c>
      <c r="B167" t="inlineStr">
        <is>
          <t>/Users/manczg/Documents/development/archon-search/archon_search/pipeline.py</t>
        </is>
      </c>
      <c r="C167" t="inlineStr">
        <is>
          <t>smells-12</t>
        </is>
      </c>
      <c r="D167" t="n">
        <v>297</v>
      </c>
      <c r="E167" t="inlineStr">
        <is>
          <t>except Exception:</t>
        </is>
      </c>
    </row>
    <row r="168">
      <c r="A168" t="inlineStr">
        <is>
          <t>archon-search</t>
        </is>
      </c>
      <c r="B168" t="inlineStr">
        <is>
          <t>/Users/manczg/Documents/development/archon-search/archon_search/pipeline.py</t>
        </is>
      </c>
      <c r="C168" t="inlineStr">
        <is>
          <t>smells-12</t>
        </is>
      </c>
      <c r="D168" t="n">
        <v>409</v>
      </c>
      <c r="E168" t="inlineStr">
        <is>
          <t>except Exception:</t>
        </is>
      </c>
    </row>
    <row r="169">
      <c r="A169" t="inlineStr">
        <is>
          <t>archon-search</t>
        </is>
      </c>
      <c r="B169" t="inlineStr">
        <is>
          <t>/Users/manczg/Documents/development/archon-search/archon_search/pipeline.py</t>
        </is>
      </c>
      <c r="C169" t="inlineStr">
        <is>
          <t>smells-12</t>
        </is>
      </c>
      <c r="D169" t="n">
        <v>414</v>
      </c>
      <c r="E169" t="inlineStr">
        <is>
          <t>except Exception:</t>
        </is>
      </c>
    </row>
    <row r="170">
      <c r="A170" t="inlineStr">
        <is>
          <t>archon-search</t>
        </is>
      </c>
      <c r="B170" t="inlineStr">
        <is>
          <t>/Users/manczg/Documents/development/archon-search/archon_search/pipeline.py</t>
        </is>
      </c>
      <c r="C170" t="inlineStr">
        <is>
          <t>smells-12</t>
        </is>
      </c>
      <c r="D170" t="n">
        <v>542</v>
      </c>
      <c r="E170" t="inlineStr">
        <is>
          <t>except Exception as e:</t>
        </is>
      </c>
    </row>
    <row r="171">
      <c r="A171" t="inlineStr">
        <is>
          <t>archon-search</t>
        </is>
      </c>
      <c r="B171" t="inlineStr">
        <is>
          <t>/Users/manczg/Documents/development/archon-search/archon_search/pipeline.py</t>
        </is>
      </c>
      <c r="C171" t="inlineStr">
        <is>
          <t>smells-12</t>
        </is>
      </c>
      <c r="D171" t="n">
        <v>656</v>
      </c>
      <c r="E171" t="inlineStr">
        <is>
          <t>except Exception:</t>
        </is>
      </c>
    </row>
    <row r="172">
      <c r="A172" t="inlineStr">
        <is>
          <t>archon-search</t>
        </is>
      </c>
      <c r="B172" t="inlineStr">
        <is>
          <t>/Users/manczg/Documents/development/archon-search/archon_search/pipeline.py</t>
        </is>
      </c>
      <c r="C172" t="inlineStr">
        <is>
          <t>smells-12</t>
        </is>
      </c>
      <c r="D172" t="n">
        <v>711</v>
      </c>
      <c r="E172" t="inlineStr">
        <is>
          <t>except Exception:</t>
        </is>
      </c>
    </row>
    <row r="173">
      <c r="A173" t="inlineStr">
        <is>
          <t>archon-search</t>
        </is>
      </c>
      <c r="B173" t="inlineStr">
        <is>
          <t>/Users/manczg/Documents/development/archon-search/archon_search/pipeline.py</t>
        </is>
      </c>
      <c r="C173" t="inlineStr">
        <is>
          <t>smells-12</t>
        </is>
      </c>
      <c r="D173" t="n">
        <v>766</v>
      </c>
      <c r="E173" t="inlineStr">
        <is>
          <t>except Exception:</t>
        </is>
      </c>
    </row>
    <row r="174">
      <c r="A174" t="inlineStr">
        <is>
          <t>archon-search</t>
        </is>
      </c>
      <c r="B174" t="inlineStr">
        <is>
          <t>/Users/manczg/Documents/development/archon-search/archon_search/pipeline.py</t>
        </is>
      </c>
      <c r="C174" t="inlineStr">
        <is>
          <t>smells-12</t>
        </is>
      </c>
      <c r="D174" t="n">
        <v>833</v>
      </c>
      <c r="E174" t="inlineStr">
        <is>
          <t>except Exception:</t>
        </is>
      </c>
    </row>
    <row r="175">
      <c r="A175" t="inlineStr">
        <is>
          <t>archon-search</t>
        </is>
      </c>
      <c r="B175" t="inlineStr">
        <is>
          <t>/Users/manczg/Documents/development/archon-search/archon_search/pipeline.py</t>
        </is>
      </c>
      <c r="C175" t="inlineStr">
        <is>
          <t>smells-12</t>
        </is>
      </c>
      <c r="D175" t="n">
        <v>852</v>
      </c>
      <c r="E175" t="inlineStr">
        <is>
          <t>except Exception:</t>
        </is>
      </c>
    </row>
    <row r="176">
      <c r="A176" t="inlineStr">
        <is>
          <t>archon-search</t>
        </is>
      </c>
      <c r="B176" t="inlineStr">
        <is>
          <t>/Users/manczg/Documents/development/archon-search/archon_search/pipeline.py</t>
        </is>
      </c>
      <c r="C176" t="inlineStr">
        <is>
          <t>smells-12</t>
        </is>
      </c>
      <c r="D176" t="n">
        <v>872</v>
      </c>
      <c r="E176" t="inlineStr">
        <is>
          <t>except Exception:</t>
        </is>
      </c>
    </row>
    <row r="177">
      <c r="A177" t="inlineStr">
        <is>
          <t>archon-search</t>
        </is>
      </c>
      <c r="B177" t="inlineStr">
        <is>
          <t>/Users/manczg/Documents/development/archon-search/archon_search/pipeline.py</t>
        </is>
      </c>
      <c r="C177" t="inlineStr">
        <is>
          <t>smells-12</t>
        </is>
      </c>
      <c r="D177" t="n">
        <v>970</v>
      </c>
      <c r="E177" t="inlineStr">
        <is>
          <t>except Exception:</t>
        </is>
      </c>
    </row>
    <row r="178">
      <c r="A178" t="inlineStr">
        <is>
          <t>archon-search</t>
        </is>
      </c>
      <c r="B178" t="inlineStr">
        <is>
          <t>/Users/manczg/Documents/development/archon-search/archon_search/pipeline.py</t>
        </is>
      </c>
      <c r="C178" t="inlineStr">
        <is>
          <t>smells-12</t>
        </is>
      </c>
      <c r="D178" t="n">
        <v>1103</v>
      </c>
      <c r="E178" t="inlineStr">
        <is>
          <t>except Exception:</t>
        </is>
      </c>
    </row>
    <row r="179">
      <c r="A179" t="inlineStr">
        <is>
          <t>archon-search</t>
        </is>
      </c>
      <c r="B179" t="inlineStr">
        <is>
          <t>/Users/manczg/Documents/development/archon-search/archon_search/pipeline.py</t>
        </is>
      </c>
      <c r="C179" t="inlineStr">
        <is>
          <t>smells-12</t>
        </is>
      </c>
      <c r="D179" t="n">
        <v>1123</v>
      </c>
      <c r="E179" t="inlineStr">
        <is>
          <t>except Exception:</t>
        </is>
      </c>
    </row>
    <row r="180">
      <c r="A180" t="inlineStr">
        <is>
          <t>archon-search</t>
        </is>
      </c>
      <c r="B180" t="inlineStr">
        <is>
          <t>/Users/manczg/Documents/development/archon-search/archon_search/pipeline.py</t>
        </is>
      </c>
      <c r="C180" t="inlineStr">
        <is>
          <t>smells-12</t>
        </is>
      </c>
      <c r="D180" t="n">
        <v>1358</v>
      </c>
      <c r="E180" t="inlineStr">
        <is>
          <t>except Exception:</t>
        </is>
      </c>
    </row>
    <row r="181">
      <c r="A181" t="inlineStr">
        <is>
          <t>archon-search</t>
        </is>
      </c>
      <c r="B181" t="inlineStr">
        <is>
          <t>/Users/manczg/Documents/development/archon-search/archon_search/pipeline.py</t>
        </is>
      </c>
      <c r="C181" t="inlineStr">
        <is>
          <t>smells-12</t>
        </is>
      </c>
      <c r="D181" t="n">
        <v>1509</v>
      </c>
      <c r="E181" t="inlineStr">
        <is>
          <t>except Exception:</t>
        </is>
      </c>
    </row>
    <row r="182">
      <c r="A182" t="inlineStr">
        <is>
          <t>archon-search</t>
        </is>
      </c>
      <c r="B182" t="inlineStr">
        <is>
          <t>/Users/manczg/Documents/development/archon-search/archon_search/pipeline.py</t>
        </is>
      </c>
      <c r="C182" t="inlineStr">
        <is>
          <t>smells-12</t>
        </is>
      </c>
      <c r="D182" t="n">
        <v>1530</v>
      </c>
      <c r="E182" t="inlineStr">
        <is>
          <t>except Exception:</t>
        </is>
      </c>
    </row>
    <row r="183">
      <c r="A183" t="inlineStr">
        <is>
          <t>archon-search</t>
        </is>
      </c>
      <c r="B183" t="inlineStr">
        <is>
          <t>/Users/manczg/Documents/development/archon-search/archon_search/pipeline.py</t>
        </is>
      </c>
      <c r="C183" t="inlineStr">
        <is>
          <t>smells-12</t>
        </is>
      </c>
      <c r="D183" t="n">
        <v>1550</v>
      </c>
      <c r="E183" t="inlineStr">
        <is>
          <t>except Exception:</t>
        </is>
      </c>
    </row>
    <row r="184">
      <c r="A184" t="inlineStr">
        <is>
          <t>archon-search</t>
        </is>
      </c>
      <c r="B184" t="inlineStr">
        <is>
          <t>/Users/manczg/Documents/development/archon-search/archon_search/pipeline.py</t>
        </is>
      </c>
      <c r="C184" t="inlineStr">
        <is>
          <t>smells-12</t>
        </is>
      </c>
      <c r="D184" t="n">
        <v>1985</v>
      </c>
      <c r="E184" t="inlineStr">
        <is>
          <t>except Exception as exc:</t>
        </is>
      </c>
    </row>
    <row r="185">
      <c r="A185" t="inlineStr">
        <is>
          <t>archon-search</t>
        </is>
      </c>
      <c r="B185" t="inlineStr">
        <is>
          <t>/Users/manczg/Documents/development/archon-search/archon_search/pipeline.py</t>
        </is>
      </c>
      <c r="C185" t="inlineStr">
        <is>
          <t>smells-12</t>
        </is>
      </c>
      <c r="D185" t="n">
        <v>2004</v>
      </c>
      <c r="E185" t="inlineStr">
        <is>
          <t>except Exception as exc:</t>
        </is>
      </c>
    </row>
    <row r="186">
      <c r="A186" t="inlineStr">
        <is>
          <t>archon-search</t>
        </is>
      </c>
      <c r="B186" t="inlineStr">
        <is>
          <t>/Users/manczg/Documents/development/archon-search/archon_search/pipeline.py</t>
        </is>
      </c>
      <c r="C186" t="inlineStr">
        <is>
          <t>smells-12</t>
        </is>
      </c>
      <c r="D186" t="n">
        <v>2148</v>
      </c>
      <c r="E186" t="inlineStr">
        <is>
          <t>except Exception:</t>
        </is>
      </c>
    </row>
    <row r="187">
      <c r="A187" t="inlineStr">
        <is>
          <t>archon-search</t>
        </is>
      </c>
      <c r="B187" t="inlineStr">
        <is>
          <t>/Users/manczg/Documents/development/archon-search/archon_search/pipeline.py</t>
        </is>
      </c>
      <c r="C187" t="inlineStr">
        <is>
          <t>smells-12</t>
        </is>
      </c>
      <c r="D187" t="n">
        <v>2164</v>
      </c>
      <c r="E187" t="inlineStr">
        <is>
          <t>except Exception:</t>
        </is>
      </c>
    </row>
    <row r="188">
      <c r="A188" t="inlineStr">
        <is>
          <t>archon-search</t>
        </is>
      </c>
      <c r="B188" t="inlineStr">
        <is>
          <t>/Users/manczg/Documents/development/archon-search/archon_search/pipeline.py</t>
        </is>
      </c>
      <c r="C188" t="inlineStr">
        <is>
          <t>smells-12</t>
        </is>
      </c>
      <c r="D188" t="n">
        <v>2174</v>
      </c>
      <c r="E188" t="inlineStr">
        <is>
          <t>except Exception:</t>
        </is>
      </c>
    </row>
    <row r="189">
      <c r="A189" t="inlineStr">
        <is>
          <t>archon-search</t>
        </is>
      </c>
      <c r="B189" t="inlineStr">
        <is>
          <t>/Users/manczg/Documents/development/archon-search/archon_search/pipeline.py</t>
        </is>
      </c>
      <c r="C189" t="inlineStr">
        <is>
          <t>smells-12</t>
        </is>
      </c>
      <c r="D189" t="n">
        <v>2268</v>
      </c>
      <c r="E189" t="inlineStr">
        <is>
          <t>except Exception:</t>
        </is>
      </c>
    </row>
    <row r="190">
      <c r="A190" t="inlineStr">
        <is>
          <t>archon-search</t>
        </is>
      </c>
      <c r="B190" t="inlineStr">
        <is>
          <t>/Users/manczg/Documents/development/archon-search/archon_search/pipeline.py</t>
        </is>
      </c>
      <c r="C190" t="inlineStr">
        <is>
          <t>smells-12</t>
        </is>
      </c>
      <c r="D190" t="n">
        <v>2298</v>
      </c>
      <c r="E190" t="inlineStr">
        <is>
          <t>except Exception:</t>
        </is>
      </c>
    </row>
    <row r="191">
      <c r="A191" t="inlineStr">
        <is>
          <t>archon-search</t>
        </is>
      </c>
      <c r="B191" t="inlineStr">
        <is>
          <t>/Users/manczg/Documents/development/archon-search/archon_search/pipeline.py</t>
        </is>
      </c>
      <c r="C191" t="inlineStr">
        <is>
          <t>smells-12</t>
        </is>
      </c>
      <c r="D191" t="n">
        <v>2427</v>
      </c>
      <c r="E191" t="inlineStr">
        <is>
          <t>except Exception:</t>
        </is>
      </c>
    </row>
    <row r="192">
      <c r="A192" t="inlineStr">
        <is>
          <t>archon-search</t>
        </is>
      </c>
      <c r="B192" t="inlineStr">
        <is>
          <t>/Users/manczg/Documents/development/archon-search/archon_search/pipeline.py</t>
        </is>
      </c>
      <c r="C192" t="inlineStr">
        <is>
          <t>smells-12</t>
        </is>
      </c>
      <c r="D192" t="n">
        <v>2445</v>
      </c>
      <c r="E192" t="inlineStr">
        <is>
          <t>except Exception:</t>
        </is>
      </c>
    </row>
    <row r="193">
      <c r="A193" t="inlineStr">
        <is>
          <t>archon-search</t>
        </is>
      </c>
      <c r="B193" t="inlineStr">
        <is>
          <t>/Users/manczg/Documents/development/archon-search/archon_search/pipeline.py</t>
        </is>
      </c>
      <c r="C193" t="inlineStr">
        <is>
          <t>smells-12</t>
        </is>
      </c>
      <c r="D193" t="n">
        <v>2461</v>
      </c>
      <c r="E193" t="inlineStr">
        <is>
          <t>except Exception:</t>
        </is>
      </c>
    </row>
    <row r="194">
      <c r="A194" t="inlineStr">
        <is>
          <t>archon-search</t>
        </is>
      </c>
      <c r="B194" t="inlineStr">
        <is>
          <t>/Users/manczg/Documents/development/archon-search/archon_search/pipeline.py</t>
        </is>
      </c>
      <c r="C194" t="inlineStr">
        <is>
          <t>smells-12</t>
        </is>
      </c>
      <c r="D194" t="n">
        <v>2697</v>
      </c>
      <c r="E194" t="inlineStr">
        <is>
          <t>except Exception:</t>
        </is>
      </c>
    </row>
    <row r="195">
      <c r="A195" t="inlineStr">
        <is>
          <t>archon-search</t>
        </is>
      </c>
      <c r="B195" t="inlineStr">
        <is>
          <t>/Users/manczg/Documents/development/archon-search/archon_search/pipeline.py</t>
        </is>
      </c>
      <c r="C195" t="inlineStr">
        <is>
          <t>smells-12</t>
        </is>
      </c>
      <c r="D195" t="n">
        <v>2713</v>
      </c>
      <c r="E195" t="inlineStr">
        <is>
          <t>except Exception:</t>
        </is>
      </c>
    </row>
    <row r="196">
      <c r="A196" t="inlineStr">
        <is>
          <t>archon-search</t>
        </is>
      </c>
      <c r="B196" t="inlineStr">
        <is>
          <t>/Users/manczg/Documents/development/archon-search/archon_search/pipeline.py</t>
        </is>
      </c>
      <c r="C196" t="inlineStr">
        <is>
          <t>smells-12</t>
        </is>
      </c>
      <c r="D196" t="n">
        <v>3006</v>
      </c>
      <c r="E196" t="inlineStr">
        <is>
          <t>except Exception:</t>
        </is>
      </c>
    </row>
    <row r="197">
      <c r="A197" t="inlineStr">
        <is>
          <t>archon-search</t>
        </is>
      </c>
      <c r="B197" t="inlineStr">
        <is>
          <t>/Users/manczg/Documents/development/archon-search/archon_search/pipeline.py</t>
        </is>
      </c>
      <c r="C197" t="inlineStr">
        <is>
          <t>smells-12</t>
        </is>
      </c>
      <c r="D197" t="n">
        <v>3020</v>
      </c>
      <c r="E197" t="inlineStr">
        <is>
          <t>except Exception:</t>
        </is>
      </c>
    </row>
    <row r="198">
      <c r="A198" t="inlineStr">
        <is>
          <t>archon-search</t>
        </is>
      </c>
      <c r="B198" t="inlineStr">
        <is>
          <t>/Users/manczg/Documents/development/archon-search/archon_search/pipeline.py</t>
        </is>
      </c>
      <c r="C198" t="inlineStr">
        <is>
          <t>smells-12</t>
        </is>
      </c>
      <c r="D198" t="n">
        <v>3039</v>
      </c>
      <c r="E198" t="inlineStr">
        <is>
          <t>except Exception:</t>
        </is>
      </c>
    </row>
    <row r="199">
      <c r="A199" t="inlineStr">
        <is>
          <t>archon-search</t>
        </is>
      </c>
      <c r="B199" t="inlineStr">
        <is>
          <t>/Users/manczg/Documents/development/archon-search/archon_search/pipeline.py</t>
        </is>
      </c>
      <c r="C199" t="inlineStr">
        <is>
          <t>smells-12</t>
        </is>
      </c>
      <c r="D199" t="n">
        <v>3388</v>
      </c>
      <c r="E199" t="inlineStr">
        <is>
          <t>except Exception:</t>
        </is>
      </c>
    </row>
    <row r="200">
      <c r="A200" t="inlineStr">
        <is>
          <t>archon-search</t>
        </is>
      </c>
      <c r="B200" t="inlineStr">
        <is>
          <t>/Users/manczg/Documents/development/archon-search/archon_search/pipeline.py</t>
        </is>
      </c>
      <c r="C200" t="inlineStr">
        <is>
          <t>smells-12</t>
        </is>
      </c>
      <c r="D200" t="n">
        <v>3398</v>
      </c>
      <c r="E200" t="inlineStr">
        <is>
          <t>except Exception:</t>
        </is>
      </c>
    </row>
    <row r="201">
      <c r="A201" t="inlineStr">
        <is>
          <t>archon-search</t>
        </is>
      </c>
      <c r="B201" t="inlineStr">
        <is>
          <t>/Users/manczg/Documents/development/archon-search/archon_search/pipeline.py</t>
        </is>
      </c>
      <c r="C201" t="inlineStr">
        <is>
          <t>solid-06</t>
        </is>
      </c>
      <c r="D201" t="n">
        <v>78</v>
      </c>
      <c r="E201" t="inlineStr">
        <is>
          <t>self.names = names</t>
        </is>
      </c>
    </row>
    <row r="202">
      <c r="A202" t="inlineStr">
        <is>
          <t>archon-search</t>
        </is>
      </c>
      <c r="B202" t="inlineStr">
        <is>
          <t>/Users/manczg/Documents/development/archon-search/archon_search/pipeline.py</t>
        </is>
      </c>
      <c r="C202" t="inlineStr">
        <is>
          <t>solid-06</t>
        </is>
      </c>
      <c r="D202" t="n">
        <v>90</v>
      </c>
      <c r="E202" t="inlineStr">
        <is>
          <t>self.cause = cause</t>
        </is>
      </c>
    </row>
    <row r="203">
      <c r="A203" t="inlineStr">
        <is>
          <t>archon-search</t>
        </is>
      </c>
      <c r="B203" t="inlineStr">
        <is>
          <t>/Users/manczg/Documents/development/archon-search/archon_search/pipeline.py</t>
        </is>
      </c>
      <c r="C203" t="inlineStr">
        <is>
          <t>solid-06</t>
        </is>
      </c>
      <c r="D203" t="n">
        <v>137</v>
      </c>
      <c r="E203" t="inlineStr">
        <is>
          <t>self.stage = stage</t>
        </is>
      </c>
    </row>
    <row r="204">
      <c r="A204" t="inlineStr">
        <is>
          <t>archon-search</t>
        </is>
      </c>
      <c r="B204" t="inlineStr">
        <is>
          <t>/Users/manczg/Documents/development/archon-search/archon_search/pipeline.py</t>
        </is>
      </c>
      <c r="C204" t="inlineStr">
        <is>
          <t>solid-06</t>
        </is>
      </c>
      <c r="D204" t="n">
        <v>138</v>
      </c>
      <c r="E204" t="inlineStr">
        <is>
          <t>self.original = original</t>
        </is>
      </c>
    </row>
    <row r="205">
      <c r="A205" t="inlineStr">
        <is>
          <t>archon-search</t>
        </is>
      </c>
      <c r="B205" t="inlineStr">
        <is>
          <t>/Users/manczg/Documents/development/archon-search/archon_search/pipeline.py</t>
        </is>
      </c>
      <c r="C205" t="inlineStr">
        <is>
          <t>solid-06</t>
        </is>
      </c>
      <c r="D205" t="n">
        <v>146</v>
      </c>
      <c r="E205" t="inlineStr">
        <is>
          <t>self.collection = collection</t>
        </is>
      </c>
    </row>
    <row r="206">
      <c r="A206" t="inlineStr">
        <is>
          <t>archon-search</t>
        </is>
      </c>
      <c r="B206" t="inlineStr">
        <is>
          <t>/Users/manczg/Documents/development/archon-search/archon_search/pipeline.py</t>
        </is>
      </c>
      <c r="C206" t="inlineStr">
        <is>
          <t>solid-06</t>
        </is>
      </c>
      <c r="D206" t="n">
        <v>336</v>
      </c>
      <c r="E206" t="inlineStr">
        <is>
          <t>self.store = store</t>
        </is>
      </c>
    </row>
    <row r="207">
      <c r="A207" t="inlineStr">
        <is>
          <t>archon-search</t>
        </is>
      </c>
      <c r="B207" t="inlineStr">
        <is>
          <t>/Users/manczg/Documents/development/archon-search/archon_search/pipeline.py</t>
        </is>
      </c>
      <c r="C207" t="inlineStr">
        <is>
          <t>solid-07</t>
        </is>
      </c>
      <c r="D207" t="n">
        <v>1031</v>
      </c>
      <c r="E207" t="inlineStr">
        <is>
          <t>graph_mode: str | None = None,</t>
        </is>
      </c>
    </row>
    <row r="208">
      <c r="A208" t="inlineStr">
        <is>
          <t>archon-search</t>
        </is>
      </c>
      <c r="B208" t="inlineStr">
        <is>
          <t>/Users/manczg/Documents/development/archon-search/archon_search/pipeline.py</t>
        </is>
      </c>
      <c r="C208" t="inlineStr">
        <is>
          <t>solid-07</t>
        </is>
      </c>
      <c r="D208" t="n">
        <v>1228</v>
      </c>
      <c r="E208" t="inlineStr">
        <is>
          <t>graph_mode: str,</t>
        </is>
      </c>
    </row>
    <row r="209">
      <c r="A209" t="inlineStr">
        <is>
          <t>archon-search</t>
        </is>
      </c>
      <c r="B209" t="inlineStr">
        <is>
          <t>/Users/manczg/Documents/development/archon-search/archon_search/pipeline.py</t>
        </is>
      </c>
      <c r="C209" t="inlineStr">
        <is>
          <t>solid-07</t>
        </is>
      </c>
      <c r="D209" t="n">
        <v>2499</v>
      </c>
      <c r="E209" t="inlineStr">
        <is>
          <t>entity_id: str = (</t>
        </is>
      </c>
    </row>
    <row r="210">
      <c r="A210" t="inlineStr">
        <is>
          <t>archon-search</t>
        </is>
      </c>
      <c r="B210" t="inlineStr">
        <is>
          <t>/Users/manczg/Documents/development/archon-search/archon_search/pipeline.py</t>
        </is>
      </c>
      <c r="C210" t="inlineStr">
        <is>
          <t>solid-07</t>
        </is>
      </c>
      <c r="D210" t="n">
        <v>2634</v>
      </c>
      <c r="E210" t="inlineStr">
        <is>
          <t>graph_mode: str | None = None,</t>
        </is>
      </c>
    </row>
    <row r="211">
      <c r="A211" t="inlineStr">
        <is>
          <t>archon-search</t>
        </is>
      </c>
      <c r="B211" t="inlineStr">
        <is>
          <t>/Users/manczg/Documents/development/archon-search/archon_search/pipeline.py</t>
        </is>
      </c>
      <c r="C211" t="inlineStr">
        <is>
          <t>solid-07</t>
        </is>
      </c>
      <c r="D211" t="n">
        <v>3357</v>
      </c>
      <c r="E211" t="inlineStr">
        <is>
          <t>async def delete_document(self, doc_id: str, collection: str, namespace: str = DEFAULT_NAMESPACE) -&gt; int:</t>
        </is>
      </c>
    </row>
    <row r="212">
      <c r="A212" t="inlineStr">
        <is>
          <t>archon-search</t>
        </is>
      </c>
      <c r="B212" t="inlineStr">
        <is>
          <t>/Users/manczg/Documents/development/archon-search/archon_search/pipeline.py</t>
        </is>
      </c>
      <c r="C212" t="inlineStr">
        <is>
          <t>solid-07</t>
        </is>
      </c>
      <c r="D212" t="n">
        <v>3382</v>
      </c>
      <c r="E212" t="inlineStr">
        <is>
          <t>self, doc_id: str, collection: str, namespace: str</t>
        </is>
      </c>
    </row>
    <row r="213">
      <c r="A213" t="inlineStr">
        <is>
          <t>archon-search</t>
        </is>
      </c>
      <c r="B213" t="inlineStr">
        <is>
          <t>/Users/manczg/Documents/development/archon-search/archon_search/pipeline.py</t>
        </is>
      </c>
      <c r="C213" t="inlineStr">
        <is>
          <t>solid-10</t>
        </is>
      </c>
      <c r="D213" t="n">
        <v>517</v>
      </c>
      <c r="E213" t="inlineStr">
        <is>
          <t>enricher: MarkdownEnricher | CodeEnricher = CodeEnricher()</t>
        </is>
      </c>
    </row>
    <row r="214">
      <c r="A214" t="inlineStr">
        <is>
          <t>archon-search</t>
        </is>
      </c>
      <c r="B214" t="inlineStr">
        <is>
          <t>/Users/manczg/Documents/development/archon-search/archon_search/pipeline.py</t>
        </is>
      </c>
      <c r="C214" t="inlineStr">
        <is>
          <t>solid-10</t>
        </is>
      </c>
      <c r="D214" t="n">
        <v>522</v>
      </c>
      <c r="E214" t="inlineStr">
        <is>
          <t>enricher = MarkdownEnricher()</t>
        </is>
      </c>
    </row>
    <row r="215">
      <c r="A215" t="inlineStr">
        <is>
          <t>archon-search</t>
        </is>
      </c>
      <c r="B215" t="inlineStr">
        <is>
          <t>/Users/manczg/Documents/development/archon-search/archon_search/pipeline.py</t>
        </is>
      </c>
      <c r="C215" t="inlineStr">
        <is>
          <t>solid-10</t>
        </is>
      </c>
      <c r="D215" t="n">
        <v>3578</v>
      </c>
      <c r="E215" t="inlineStr">
        <is>
          <t>store = SearchStore(cfg.db_path)</t>
        </is>
      </c>
    </row>
    <row r="216">
      <c r="A216" t="inlineStr">
        <is>
          <t>archon-search</t>
        </is>
      </c>
      <c r="B216" t="inlineStr">
        <is>
          <t>/Users/manczg/Documents/development/archon-search/archon_search/pipeline.py</t>
        </is>
      </c>
      <c r="C216" t="inlineStr">
        <is>
          <t>solid-10</t>
        </is>
      </c>
      <c r="D216" t="n">
        <v>3592</v>
      </c>
      <c r="E216" t="inlineStr">
        <is>
          <t>chunker = DocumentChunker(cfg.chunk_size)</t>
        </is>
      </c>
    </row>
    <row r="217">
      <c r="A217" t="inlineStr">
        <is>
          <t>archon-search</t>
        </is>
      </c>
      <c r="B217" t="inlineStr">
        <is>
          <t>/Users/manczg/Documents/development/archon-search/archon_search/pipeline.py</t>
        </is>
      </c>
      <c r="C217" t="inlineStr">
        <is>
          <t>solid-10</t>
        </is>
      </c>
      <c r="D217" t="n">
        <v>3593</v>
      </c>
      <c r="E217" t="inlineStr">
        <is>
          <t>ast_chunker = ASTChunker(cfg.chunk_size)</t>
        </is>
      </c>
    </row>
    <row r="218">
      <c r="A218" t="inlineStr">
        <is>
          <t>archon-search</t>
        </is>
      </c>
      <c r="B218" t="inlineStr">
        <is>
          <t>/Users/manczg/Documents/development/archon-search/archon_search/pipeline.py</t>
        </is>
      </c>
      <c r="C218" t="inlineStr">
        <is>
          <t>solid-10</t>
        </is>
      </c>
      <c r="D218" t="n">
        <v>3594</v>
      </c>
      <c r="E218" t="inlineStr">
        <is>
          <t>parser = DocumentParser(max_tasks_per_child=cfg.ingest.max_tasks_per_child)</t>
        </is>
      </c>
    </row>
    <row r="219">
      <c r="A219" t="inlineStr">
        <is>
          <t>archon-search</t>
        </is>
      </c>
      <c r="B219" t="inlineStr">
        <is>
          <t>/Users/manczg/Documents/development/archon-search/archon_search/pipeline.py</t>
        </is>
      </c>
      <c r="C219" t="inlineStr">
        <is>
          <t>solid-15</t>
        </is>
      </c>
      <c r="D219" t="n">
        <v>3161</v>
      </c>
      <c r="E219" t="inlineStr">
        <is>
          <t>elif graph_mode == "local":</t>
        </is>
      </c>
    </row>
    <row r="220">
      <c r="A220" t="inlineStr">
        <is>
          <t>archon-search</t>
        </is>
      </c>
      <c r="B220" t="inlineStr">
        <is>
          <t>/Users/manczg/Documents/development/archon-search/archon_search/pipeline.py</t>
        </is>
      </c>
      <c r="C220" t="inlineStr">
        <is>
          <t>tests-01</t>
        </is>
      </c>
      <c r="D220" t="n">
        <v>53</v>
      </c>
      <c r="E220" t="inlineStr">
        <is>
          <t>class SearchPipelineResult:</t>
        </is>
      </c>
    </row>
    <row r="221">
      <c r="A221" t="inlineStr">
        <is>
          <t>archon-search</t>
        </is>
      </c>
      <c r="B221" t="inlineStr">
        <is>
          <t>/Users/manczg/Documents/development/archon-search/archon_search/store.py</t>
        </is>
      </c>
      <c r="C221" t="inlineStr">
        <is>
          <t>clarity-09</t>
        </is>
      </c>
      <c r="D221" t="n">
        <v>596</v>
      </c>
      <c r="E221" t="inlineStr">
        <is>
          <t>if r["name"] == name and (r.get("namespace") or DEFAULT_NAMESPACE) == namespace</t>
        </is>
      </c>
    </row>
    <row r="222">
      <c r="A222" t="inlineStr">
        <is>
          <t>archon-search</t>
        </is>
      </c>
      <c r="B222" t="inlineStr">
        <is>
          <t>/Users/manczg/Documents/development/archon-search/archon_search/store.py</t>
        </is>
      </c>
      <c r="C222" t="inlineStr">
        <is>
          <t>clarity-09</t>
        </is>
      </c>
      <c r="D222" t="n">
        <v>1370</v>
      </c>
      <c r="E222" t="inlineStr">
        <is>
          <t>if r["name"] == collection and (r.get("namespace") or DEFAULT_NAMESPACE) == namespace</t>
        </is>
      </c>
    </row>
    <row r="223">
      <c r="A223" t="inlineStr">
        <is>
          <t>archon-search</t>
        </is>
      </c>
      <c r="B223" t="inlineStr">
        <is>
          <t>/Users/manczg/Documents/development/archon-search/archon_search/store.py</t>
        </is>
      </c>
      <c r="C223" t="inlineStr">
        <is>
          <t>clarity-09</t>
        </is>
      </c>
      <c r="D223" t="n">
        <v>1800</v>
      </c>
      <c r="E223" t="inlineStr">
        <is>
          <t>if not has_ttl_cols and any(c.expires_at is not None or c.scopes is not None for c in chunks):</t>
        </is>
      </c>
    </row>
    <row r="224">
      <c r="A224" t="inlineStr">
        <is>
          <t>archon-search</t>
        </is>
      </c>
      <c r="B224" t="inlineStr">
        <is>
          <t>/Users/manczg/Documents/development/archon-search/archon_search/store.py</t>
        </is>
      </c>
      <c r="C224" t="inlineStr">
        <is>
          <t>clarity-09</t>
        </is>
      </c>
      <c r="D224" t="n">
        <v>2168</v>
      </c>
      <c r="E224" t="inlineStr">
        <is>
          <t>if filters and (filters.indexed_after or filters.indexed_before):</t>
        </is>
      </c>
    </row>
    <row r="225">
      <c r="A225" t="inlineStr">
        <is>
          <t>archon-search</t>
        </is>
      </c>
      <c r="B225" t="inlineStr">
        <is>
          <t>/Users/manczg/Documents/development/archon-search/archon_search/store.py</t>
        </is>
      </c>
      <c r="C225" t="inlineStr">
        <is>
          <t>clarity-09</t>
        </is>
      </c>
      <c r="D225" t="n">
        <v>517</v>
      </c>
      <c r="E225" t="inlineStr">
        <is>
          <t>if not isinstance(parsed, list) or any(</t>
        </is>
      </c>
    </row>
    <row r="226">
      <c r="A226" t="inlineStr">
        <is>
          <t>archon-search</t>
        </is>
      </c>
      <c r="B226" t="inlineStr">
        <is>
          <t>/Users/manczg/Documents/development/archon-search/archon_search/store.py</t>
        </is>
      </c>
      <c r="C226" t="inlineStr">
        <is>
          <t>clarity-09</t>
        </is>
      </c>
      <c r="D226" t="n">
        <v>540</v>
      </c>
      <c r="E226" t="inlineStr">
        <is>
          <t>if not isinstance(parsed, list) or any(</t>
        </is>
      </c>
    </row>
    <row r="227">
      <c r="A227" t="inlineStr">
        <is>
          <t>archon-search</t>
        </is>
      </c>
      <c r="B227" t="inlineStr">
        <is>
          <t>/Users/manczg/Documents/development/archon-search/archon_search/store.py</t>
        </is>
      </c>
      <c r="C227" t="inlineStr">
        <is>
          <t>clarity-09</t>
        </is>
      </c>
      <c r="D227" t="n">
        <v>1202</v>
      </c>
      <c r="E227" t="inlineStr">
        <is>
          <t>if progress_cb is not None and (</t>
        </is>
      </c>
    </row>
    <row r="228">
      <c r="A228" t="inlineStr">
        <is>
          <t>archon-search</t>
        </is>
      </c>
      <c r="B228" t="inlineStr">
        <is>
          <t>/Users/manczg/Documents/development/archon-search/archon_search/store.py</t>
        </is>
      </c>
      <c r="C228" t="inlineStr">
        <is>
          <t>clarity-09</t>
        </is>
      </c>
      <c r="D228" t="n">
        <v>1815</v>
      </c>
      <c r="E228" t="inlineStr">
        <is>
          <t>if not has_acl_provenance_cols and any(</t>
        </is>
      </c>
    </row>
    <row r="229">
      <c r="A229" t="inlineStr">
        <is>
          <t>archon-search</t>
        </is>
      </c>
      <c r="B229" t="inlineStr">
        <is>
          <t>/Users/manczg/Documents/development/archon-search/archon_search/store.py</t>
        </is>
      </c>
      <c r="C229" t="inlineStr">
        <is>
          <t>clarity-16</t>
        </is>
      </c>
      <c r="D229" t="n">
        <v>504</v>
      </c>
      <c r="E229" t="inlineStr">
        <is>
          <t>def _row_to_meta(row: "dict[str, Any]") -&gt; "CollectionMeta":</t>
        </is>
      </c>
    </row>
    <row r="230">
      <c r="A230" t="inlineStr">
        <is>
          <t>archon-search</t>
        </is>
      </c>
      <c r="B230" t="inlineStr">
        <is>
          <t>/Users/manczg/Documents/development/archon-search/archon_search/store.py</t>
        </is>
      </c>
      <c r="C230" t="inlineStr">
        <is>
          <t>clarity-16</t>
        </is>
      </c>
      <c r="D230" t="n">
        <v>694</v>
      </c>
      <c r="E230" t="inlineStr">
        <is>
          <t>async def migrate_per_collection_model(self) -&gt; None:</t>
        </is>
      </c>
    </row>
    <row r="231">
      <c r="A231" t="inlineStr">
        <is>
          <t>archon-search</t>
        </is>
      </c>
      <c r="B231" t="inlineStr">
        <is>
          <t>/Users/manczg/Documents/development/archon-search/archon_search/store.py</t>
        </is>
      </c>
      <c r="C231" t="inlineStr">
        <is>
          <t>clarity-16</t>
        </is>
      </c>
      <c r="D231" t="n">
        <v>1218</v>
      </c>
      <c r="E231" t="inlineStr">
        <is>
          <t>async def update_collection_meta(self, meta: "CollectionMeta") -&gt; None:</t>
        </is>
      </c>
    </row>
    <row r="232">
      <c r="A232" t="inlineStr">
        <is>
          <t>archon-search</t>
        </is>
      </c>
      <c r="B232" t="inlineStr">
        <is>
          <t>/Users/manczg/Documents/development/archon-search/archon_search/store.py</t>
        </is>
      </c>
      <c r="C232" t="inlineStr">
        <is>
          <t>clarity-16</t>
        </is>
      </c>
      <c r="D232" t="n">
        <v>1481</v>
      </c>
      <c r="E232" t="inlineStr">
        <is>
          <t>async def _do_update_meta_on_add(</t>
        </is>
      </c>
    </row>
    <row r="233">
      <c r="A233" t="inlineStr">
        <is>
          <t>archon-search</t>
        </is>
      </c>
      <c r="B233" t="inlineStr">
        <is>
          <t>/Users/manczg/Documents/development/archon-search/archon_search/store.py</t>
        </is>
      </c>
      <c r="C233" t="inlineStr">
        <is>
          <t>clarity-16</t>
        </is>
      </c>
      <c r="D233" t="n">
        <v>1935</v>
      </c>
      <c r="E233" t="inlineStr">
        <is>
          <t>async def reindex_metadata(</t>
        </is>
      </c>
    </row>
    <row r="234">
      <c r="A234" t="inlineStr">
        <is>
          <t>archon-search</t>
        </is>
      </c>
      <c r="B234" t="inlineStr">
        <is>
          <t>/Users/manczg/Documents/development/archon-search/archon_search/store.py</t>
        </is>
      </c>
      <c r="C234" t="inlineStr">
        <is>
          <t>clarity-16</t>
        </is>
      </c>
      <c r="D234" t="n">
        <v>2062</v>
      </c>
      <c r="E234" t="inlineStr">
        <is>
          <t>async def hybrid_search(</t>
        </is>
      </c>
    </row>
    <row r="235">
      <c r="A235" t="inlineStr">
        <is>
          <t>archon-search</t>
        </is>
      </c>
      <c r="B235" t="inlineStr">
        <is>
          <t>/Users/manczg/Documents/development/archon-search/archon_search/store.py</t>
        </is>
      </c>
      <c r="C235" t="inlineStr">
        <is>
          <t>clarity-16</t>
        </is>
      </c>
      <c r="D235" t="n">
        <v>2329</v>
      </c>
      <c r="E235" t="inlineStr">
        <is>
          <t>async def list_documents(</t>
        </is>
      </c>
    </row>
    <row r="236">
      <c r="A236" t="inlineStr">
        <is>
          <t>archon-search</t>
        </is>
      </c>
      <c r="B236" t="inlineStr">
        <is>
          <t>/Users/manczg/Documents/development/archon-search/archon_search/store.py</t>
        </is>
      </c>
      <c r="C236" t="inlineStr">
        <is>
          <t>clarity-16</t>
        </is>
      </c>
      <c r="D236" t="n">
        <v>2950</v>
      </c>
      <c r="E236" t="inlineStr">
        <is>
          <t>async def _hybrid_search_with_trace(</t>
        </is>
      </c>
    </row>
    <row r="237">
      <c r="A237" t="inlineStr">
        <is>
          <t>archon-search</t>
        </is>
      </c>
      <c r="B237" t="inlineStr">
        <is>
          <t>/Users/manczg/Documents/development/archon-search/archon_search/store.py</t>
        </is>
      </c>
      <c r="C237" t="inlineStr">
        <is>
          <t>clarity-17</t>
        </is>
      </c>
      <c r="D237" t="n">
        <v>2950</v>
      </c>
      <c r="E237" t="inlineStr">
        <is>
          <t>async def _hybrid_search_with_trace(</t>
        </is>
      </c>
    </row>
    <row r="238">
      <c r="A238" t="inlineStr">
        <is>
          <t>archon-search</t>
        </is>
      </c>
      <c r="B238" t="inlineStr">
        <is>
          <t>/Users/manczg/Documents/development/archon-search/archon_search/store.py</t>
        </is>
      </c>
      <c r="C238" t="inlineStr">
        <is>
          <t>ddd-01</t>
        </is>
      </c>
      <c r="D238" t="n">
        <v>34</v>
      </c>
      <c r="E238" t="inlineStr">
        <is>
          <t>@dataclass</t>
        </is>
      </c>
    </row>
    <row r="239">
      <c r="A239" t="inlineStr">
        <is>
          <t>archon-search</t>
        </is>
      </c>
      <c r="B239" t="inlineStr">
        <is>
          <t>/Users/manczg/Documents/development/archon-search/archon_search/store.py</t>
        </is>
      </c>
      <c r="C239" t="inlineStr">
        <is>
          <t>ddd-01</t>
        </is>
      </c>
      <c r="D239" t="n">
        <v>45</v>
      </c>
      <c r="E239" t="inlineStr">
        <is>
          <t>@dataclass</t>
        </is>
      </c>
    </row>
    <row r="240">
      <c r="A240" t="inlineStr">
        <is>
          <t>archon-search</t>
        </is>
      </c>
      <c r="B240" t="inlineStr">
        <is>
          <t>/Users/manczg/Documents/development/archon-search/archon_search/store.py</t>
        </is>
      </c>
      <c r="C240" t="inlineStr">
        <is>
          <t>safety-07</t>
        </is>
      </c>
      <c r="D240" t="n">
        <v>258</v>
      </c>
      <c r="E240" t="inlineStr">
        <is>
          <t>from archon_search.constants import INGESTED_BY_VALUES, LEGACY_INGESTED_BY  # noqa: PLC0415</t>
        </is>
      </c>
    </row>
    <row r="241">
      <c r="A241" t="inlineStr">
        <is>
          <t>archon-search</t>
        </is>
      </c>
      <c r="B241" t="inlineStr">
        <is>
          <t>/Users/manczg/Documents/development/archon-search/archon_search/store.py</t>
        </is>
      </c>
      <c r="C241" t="inlineStr">
        <is>
          <t>safety-07</t>
        </is>
      </c>
      <c r="D241" t="n">
        <v>280</v>
      </c>
      <c r="E241" t="inlineStr">
        <is>
          <t>from archon_search.config import SearchConfig as _SearchConfig  # noqa: PLC0415</t>
        </is>
      </c>
    </row>
    <row r="242">
      <c r="A242" t="inlineStr">
        <is>
          <t>archon-search</t>
        </is>
      </c>
      <c r="B242" t="inlineStr">
        <is>
          <t>/Users/manczg/Documents/development/archon-search/archon_search/store.py</t>
        </is>
      </c>
      <c r="C242" t="inlineStr">
        <is>
          <t>safety-07</t>
        </is>
      </c>
      <c r="D242" t="n">
        <v>308</v>
      </c>
      <c r="E242" t="inlineStr">
        <is>
          <t>import lancedb  # noqa: PLC0415</t>
        </is>
      </c>
    </row>
    <row r="243">
      <c r="A243" t="inlineStr">
        <is>
          <t>archon-search</t>
        </is>
      </c>
      <c r="B243" t="inlineStr">
        <is>
          <t>/Users/manczg/Documents/development/archon-search/archon_search/store.py</t>
        </is>
      </c>
      <c r="C243" t="inlineStr">
        <is>
          <t>safety-07</t>
        </is>
      </c>
      <c r="D243" t="n">
        <v>367</v>
      </c>
      <c r="E243" t="inlineStr">
        <is>
          <t>import pyarrow as pa  # noqa: PLC0415</t>
        </is>
      </c>
    </row>
    <row r="244">
      <c r="A244" t="inlineStr">
        <is>
          <t>archon-search</t>
        </is>
      </c>
      <c r="B244" t="inlineStr">
        <is>
          <t>/Users/manczg/Documents/development/archon-search/archon_search/store.py</t>
        </is>
      </c>
      <c r="C244" t="inlineStr">
        <is>
          <t>safety-07</t>
        </is>
      </c>
      <c r="D244" t="n">
        <v>395</v>
      </c>
      <c r="E244" t="inlineStr">
        <is>
          <t>import pyarrow as pa  # noqa: PLC0415</t>
        </is>
      </c>
    </row>
    <row r="245">
      <c r="A245" t="inlineStr">
        <is>
          <t>archon-search</t>
        </is>
      </c>
      <c r="B245" t="inlineStr">
        <is>
          <t>/Users/manczg/Documents/development/archon-search/archon_search/store.py</t>
        </is>
      </c>
      <c r="C245" t="inlineStr">
        <is>
          <t>safety-07</t>
        </is>
      </c>
      <c r="D245" t="n">
        <v>505</v>
      </c>
      <c r="E245" t="inlineStr">
        <is>
          <t>from archon_search.collection_meta import CollectionMeta  # noqa: PLC0415</t>
        </is>
      </c>
    </row>
    <row r="246">
      <c r="A246" t="inlineStr">
        <is>
          <t>archon-search</t>
        </is>
      </c>
      <c r="B246" t="inlineStr">
        <is>
          <t>/Users/manczg/Documents/development/archon-search/archon_search/store.py</t>
        </is>
      </c>
      <c r="C246" t="inlineStr">
        <is>
          <t>safety-07</t>
        </is>
      </c>
      <c r="D246" t="n">
        <v>791</v>
      </c>
      <c r="E246" t="inlineStr">
        <is>
          <t>import pyarrow as pa  # noqa: PLC0415</t>
        </is>
      </c>
    </row>
    <row r="247">
      <c r="A247" t="inlineStr">
        <is>
          <t>archon-search</t>
        </is>
      </c>
      <c r="B247" t="inlineStr">
        <is>
          <t>/Users/manczg/Documents/development/archon-search/archon_search/store.py</t>
        </is>
      </c>
      <c r="C247" t="inlineStr">
        <is>
          <t>safety-07</t>
        </is>
      </c>
      <c r="D247" t="n">
        <v>813</v>
      </c>
      <c r="E247" t="inlineStr">
        <is>
          <t>import pyarrow as pa  # noqa: PLC0415</t>
        </is>
      </c>
    </row>
    <row r="248">
      <c r="A248" t="inlineStr">
        <is>
          <t>archon-search</t>
        </is>
      </c>
      <c r="B248" t="inlineStr">
        <is>
          <t>/Users/manczg/Documents/development/archon-search/archon_search/store.py</t>
        </is>
      </c>
      <c r="C248" t="inlineStr">
        <is>
          <t>safety-07</t>
        </is>
      </c>
      <c r="D248" t="n">
        <v>851</v>
      </c>
      <c r="E248" t="inlineStr">
        <is>
          <t>import pyarrow as pa  # noqa: PLC0415</t>
        </is>
      </c>
    </row>
    <row r="249">
      <c r="A249" t="inlineStr">
        <is>
          <t>archon-search</t>
        </is>
      </c>
      <c r="B249" t="inlineStr">
        <is>
          <t>/Users/manczg/Documents/development/archon-search/archon_search/store.py</t>
        </is>
      </c>
      <c r="C249" t="inlineStr">
        <is>
          <t>safety-07</t>
        </is>
      </c>
      <c r="D249" t="n">
        <v>872</v>
      </c>
      <c r="E249" t="inlineStr">
        <is>
          <t>import pyarrow as pa  # noqa: PLC0415</t>
        </is>
      </c>
    </row>
    <row r="250">
      <c r="A250" t="inlineStr">
        <is>
          <t>archon-search</t>
        </is>
      </c>
      <c r="B250" t="inlineStr">
        <is>
          <t>/Users/manczg/Documents/development/archon-search/archon_search/store.py</t>
        </is>
      </c>
      <c r="C250" t="inlineStr">
        <is>
          <t>safety-07</t>
        </is>
      </c>
      <c r="D250" t="n">
        <v>893</v>
      </c>
      <c r="E250" t="inlineStr">
        <is>
          <t>import pyarrow as pa  # noqa: PLC0415</t>
        </is>
      </c>
    </row>
    <row r="251">
      <c r="A251" t="inlineStr">
        <is>
          <t>archon-search</t>
        </is>
      </c>
      <c r="B251" t="inlineStr">
        <is>
          <t>/Users/manczg/Documents/development/archon-search/archon_search/store.py</t>
        </is>
      </c>
      <c r="C251" t="inlineStr">
        <is>
          <t>safety-07</t>
        </is>
      </c>
      <c r="D251" t="n">
        <v>920</v>
      </c>
      <c r="E251" t="inlineStr">
        <is>
          <t>import pyarrow as pa  # noqa: PLC0415</t>
        </is>
      </c>
    </row>
    <row r="252">
      <c r="A252" t="inlineStr">
        <is>
          <t>archon-search</t>
        </is>
      </c>
      <c r="B252" t="inlineStr">
        <is>
          <t>/Users/manczg/Documents/development/archon-search/archon_search/store.py</t>
        </is>
      </c>
      <c r="C252" t="inlineStr">
        <is>
          <t>safety-07</t>
        </is>
      </c>
      <c r="D252" t="n">
        <v>1313</v>
      </c>
      <c r="E252" t="inlineStr">
        <is>
          <t>from archon_search.collection_meta import CollectionMeta  # noqa: PLC0415</t>
        </is>
      </c>
    </row>
    <row r="253">
      <c r="A253" t="inlineStr">
        <is>
          <t>archon-search</t>
        </is>
      </c>
      <c r="B253" t="inlineStr">
        <is>
          <t>/Users/manczg/Documents/development/archon-search/archon_search/store.py</t>
        </is>
      </c>
      <c r="C253" t="inlineStr">
        <is>
          <t>safety-07</t>
        </is>
      </c>
      <c r="D253" t="n">
        <v>1493</v>
      </c>
      <c r="E253" t="inlineStr">
        <is>
          <t>from archon_search.collection_meta import CollectionMeta  # noqa: PLC0415</t>
        </is>
      </c>
    </row>
    <row r="254">
      <c r="A254" t="inlineStr">
        <is>
          <t>archon-search</t>
        </is>
      </c>
      <c r="B254" t="inlineStr">
        <is>
          <t>/Users/manczg/Documents/development/archon-search/archon_search/store.py</t>
        </is>
      </c>
      <c r="C254" t="inlineStr">
        <is>
          <t>safety-07</t>
        </is>
      </c>
      <c r="D254" t="n">
        <v>1639</v>
      </c>
      <c r="E254" t="inlineStr">
        <is>
          <t>from archon_search.collection_meta import CollectionMeta  # noqa: PLC0415</t>
        </is>
      </c>
    </row>
    <row r="255">
      <c r="A255" t="inlineStr">
        <is>
          <t>archon-search</t>
        </is>
      </c>
      <c r="B255" t="inlineStr">
        <is>
          <t>/Users/manczg/Documents/development/archon-search/archon_search/store.py</t>
        </is>
      </c>
      <c r="C255" t="inlineStr">
        <is>
          <t>safety-07</t>
        </is>
      </c>
      <c r="D255" t="n">
        <v>1640</v>
      </c>
      <c r="E255" t="inlineStr">
        <is>
          <t>from datetime import timezone  # noqa: PLC0415</t>
        </is>
      </c>
    </row>
    <row r="256">
      <c r="A256" t="inlineStr">
        <is>
          <t>archon-search</t>
        </is>
      </c>
      <c r="B256" t="inlineStr">
        <is>
          <t>/Users/manczg/Documents/development/archon-search/archon_search/store.py</t>
        </is>
      </c>
      <c r="C256" t="inlineStr">
        <is>
          <t>safety-07</t>
        </is>
      </c>
      <c r="D256" t="n">
        <v>1868</v>
      </c>
      <c r="E256" t="inlineStr">
        <is>
          <t>from lancedb.index import FTS  # noqa: PLC0415</t>
        </is>
      </c>
    </row>
    <row r="257">
      <c r="A257" t="inlineStr">
        <is>
          <t>archon-search</t>
        </is>
      </c>
      <c r="B257" t="inlineStr">
        <is>
          <t>/Users/manczg/Documents/development/archon-search/archon_search/store.py</t>
        </is>
      </c>
      <c r="C257" t="inlineStr">
        <is>
          <t>safety-07</t>
        </is>
      </c>
      <c r="D257" t="n">
        <v>1957</v>
      </c>
      <c r="E257" t="inlineStr">
        <is>
          <t>from archon_search.constants import LEGACY_INGESTED_BY  # noqa: PLC0415</t>
        </is>
      </c>
    </row>
    <row r="258">
      <c r="A258" t="inlineStr">
        <is>
          <t>archon-search</t>
        </is>
      </c>
      <c r="B258" t="inlineStr">
        <is>
          <t>/Users/manczg/Documents/development/archon-search/archon_search/store.py</t>
        </is>
      </c>
      <c r="C258" t="inlineStr">
        <is>
          <t>safety-07</t>
        </is>
      </c>
      <c r="D258" t="n">
        <v>2009</v>
      </c>
      <c r="E258" t="inlineStr">
        <is>
          <t>except Exception:  # noqa: BLE001</t>
        </is>
      </c>
    </row>
    <row r="259">
      <c r="A259" t="inlineStr">
        <is>
          <t>archon-search</t>
        </is>
      </c>
      <c r="B259" t="inlineStr">
        <is>
          <t>/Users/manczg/Documents/development/archon-search/archon_search/store.py</t>
        </is>
      </c>
      <c r="C259" t="inlineStr">
        <is>
          <t>safety-07</t>
        </is>
      </c>
      <c r="D259" t="n">
        <v>2015</v>
      </c>
      <c r="E259" t="inlineStr">
        <is>
          <t>except Exception:  # noqa: BLE001</t>
        </is>
      </c>
    </row>
    <row r="260">
      <c r="A260" t="inlineStr">
        <is>
          <t>archon-search</t>
        </is>
      </c>
      <c r="B260" t="inlineStr">
        <is>
          <t>/Users/manczg/Documents/development/archon-search/archon_search/store.py</t>
        </is>
      </c>
      <c r="C260" t="inlineStr">
        <is>
          <t>safety-07</t>
        </is>
      </c>
      <c r="D260" t="n">
        <v>2161</v>
      </c>
      <c r="E260" t="inlineStr">
        <is>
          <t>ingested_by=normalize_ingested_by(row.get("ingested_by")),  # type: ignore[arg-type]</t>
        </is>
      </c>
    </row>
    <row r="261">
      <c r="A261" t="inlineStr">
        <is>
          <t>archon-search</t>
        </is>
      </c>
      <c r="B261" t="inlineStr">
        <is>
          <t>/Users/manczg/Documents/development/archon-search/archon_search/store.py</t>
        </is>
      </c>
      <c r="C261" t="inlineStr">
        <is>
          <t>safety-07</t>
        </is>
      </c>
      <c r="D261" t="n">
        <v>2895</v>
      </c>
      <c r="E261" t="inlineStr">
        <is>
          <t>from collections import Counter  # noqa: PLC0415</t>
        </is>
      </c>
    </row>
    <row r="262">
      <c r="A262" t="inlineStr">
        <is>
          <t>archon-search</t>
        </is>
      </c>
      <c r="B262" t="inlineStr">
        <is>
          <t>/Users/manczg/Documents/development/archon-search/archon_search/store.py</t>
        </is>
      </c>
      <c r="C262" t="inlineStr">
        <is>
          <t>safety-07</t>
        </is>
      </c>
      <c r="D262" t="n">
        <v>2922</v>
      </c>
      <c r="E262" t="inlineStr">
        <is>
          <t>import pyarrow.compute as pc  # noqa: PLC0415</t>
        </is>
      </c>
    </row>
    <row r="263">
      <c r="A263" t="inlineStr">
        <is>
          <t>archon-search</t>
        </is>
      </c>
      <c r="B263" t="inlineStr">
        <is>
          <t>/Users/manczg/Documents/development/archon-search/archon_search/store.py</t>
        </is>
      </c>
      <c r="C263" t="inlineStr">
        <is>
          <t>safety-07</t>
        </is>
      </c>
      <c r="D263" t="n">
        <v>3093</v>
      </c>
      <c r="E263" t="inlineStr">
        <is>
          <t>ingested_by=normalize_ingested_by(row.get("ingested_by")),  # type: ignore[arg-type]</t>
        </is>
      </c>
    </row>
    <row r="264">
      <c r="A264" t="inlineStr">
        <is>
          <t>archon-search</t>
        </is>
      </c>
      <c r="B264" t="inlineStr">
        <is>
          <t>/Users/manczg/Documents/development/archon-search/archon_search/store.py</t>
        </is>
      </c>
      <c r="C264" t="inlineStr">
        <is>
          <t>safety-11</t>
        </is>
      </c>
      <c r="D264" t="n">
        <v>330</v>
      </c>
      <c r="E264" t="inlineStr">
        <is>
          <t>now = time.monotonic()</t>
        </is>
      </c>
    </row>
    <row r="265">
      <c r="A265" t="inlineStr">
        <is>
          <t>archon-search</t>
        </is>
      </c>
      <c r="B265" t="inlineStr">
        <is>
          <t>/Users/manczg/Documents/development/archon-search/archon_search/store.py</t>
        </is>
      </c>
      <c r="C265" t="inlineStr">
        <is>
          <t>safety-11</t>
        </is>
      </c>
      <c r="D265" t="n">
        <v>336</v>
      </c>
      <c r="E265" t="inlineStr">
        <is>
          <t>self._ping_cache = (time.monotonic(), True)</t>
        </is>
      </c>
    </row>
    <row r="266">
      <c r="A266" t="inlineStr">
        <is>
          <t>archon-search</t>
        </is>
      </c>
      <c r="B266" t="inlineStr">
        <is>
          <t>/Users/manczg/Documents/development/archon-search/archon_search/store.py</t>
        </is>
      </c>
      <c r="C266" t="inlineStr">
        <is>
          <t>safety-11</t>
        </is>
      </c>
      <c r="D266" t="n">
        <v>341</v>
      </c>
      <c r="E266" t="inlineStr">
        <is>
          <t>self._ping_cache = (time.monotonic(), False)</t>
        </is>
      </c>
    </row>
    <row r="267">
      <c r="A267" t="inlineStr">
        <is>
          <t>archon-search</t>
        </is>
      </c>
      <c r="B267" t="inlineStr">
        <is>
          <t>/Users/manczg/Documents/development/archon-search/archon_search/store.py</t>
        </is>
      </c>
      <c r="C267" t="inlineStr">
        <is>
          <t>safety-11</t>
        </is>
      </c>
      <c r="D267" t="n">
        <v>1650</v>
      </c>
      <c r="E267" t="inlineStr">
        <is>
          <t>now = datetime.now(timezone.utc)</t>
        </is>
      </c>
    </row>
    <row r="268">
      <c r="A268" t="inlineStr">
        <is>
          <t>archon-search</t>
        </is>
      </c>
      <c r="B268" t="inlineStr">
        <is>
          <t>/Users/manczg/Documents/development/archon-search/archon_search/store.py</t>
        </is>
      </c>
      <c r="C268" t="inlineStr">
        <is>
          <t>safety-11</t>
        </is>
      </c>
      <c r="D268" t="n">
        <v>1925</v>
      </c>
      <c r="E268" t="inlineStr">
        <is>
          <t>random.shuffle(texts)</t>
        </is>
      </c>
    </row>
    <row r="269">
      <c r="A269" t="inlineStr">
        <is>
          <t>archon-search</t>
        </is>
      </c>
      <c r="B269" t="inlineStr">
        <is>
          <t>/Users/manczg/Documents/development/archon-search/archon_search/store.py</t>
        </is>
      </c>
      <c r="C269" t="inlineStr">
        <is>
          <t>safety-11</t>
        </is>
      </c>
      <c r="D269" t="n">
        <v>2474</v>
      </c>
      <c r="E269" t="inlineStr">
        <is>
          <t>now = datetime.now(timezone.utc)</t>
        </is>
      </c>
    </row>
    <row r="270">
      <c r="A270" t="inlineStr">
        <is>
          <t>archon-search</t>
        </is>
      </c>
      <c r="B270" t="inlineStr">
        <is>
          <t>/Users/manczg/Documents/development/archon-search/archon_search/store.py</t>
        </is>
      </c>
      <c r="C270" t="inlineStr">
        <is>
          <t>safety-11</t>
        </is>
      </c>
      <c r="D270" t="n">
        <v>2573</v>
      </c>
      <c r="E270" t="inlineStr">
        <is>
          <t>now_utc_iso = normalize_iso_utc(datetime.now(timezone.utc))</t>
        </is>
      </c>
    </row>
    <row r="271">
      <c r="A271" t="inlineStr">
        <is>
          <t>archon-search</t>
        </is>
      </c>
      <c r="B271" t="inlineStr">
        <is>
          <t>/Users/manczg/Documents/development/archon-search/archon_search/store.py</t>
        </is>
      </c>
      <c r="C271" t="inlineStr">
        <is>
          <t>safety-11</t>
        </is>
      </c>
      <c r="D271" t="n">
        <v>2627</v>
      </c>
      <c r="E271" t="inlineStr">
        <is>
          <t>now_utc_iso = normalize_iso_utc(datetime.now(timezone.utc))</t>
        </is>
      </c>
    </row>
    <row r="272">
      <c r="A272" t="inlineStr">
        <is>
          <t>archon-search</t>
        </is>
      </c>
      <c r="B272" t="inlineStr">
        <is>
          <t>/Users/manczg/Documents/development/archon-search/archon_search/store.py</t>
        </is>
      </c>
      <c r="C272" t="inlineStr">
        <is>
          <t>safety-15</t>
        </is>
      </c>
      <c r="D272" t="n">
        <v>161</v>
      </c>
      <c r="E272" t="inlineStr">
        <is>
          <t>return f"{col} IN ({items})" if items else "1=0"</t>
        </is>
      </c>
    </row>
    <row r="273">
      <c r="A273" t="inlineStr">
        <is>
          <t>archon-search</t>
        </is>
      </c>
      <c r="B273" t="inlineStr">
        <is>
          <t>/Users/manczg/Documents/development/archon-search/archon_search/store.py</t>
        </is>
      </c>
      <c r="C273" t="inlineStr">
        <is>
          <t>safety-15</t>
        </is>
      </c>
      <c r="D273" t="n">
        <v>611</v>
      </c>
      <c r="E273" t="inlineStr">
        <is>
          <t>await table.delete(_where_eq("name", name) + " AND " + _where_eq("namespace", namespace))</t>
        </is>
      </c>
    </row>
    <row r="274">
      <c r="A274" t="inlineStr">
        <is>
          <t>archon-search</t>
        </is>
      </c>
      <c r="B274" t="inlineStr">
        <is>
          <t>/Users/manczg/Documents/development/archon-search/archon_search/store.py</t>
        </is>
      </c>
      <c r="C274" t="inlineStr">
        <is>
          <t>safety-15</t>
        </is>
      </c>
      <c r="D274" t="n">
        <v>744</v>
      </c>
      <c r="E274" t="inlineStr">
        <is>
          <t>await table.delete(_where_eq("name", name) + " AND " + ns_predicate)</t>
        </is>
      </c>
    </row>
    <row r="275">
      <c r="A275" t="inlineStr">
        <is>
          <t>archon-search</t>
        </is>
      </c>
      <c r="B275" t="inlineStr">
        <is>
          <t>/Users/manczg/Documents/development/archon-search/archon_search/store.py</t>
        </is>
      </c>
      <c r="C275" t="inlineStr">
        <is>
          <t>safety-15</t>
        </is>
      </c>
      <c r="D275" t="n">
        <v>1294</v>
      </c>
      <c r="E275" t="inlineStr">
        <is>
          <t>await table.delete(_where_eq("name", meta.name) + " AND namespace IS NULL")</t>
        </is>
      </c>
    </row>
    <row r="276">
      <c r="A276" t="inlineStr">
        <is>
          <t>archon-search</t>
        </is>
      </c>
      <c r="B276" t="inlineStr">
        <is>
          <t>/Users/manczg/Documents/development/archon-search/archon_search/store.py</t>
        </is>
      </c>
      <c r="C276" t="inlineStr">
        <is>
          <t>safety-15</t>
        </is>
      </c>
      <c r="D276" t="n">
        <v>1462</v>
      </c>
      <c r="E276" t="inlineStr">
        <is>
          <t>await table.delete(_where_eq("name", meta.name) + " AND namespace IS NULL")</t>
        </is>
      </c>
    </row>
    <row r="277">
      <c r="A277" t="inlineStr">
        <is>
          <t>archon-search</t>
        </is>
      </c>
      <c r="B277" t="inlineStr">
        <is>
          <t>/Users/manczg/Documents/development/archon-search/archon_search/store.py</t>
        </is>
      </c>
      <c r="C277" t="inlineStr">
        <is>
          <t>safety-15</t>
        </is>
      </c>
      <c r="D277" t="n">
        <v>2045</v>
      </c>
      <c r="E277" t="inlineStr">
        <is>
          <t>where=f"chunk_id = '{chunk_id}'",</t>
        </is>
      </c>
    </row>
    <row r="278">
      <c r="A278" t="inlineStr">
        <is>
          <t>archon-search</t>
        </is>
      </c>
      <c r="B278" t="inlineStr">
        <is>
          <t>/Users/manczg/Documents/development/archon-search/archon_search/store.py</t>
        </is>
      </c>
      <c r="C278" t="inlineStr">
        <is>
          <t>safety-15</t>
        </is>
      </c>
      <c r="D278" t="n">
        <v>2480</v>
      </c>
      <c r="E278" t="inlineStr">
        <is>
          <t>"expires_at IS NOT NULL AND expires_at &gt;= " + _sql_quote_str(now_iso)</t>
        </is>
      </c>
    </row>
    <row r="279">
      <c r="A279" t="inlineStr">
        <is>
          <t>archon-search</t>
        </is>
      </c>
      <c r="B279" t="inlineStr">
        <is>
          <t>/Users/manczg/Documents/development/archon-search/archon_search/store.py</t>
        </is>
      </c>
      <c r="C279" t="inlineStr">
        <is>
          <t>safety-15</t>
        </is>
      </c>
      <c r="D279" t="n">
        <v>2481</v>
      </c>
      <c r="E279" t="inlineStr">
        <is>
          <t>+ " AND expires_at &lt;= " + _sql_quote_str(cutoff_iso)</t>
        </is>
      </c>
    </row>
    <row r="280">
      <c r="A280" t="inlineStr">
        <is>
          <t>archon-search</t>
        </is>
      </c>
      <c r="B280" t="inlineStr">
        <is>
          <t>/Users/manczg/Documents/development/archon-search/archon_search/store.py</t>
        </is>
      </c>
      <c r="C280" t="inlineStr">
        <is>
          <t>safety-15</t>
        </is>
      </c>
      <c r="D280" t="n">
        <v>2493</v>
      </c>
      <c r="E280" t="inlineStr">
        <is>
          <t>"(" + base_pred + ") AND ("</t>
        </is>
      </c>
    </row>
    <row r="281">
      <c r="A281" t="inlineStr">
        <is>
          <t>archon-search</t>
        </is>
      </c>
      <c r="B281" t="inlineStr">
        <is>
          <t>/Users/manczg/Documents/development/archon-search/archon_search/store.py</t>
        </is>
      </c>
      <c r="C281" t="inlineStr">
        <is>
          <t>safety-15</t>
        </is>
      </c>
      <c r="D281" t="n">
        <v>2494</v>
      </c>
      <c r="E281" t="inlineStr">
        <is>
          <t>+ "expires_at &gt; " + _sql_quote_str(cursor_expires_at)</t>
        </is>
      </c>
    </row>
    <row r="282">
      <c r="A282" t="inlineStr">
        <is>
          <t>archon-search</t>
        </is>
      </c>
      <c r="B282" t="inlineStr">
        <is>
          <t>/Users/manczg/Documents/development/archon-search/archon_search/store.py</t>
        </is>
      </c>
      <c r="C282" t="inlineStr">
        <is>
          <t>safety-15</t>
        </is>
      </c>
      <c r="D282" t="n">
        <v>2495</v>
      </c>
      <c r="E282" t="inlineStr">
        <is>
          <t>+ " OR (expires_at = " + _sql_quote_str(cursor_expires_at)</t>
        </is>
      </c>
    </row>
    <row r="283">
      <c r="A283" t="inlineStr">
        <is>
          <t>archon-search</t>
        </is>
      </c>
      <c r="B283" t="inlineStr">
        <is>
          <t>/Users/manczg/Documents/development/archon-search/archon_search/store.py</t>
        </is>
      </c>
      <c r="C283" t="inlineStr">
        <is>
          <t>safety-15</t>
        </is>
      </c>
      <c r="D283" t="n">
        <v>2496</v>
      </c>
      <c r="E283" t="inlineStr">
        <is>
          <t>+ " AND chunk_id &gt; " + _sql_quote_str(cursor_chunk_id) + "))"</t>
        </is>
      </c>
    </row>
    <row r="284">
      <c r="A284" t="inlineStr">
        <is>
          <t>archon-search</t>
        </is>
      </c>
      <c r="B284" t="inlineStr">
        <is>
          <t>/Users/manczg/Documents/development/archon-search/archon_search/store.py</t>
        </is>
      </c>
      <c r="C284" t="inlineStr">
        <is>
          <t>safety-15</t>
        </is>
      </c>
      <c r="D284" t="n">
        <v>2574</v>
      </c>
      <c r="E284" t="inlineStr">
        <is>
          <t>expired_pred = "expires_at IS NOT NULL AND expires_at &lt; " + _sql_quote_str(now_utc_iso)</t>
        </is>
      </c>
    </row>
    <row r="285">
      <c r="A285" t="inlineStr">
        <is>
          <t>archon-search</t>
        </is>
      </c>
      <c r="B285" t="inlineStr">
        <is>
          <t>/Users/manczg/Documents/development/archon-search/archon_search/store.py</t>
        </is>
      </c>
      <c r="C285" t="inlineStr">
        <is>
          <t>safety-15</t>
        </is>
      </c>
      <c r="D285" t="n">
        <v>2589</v>
      </c>
      <c r="E285" t="inlineStr">
        <is>
          <t>await table.delete("(" + expired_pred + ") AND " + _where_in("doc_id", batch_doc_ids))</t>
        </is>
      </c>
    </row>
    <row r="286">
      <c r="A286" t="inlineStr">
        <is>
          <t>archon-search</t>
        </is>
      </c>
      <c r="B286" t="inlineStr">
        <is>
          <t>/Users/manczg/Documents/development/archon-search/archon_search/store.py</t>
        </is>
      </c>
      <c r="C286" t="inlineStr">
        <is>
          <t>safety-15</t>
        </is>
      </c>
      <c r="D286" t="n">
        <v>2628</v>
      </c>
      <c r="E286" t="inlineStr">
        <is>
          <t>pred = "expires_at IS NOT NULL AND expires_at &lt; " + _sql_quote_str(now_utc_iso)</t>
        </is>
      </c>
    </row>
    <row r="287">
      <c r="A287" t="inlineStr">
        <is>
          <t>archon-search</t>
        </is>
      </c>
      <c r="B287" t="inlineStr">
        <is>
          <t>/Users/manczg/Documents/development/archon-search/archon_search/store.py</t>
        </is>
      </c>
      <c r="C287" t="inlineStr">
        <is>
          <t>safety-15</t>
        </is>
      </c>
      <c r="D287" t="n">
        <v>2876</v>
      </c>
      <c r="E287" t="inlineStr">
        <is>
          <t>predicate = "language = " + _sql_quote_str("")</t>
        </is>
      </c>
    </row>
    <row r="288">
      <c r="A288" t="inlineStr">
        <is>
          <t>archon-search</t>
        </is>
      </c>
      <c r="B288" t="inlineStr">
        <is>
          <t>/Users/manczg/Documents/development/archon-search/archon_search/store.py</t>
        </is>
      </c>
      <c r="C288" t="inlineStr">
        <is>
          <t>smells-01</t>
        </is>
      </c>
      <c r="D288" t="n">
        <v>1</v>
      </c>
      <c r="E288" t="inlineStr">
        <is>
          <t>file-level: 3105 lines</t>
        </is>
      </c>
    </row>
    <row r="289">
      <c r="A289" t="inlineStr">
        <is>
          <t>archon-search</t>
        </is>
      </c>
      <c r="B289" t="inlineStr">
        <is>
          <t>/Users/manczg/Documents/development/archon-search/archon_search/store.py</t>
        </is>
      </c>
      <c r="C289" t="inlineStr">
        <is>
          <t>smells-02</t>
        </is>
      </c>
      <c r="D289" t="n">
        <v>168</v>
      </c>
      <c r="E289" t="inlineStr">
        <is>
          <t>def _centroid_sum_valid(</t>
        </is>
      </c>
    </row>
    <row r="290">
      <c r="A290" t="inlineStr">
        <is>
          <t>archon-search</t>
        </is>
      </c>
      <c r="B290" t="inlineStr">
        <is>
          <t>/Users/manczg/Documents/development/archon-search/archon_search/store.py</t>
        </is>
      </c>
      <c r="C290" t="inlineStr">
        <is>
          <t>smells-02</t>
        </is>
      </c>
      <c r="D290" t="n">
        <v>1128</v>
      </c>
      <c r="E290" t="inlineStr">
        <is>
          <t>async def apply_rewrite_migration(</t>
        </is>
      </c>
    </row>
    <row r="291">
      <c r="A291" t="inlineStr">
        <is>
          <t>archon-search</t>
        </is>
      </c>
      <c r="B291" t="inlineStr">
        <is>
          <t>/Users/manczg/Documents/development/archon-search/archon_search/store.py</t>
        </is>
      </c>
      <c r="C291" t="inlineStr">
        <is>
          <t>smells-02</t>
        </is>
      </c>
      <c r="D291" t="n">
        <v>1298</v>
      </c>
      <c r="E291" t="inlineStr">
        <is>
          <t>async def update_description(</t>
        </is>
      </c>
    </row>
    <row r="292">
      <c r="A292" t="inlineStr">
        <is>
          <t>archon-search</t>
        </is>
      </c>
      <c r="B292" t="inlineStr">
        <is>
          <t>/Users/manczg/Documents/development/archon-search/archon_search/store.py</t>
        </is>
      </c>
      <c r="C292" t="inlineStr">
        <is>
          <t>smells-02</t>
        </is>
      </c>
      <c r="D292" t="n">
        <v>1481</v>
      </c>
      <c r="E292" t="inlineStr">
        <is>
          <t>async def _do_update_meta_on_add(</t>
        </is>
      </c>
    </row>
    <row r="293">
      <c r="A293" t="inlineStr">
        <is>
          <t>archon-search</t>
        </is>
      </c>
      <c r="B293" t="inlineStr">
        <is>
          <t>/Users/manczg/Documents/development/archon-search/archon_search/store.py</t>
        </is>
      </c>
      <c r="C293" t="inlineStr">
        <is>
          <t>smells-02</t>
        </is>
      </c>
      <c r="D293" t="n">
        <v>1631</v>
      </c>
      <c r="E293" t="inlineStr">
        <is>
          <t>async def _do_subtract_meta_on_delete(</t>
        </is>
      </c>
    </row>
    <row r="294">
      <c r="A294" t="inlineStr">
        <is>
          <t>archon-search</t>
        </is>
      </c>
      <c r="B294" t="inlineStr">
        <is>
          <t>/Users/manczg/Documents/development/archon-search/archon_search/store.py</t>
        </is>
      </c>
      <c r="C294" t="inlineStr">
        <is>
          <t>smells-02</t>
        </is>
      </c>
      <c r="D294" t="n">
        <v>1727</v>
      </c>
      <c r="E294" t="inlineStr">
        <is>
          <t>async def ingest_chunks(</t>
        </is>
      </c>
    </row>
    <row r="295">
      <c r="A295" t="inlineStr">
        <is>
          <t>archon-search</t>
        </is>
      </c>
      <c r="B295" t="inlineStr">
        <is>
          <t>/Users/manczg/Documents/development/archon-search/archon_search/store.py</t>
        </is>
      </c>
      <c r="C295" t="inlineStr">
        <is>
          <t>smells-02</t>
        </is>
      </c>
      <c r="D295" t="n">
        <v>1935</v>
      </c>
      <c r="E295" t="inlineStr">
        <is>
          <t>async def reindex_metadata(</t>
        </is>
      </c>
    </row>
    <row r="296">
      <c r="A296" t="inlineStr">
        <is>
          <t>archon-search</t>
        </is>
      </c>
      <c r="B296" t="inlineStr">
        <is>
          <t>/Users/manczg/Documents/development/archon-search/archon_search/store.py</t>
        </is>
      </c>
      <c r="C296" t="inlineStr">
        <is>
          <t>smells-02</t>
        </is>
      </c>
      <c r="D296" t="n">
        <v>2062</v>
      </c>
      <c r="E296" t="inlineStr">
        <is>
          <t>async def hybrid_search(</t>
        </is>
      </c>
    </row>
    <row r="297">
      <c r="A297" t="inlineStr">
        <is>
          <t>archon-search</t>
        </is>
      </c>
      <c r="B297" t="inlineStr">
        <is>
          <t>/Users/manczg/Documents/development/archon-search/archon_search/store.py</t>
        </is>
      </c>
      <c r="C297" t="inlineStr">
        <is>
          <t>smells-02</t>
        </is>
      </c>
      <c r="D297" t="n">
        <v>2183</v>
      </c>
      <c r="E297" t="inlineStr">
        <is>
          <t>async def hybrid_search_with_trace(</t>
        </is>
      </c>
    </row>
    <row r="298">
      <c r="A298" t="inlineStr">
        <is>
          <t>archon-search</t>
        </is>
      </c>
      <c r="B298" t="inlineStr">
        <is>
          <t>/Users/manczg/Documents/development/archon-search/archon_search/store.py</t>
        </is>
      </c>
      <c r="C298" t="inlineStr">
        <is>
          <t>smells-02</t>
        </is>
      </c>
      <c r="D298" t="n">
        <v>2233</v>
      </c>
      <c r="E298" t="inlineStr">
        <is>
          <t>async def delete_document(</t>
        </is>
      </c>
    </row>
    <row r="299">
      <c r="A299" t="inlineStr">
        <is>
          <t>archon-search</t>
        </is>
      </c>
      <c r="B299" t="inlineStr">
        <is>
          <t>/Users/manczg/Documents/development/archon-search/archon_search/store.py</t>
        </is>
      </c>
      <c r="C299" t="inlineStr">
        <is>
          <t>smells-02</t>
        </is>
      </c>
      <c r="D299" t="n">
        <v>2301</v>
      </c>
      <c r="E299" t="inlineStr">
        <is>
          <t>async def delete_by_source_path(</t>
        </is>
      </c>
    </row>
    <row r="300">
      <c r="A300" t="inlineStr">
        <is>
          <t>archon-search</t>
        </is>
      </c>
      <c r="B300" t="inlineStr">
        <is>
          <t>/Users/manczg/Documents/development/archon-search/archon_search/store.py</t>
        </is>
      </c>
      <c r="C300" t="inlineStr">
        <is>
          <t>smells-02</t>
        </is>
      </c>
      <c r="D300" t="n">
        <v>2437</v>
      </c>
      <c r="E300" t="inlineStr">
        <is>
          <t>async def query_expiring_chunks(</t>
        </is>
      </c>
    </row>
    <row r="301">
      <c r="A301" t="inlineStr">
        <is>
          <t>archon-search</t>
        </is>
      </c>
      <c r="B301" t="inlineStr">
        <is>
          <t>/Users/manczg/Documents/development/archon-search/archon_search/store.py</t>
        </is>
      </c>
      <c r="C301" t="inlineStr">
        <is>
          <t>smells-02</t>
        </is>
      </c>
      <c r="D301" t="n">
        <v>2635</v>
      </c>
      <c r="E301" t="inlineStr">
        <is>
          <t>async def fetch_adjacent_chunks(</t>
        </is>
      </c>
    </row>
    <row r="302">
      <c r="A302" t="inlineStr">
        <is>
          <t>archon-search</t>
        </is>
      </c>
      <c r="B302" t="inlineStr">
        <is>
          <t>/Users/manczg/Documents/development/archon-search/archon_search/store.py</t>
        </is>
      </c>
      <c r="C302" t="inlineStr">
        <is>
          <t>smells-02</t>
        </is>
      </c>
      <c r="D302" t="n">
        <v>2950</v>
      </c>
      <c r="E302" t="inlineStr">
        <is>
          <t>async def _hybrid_search_with_trace(</t>
        </is>
      </c>
    </row>
    <row r="303">
      <c r="A303" t="inlineStr">
        <is>
          <t>archon-search</t>
        </is>
      </c>
      <c r="B303" t="inlineStr">
        <is>
          <t>/Users/manczg/Documents/development/archon-search/archon_search/store.py</t>
        </is>
      </c>
      <c r="C303" t="inlineStr">
        <is>
          <t>smells-03</t>
        </is>
      </c>
      <c r="D303" t="n">
        <v>1732</v>
      </c>
      <c r="E303" t="inlineStr">
        <is>
          <t>_locked_by_caller: bool = False,</t>
        </is>
      </c>
    </row>
    <row r="304">
      <c r="A304" t="inlineStr">
        <is>
          <t>archon-search</t>
        </is>
      </c>
      <c r="B304" t="inlineStr">
        <is>
          <t>/Users/manczg/Documents/development/archon-search/archon_search/store.py</t>
        </is>
      </c>
      <c r="C304" t="inlineStr">
        <is>
          <t>smells-03</t>
        </is>
      </c>
      <c r="D304" t="n">
        <v>1733</v>
      </c>
      <c r="E304" t="inlineStr">
        <is>
          <t>_is_continuation: bool = False,</t>
        </is>
      </c>
    </row>
    <row r="305">
      <c r="A305" t="inlineStr">
        <is>
          <t>archon-search</t>
        </is>
      </c>
      <c r="B305" t="inlineStr">
        <is>
          <t>/Users/manczg/Documents/development/archon-search/archon_search/store.py</t>
        </is>
      </c>
      <c r="C305" t="inlineStr">
        <is>
          <t>smells-03</t>
        </is>
      </c>
      <c r="D305" t="n">
        <v>1939</v>
      </c>
      <c r="E305" t="inlineStr">
        <is>
          <t>dry_run: bool = False,</t>
        </is>
      </c>
    </row>
    <row r="306">
      <c r="A306" t="inlineStr">
        <is>
          <t>archon-search</t>
        </is>
      </c>
      <c r="B306" t="inlineStr">
        <is>
          <t>/Users/manczg/Documents/development/archon-search/archon_search/store.py</t>
        </is>
      </c>
      <c r="C306" t="inlineStr">
        <is>
          <t>smells-03</t>
        </is>
      </c>
      <c r="D306" t="n">
        <v>1940</v>
      </c>
      <c r="E306" t="inlineStr">
        <is>
          <t>normalize_timestamps: bool = True,</t>
        </is>
      </c>
    </row>
    <row r="307">
      <c r="A307" t="inlineStr">
        <is>
          <t>archon-search</t>
        </is>
      </c>
      <c r="B307" t="inlineStr">
        <is>
          <t>/Users/manczg/Documents/development/archon-search/archon_search/store.py</t>
        </is>
      </c>
      <c r="C307" t="inlineStr">
        <is>
          <t>smells-03</t>
        </is>
      </c>
      <c r="D307" t="n">
        <v>2239</v>
      </c>
      <c r="E307" t="inlineStr">
        <is>
          <t>skip_fts_optimize: bool = False,</t>
        </is>
      </c>
    </row>
    <row r="308">
      <c r="A308" t="inlineStr">
        <is>
          <t>archon-search</t>
        </is>
      </c>
      <c r="B308" t="inlineStr">
        <is>
          <t>/Users/manczg/Documents/development/archon-search/archon_search/store.py</t>
        </is>
      </c>
      <c r="C308" t="inlineStr">
        <is>
          <t>smells-03</t>
        </is>
      </c>
      <c r="D308" t="n">
        <v>2307</v>
      </c>
      <c r="E308" t="inlineStr">
        <is>
          <t>skip_fts_optimize: bool = False,</t>
        </is>
      </c>
    </row>
    <row r="309">
      <c r="A309" t="inlineStr">
        <is>
          <t>archon-search</t>
        </is>
      </c>
      <c r="B309" t="inlineStr">
        <is>
          <t>/Users/manczg/Documents/development/archon-search/archon_search/store.py</t>
        </is>
      </c>
      <c r="C309" t="inlineStr">
        <is>
          <t>smells-08</t>
        </is>
      </c>
      <c r="D309" t="n">
        <v>271</v>
      </c>
      <c r="E309" t="inlineStr">
        <is>
          <t>def __init__(self, db_path: str | Path, config: "SearchConfig | None" = None) -&gt; None:</t>
        </is>
      </c>
    </row>
    <row r="310">
      <c r="A310" t="inlineStr">
        <is>
          <t>archon-search</t>
        </is>
      </c>
      <c r="B310" t="inlineStr">
        <is>
          <t>/Users/manczg/Documents/development/archon-search/archon_search/store.py</t>
        </is>
      </c>
      <c r="C310" t="inlineStr">
        <is>
          <t>smells-08</t>
        </is>
      </c>
      <c r="D310" t="n">
        <v>590</v>
      </c>
      <c r="E310" t="inlineStr">
        <is>
          <t>return None</t>
        </is>
      </c>
    </row>
    <row r="311">
      <c r="A311" t="inlineStr">
        <is>
          <t>archon-search</t>
        </is>
      </c>
      <c r="B311" t="inlineStr">
        <is>
          <t>/Users/manczg/Documents/development/archon-search/archon_search/store.py</t>
        </is>
      </c>
      <c r="C311" t="inlineStr">
        <is>
          <t>smells-08</t>
        </is>
      </c>
      <c r="D311" t="n">
        <v>599</v>
      </c>
      <c r="E311" t="inlineStr">
        <is>
          <t>return None</t>
        </is>
      </c>
    </row>
    <row r="312">
      <c r="A312" t="inlineStr">
        <is>
          <t>archon-search</t>
        </is>
      </c>
      <c r="B312" t="inlineStr">
        <is>
          <t>/Users/manczg/Documents/development/archon-search/archon_search/store.py</t>
        </is>
      </c>
      <c r="C312" t="inlineStr">
        <is>
          <t>smells-08</t>
        </is>
      </c>
      <c r="D312" t="n">
        <v>1133</v>
      </c>
      <c r="E312" t="inlineStr">
        <is>
          <t>progress_cb: "Callable[[int, int, str], None] | None" = None,</t>
        </is>
      </c>
    </row>
    <row r="313">
      <c r="A313" t="inlineStr">
        <is>
          <t>archon-search</t>
        </is>
      </c>
      <c r="B313" t="inlineStr">
        <is>
          <t>/Users/manczg/Documents/development/archon-search/archon_search/store.py</t>
        </is>
      </c>
      <c r="C313" t="inlineStr">
        <is>
          <t>smells-08</t>
        </is>
      </c>
      <c r="D313" t="n">
        <v>1364</v>
      </c>
      <c r="E313" t="inlineStr">
        <is>
          <t>return None</t>
        </is>
      </c>
    </row>
    <row r="314">
      <c r="A314" t="inlineStr">
        <is>
          <t>archon-search</t>
        </is>
      </c>
      <c r="B314" t="inlineStr">
        <is>
          <t>/Users/manczg/Documents/development/archon-search/archon_search/store.py</t>
        </is>
      </c>
      <c r="C314" t="inlineStr">
        <is>
          <t>smells-08</t>
        </is>
      </c>
      <c r="D314" t="n">
        <v>1734</v>
      </c>
      <c r="E314" t="inlineStr">
        <is>
          <t>embedding_model: str | None = None,</t>
        </is>
      </c>
    </row>
    <row r="315">
      <c r="A315" t="inlineStr">
        <is>
          <t>archon-search</t>
        </is>
      </c>
      <c r="B315" t="inlineStr">
        <is>
          <t>/Users/manczg/Documents/development/archon-search/archon_search/store.py</t>
        </is>
      </c>
      <c r="C315" t="inlineStr">
        <is>
          <t>smells-08</t>
        </is>
      </c>
      <c r="D315" t="n">
        <v>1941</v>
      </c>
      <c r="E315" t="inlineStr">
        <is>
          <t>progress_cb: Callable[[int, int], None] | None = None,</t>
        </is>
      </c>
    </row>
    <row r="316">
      <c r="A316" t="inlineStr">
        <is>
          <t>archon-search</t>
        </is>
      </c>
      <c r="B316" t="inlineStr">
        <is>
          <t>/Users/manczg/Documents/development/archon-search/archon_search/store.py</t>
        </is>
      </c>
      <c r="C316" t="inlineStr">
        <is>
          <t>smells-08</t>
        </is>
      </c>
      <c r="D316" t="n">
        <v>2068</v>
      </c>
      <c r="E316" t="inlineStr">
        <is>
          <t>filters: "SearchFilters | None" = None,</t>
        </is>
      </c>
    </row>
    <row r="317">
      <c r="A317" t="inlineStr">
        <is>
          <t>archon-search</t>
        </is>
      </c>
      <c r="B317" t="inlineStr">
        <is>
          <t>/Users/manczg/Documents/development/archon-search/archon_search/store.py</t>
        </is>
      </c>
      <c r="C317" t="inlineStr">
        <is>
          <t>smells-08</t>
        </is>
      </c>
      <c r="D317" t="n">
        <v>2189</v>
      </c>
      <c r="E317" t="inlineStr">
        <is>
          <t>filters: "SearchFilters | None" = None,</t>
        </is>
      </c>
    </row>
    <row r="318">
      <c r="A318" t="inlineStr">
        <is>
          <t>archon-search</t>
        </is>
      </c>
      <c r="B318" t="inlineStr">
        <is>
          <t>/Users/manczg/Documents/development/archon-search/archon_search/store.py</t>
        </is>
      </c>
      <c r="C318" t="inlineStr">
        <is>
          <t>smells-08</t>
        </is>
      </c>
      <c r="D318" t="n">
        <v>2190</v>
      </c>
      <c r="E318" t="inlineStr">
        <is>
          <t>scope_filter: str | None = None,</t>
        </is>
      </c>
    </row>
    <row r="319">
      <c r="A319" t="inlineStr">
        <is>
          <t>archon-search</t>
        </is>
      </c>
      <c r="B319" t="inlineStr">
        <is>
          <t>/Users/manczg/Documents/development/archon-search/archon_search/store.py</t>
        </is>
      </c>
      <c r="C319" t="inlineStr">
        <is>
          <t>smells-08</t>
        </is>
      </c>
      <c r="D319" t="n">
        <v>2330</v>
      </c>
      <c r="E319" t="inlineStr">
        <is>
          <t>self, collection: str, limit: int = 100, cursor: str | None = None</t>
        </is>
      </c>
    </row>
    <row r="320">
      <c r="A320" t="inlineStr">
        <is>
          <t>archon-search</t>
        </is>
      </c>
      <c r="B320" t="inlineStr">
        <is>
          <t>/Users/manczg/Documents/development/archon-search/archon_search/store.py</t>
        </is>
      </c>
      <c r="C320" t="inlineStr">
        <is>
          <t>smells-08</t>
        </is>
      </c>
      <c r="D320" t="n">
        <v>2331</v>
      </c>
      <c r="E320" t="inlineStr">
        <is>
          <t>) -&gt; tuple[list[DocumentInfo], str | None, int]:</t>
        </is>
      </c>
    </row>
    <row r="321">
      <c r="A321" t="inlineStr">
        <is>
          <t>archon-search</t>
        </is>
      </c>
      <c r="B321" t="inlineStr">
        <is>
          <t>/Users/manczg/Documents/development/archon-search/archon_search/store.py</t>
        </is>
      </c>
      <c r="C321" t="inlineStr">
        <is>
          <t>smells-08</t>
        </is>
      </c>
      <c r="D321" t="n">
        <v>2443</v>
      </c>
      <c r="E321" t="inlineStr">
        <is>
          <t>cursor: str | None = None,</t>
        </is>
      </c>
    </row>
    <row r="322">
      <c r="A322" t="inlineStr">
        <is>
          <t>archon-search</t>
        </is>
      </c>
      <c r="B322" t="inlineStr">
        <is>
          <t>/Users/manczg/Documents/development/archon-search/archon_search/store.py</t>
        </is>
      </c>
      <c r="C322" t="inlineStr">
        <is>
          <t>smells-08</t>
        </is>
      </c>
      <c r="D322" t="n">
        <v>2444</v>
      </c>
      <c r="E322" t="inlineStr">
        <is>
          <t>) -&gt; tuple[list[dict], str | None]:</t>
        </is>
      </c>
    </row>
    <row r="323">
      <c r="A323" t="inlineStr">
        <is>
          <t>archon-search</t>
        </is>
      </c>
      <c r="B323" t="inlineStr">
        <is>
          <t>/Users/manczg/Documents/development/archon-search/archon_search/store.py</t>
        </is>
      </c>
      <c r="C323" t="inlineStr">
        <is>
          <t>smells-08</t>
        </is>
      </c>
      <c r="D323" t="n">
        <v>2779</v>
      </c>
      <c r="E323" t="inlineStr">
        <is>
          <t>) -&gt; int | None:</t>
        </is>
      </c>
    </row>
    <row r="324">
      <c r="A324" t="inlineStr">
        <is>
          <t>archon-search</t>
        </is>
      </c>
      <c r="B324" t="inlineStr">
        <is>
          <t>/Users/manczg/Documents/development/archon-search/archon_search/store.py</t>
        </is>
      </c>
      <c r="C324" t="inlineStr">
        <is>
          <t>smells-08</t>
        </is>
      </c>
      <c r="D324" t="n">
        <v>2793</v>
      </c>
      <c r="E324" t="inlineStr">
        <is>
          <t>return None</t>
        </is>
      </c>
    </row>
    <row r="325">
      <c r="A325" t="inlineStr">
        <is>
          <t>archon-search</t>
        </is>
      </c>
      <c r="B325" t="inlineStr">
        <is>
          <t>/Users/manczg/Documents/development/archon-search/archon_search/store.py</t>
        </is>
      </c>
      <c r="C325" t="inlineStr">
        <is>
          <t>smells-08</t>
        </is>
      </c>
      <c r="D325" t="n">
        <v>2798</v>
      </c>
      <c r="E325" t="inlineStr">
        <is>
          <t>return None</t>
        </is>
      </c>
    </row>
    <row r="326">
      <c r="A326" t="inlineStr">
        <is>
          <t>archon-search</t>
        </is>
      </c>
      <c r="B326" t="inlineStr">
        <is>
          <t>/Users/manczg/Documents/development/archon-search/archon_search/store.py</t>
        </is>
      </c>
      <c r="C326" t="inlineStr">
        <is>
          <t>smells-08</t>
        </is>
      </c>
      <c r="D326" t="n">
        <v>2956</v>
      </c>
      <c r="E326" t="inlineStr">
        <is>
          <t>filters: "SearchFilters | None" = None,</t>
        </is>
      </c>
    </row>
    <row r="327">
      <c r="A327" t="inlineStr">
        <is>
          <t>archon-search</t>
        </is>
      </c>
      <c r="B327" t="inlineStr">
        <is>
          <t>/Users/manczg/Documents/development/archon-search/archon_search/store.py</t>
        </is>
      </c>
      <c r="C327" t="inlineStr">
        <is>
          <t>smells-08</t>
        </is>
      </c>
      <c r="D327" t="n">
        <v>2957</v>
      </c>
      <c r="E327" t="inlineStr">
        <is>
          <t>scope_filter: str | None = None,</t>
        </is>
      </c>
    </row>
    <row r="328">
      <c r="A328" t="inlineStr">
        <is>
          <t>archon-search</t>
        </is>
      </c>
      <c r="B328" t="inlineStr">
        <is>
          <t>/Users/manczg/Documents/development/archon-search/archon_search/store.py</t>
        </is>
      </c>
      <c r="C328" t="inlineStr">
        <is>
          <t>smells-12</t>
        </is>
      </c>
      <c r="D328" t="n">
        <v>340</v>
      </c>
      <c r="E328" t="inlineStr">
        <is>
          <t>except Exception:</t>
        </is>
      </c>
    </row>
    <row r="329">
      <c r="A329" t="inlineStr">
        <is>
          <t>archon-search</t>
        </is>
      </c>
      <c r="B329" t="inlineStr">
        <is>
          <t>/Users/manczg/Documents/development/archon-search/archon_search/store.py</t>
        </is>
      </c>
      <c r="C329" t="inlineStr">
        <is>
          <t>smells-12</t>
        </is>
      </c>
      <c r="D329" t="n">
        <v>754</v>
      </c>
      <c r="E329" t="inlineStr">
        <is>
          <t>except Exception as exc:</t>
        </is>
      </c>
    </row>
    <row r="330">
      <c r="A330" t="inlineStr">
        <is>
          <t>archon-search</t>
        </is>
      </c>
      <c r="B330" t="inlineStr">
        <is>
          <t>/Users/manczg/Documents/development/archon-search/archon_search/store.py</t>
        </is>
      </c>
      <c r="C330" t="inlineStr">
        <is>
          <t>smells-12</t>
        </is>
      </c>
      <c r="D330" t="n">
        <v>1927</v>
      </c>
      <c r="E330" t="inlineStr">
        <is>
          <t>except Exception as e:</t>
        </is>
      </c>
    </row>
    <row r="331">
      <c r="A331" t="inlineStr">
        <is>
          <t>archon-search</t>
        </is>
      </c>
      <c r="B331" t="inlineStr">
        <is>
          <t>/Users/manczg/Documents/development/archon-search/archon_search/store.py</t>
        </is>
      </c>
      <c r="C331" t="inlineStr">
        <is>
          <t>smells-12</t>
        </is>
      </c>
      <c r="D331" t="n">
        <v>2009</v>
      </c>
      <c r="E331" t="inlineStr">
        <is>
          <t>except Exception:  # noqa: BLE001</t>
        </is>
      </c>
    </row>
    <row r="332">
      <c r="A332" t="inlineStr">
        <is>
          <t>archon-search</t>
        </is>
      </c>
      <c r="B332" t="inlineStr">
        <is>
          <t>/Users/manczg/Documents/development/archon-search/archon_search/store.py</t>
        </is>
      </c>
      <c r="C332" t="inlineStr">
        <is>
          <t>smells-12</t>
        </is>
      </c>
      <c r="D332" t="n">
        <v>2015</v>
      </c>
      <c r="E332" t="inlineStr">
        <is>
          <t>except Exception:  # noqa: BLE001</t>
        </is>
      </c>
    </row>
    <row r="333">
      <c r="A333" t="inlineStr">
        <is>
          <t>archon-search</t>
        </is>
      </c>
      <c r="B333" t="inlineStr">
        <is>
          <t>/Users/manczg/Documents/development/archon-search/archon_search/store.py</t>
        </is>
      </c>
      <c r="C333" t="inlineStr">
        <is>
          <t>solid-06</t>
        </is>
      </c>
      <c r="D333" t="n">
        <v>65</v>
      </c>
      <c r="E333" t="inlineStr">
        <is>
          <t>self.timeout_s = timeout_s</t>
        </is>
      </c>
    </row>
    <row r="334">
      <c r="A334" t="inlineStr">
        <is>
          <t>archon-search</t>
        </is>
      </c>
      <c r="B334" t="inlineStr">
        <is>
          <t>/Users/manczg/Documents/development/archon-search/archon_search/store.py</t>
        </is>
      </c>
      <c r="C334" t="inlineStr">
        <is>
          <t>solid-07</t>
        </is>
      </c>
      <c r="D334" t="n">
        <v>1465</v>
      </c>
      <c r="E334" t="inlineStr">
        <is>
          <t>self, db: "lancedb.db.AsyncConnection", collection: str, doc_id: str</t>
        </is>
      </c>
    </row>
    <row r="335">
      <c r="A335" t="inlineStr">
        <is>
          <t>archon-search</t>
        </is>
      </c>
      <c r="B335" t="inlineStr">
        <is>
          <t>/Users/manczg/Documents/development/archon-search/archon_search/store.py</t>
        </is>
      </c>
      <c r="C335" t="inlineStr">
        <is>
          <t>solid-07</t>
        </is>
      </c>
      <c r="D335" t="n">
        <v>2236</v>
      </c>
      <c r="E335" t="inlineStr">
        <is>
          <t>doc_id: str,</t>
        </is>
      </c>
    </row>
    <row r="336">
      <c r="A336" t="inlineStr">
        <is>
          <t>archon-search</t>
        </is>
      </c>
      <c r="B336" t="inlineStr">
        <is>
          <t>/Users/manczg/Documents/development/archon-search/archon_search/store.py</t>
        </is>
      </c>
      <c r="C336" t="inlineStr">
        <is>
          <t>solid-07</t>
        </is>
      </c>
      <c r="D336" t="n">
        <v>2638</v>
      </c>
      <c r="E336" t="inlineStr">
        <is>
          <t>doc_id: str,</t>
        </is>
      </c>
    </row>
    <row r="337">
      <c r="A337" t="inlineStr">
        <is>
          <t>archon-search</t>
        </is>
      </c>
      <c r="B337" t="inlineStr">
        <is>
          <t>/Users/manczg/Documents/development/archon-search/archon_search/store.py</t>
        </is>
      </c>
      <c r="C337" t="inlineStr">
        <is>
          <t>solid-07</t>
        </is>
      </c>
      <c r="D337" t="n">
        <v>2722</v>
      </c>
      <c r="E337" t="inlineStr">
        <is>
          <t>doc_id: str,</t>
        </is>
      </c>
    </row>
    <row r="338">
      <c r="A338" t="inlineStr">
        <is>
          <t>archon-search</t>
        </is>
      </c>
      <c r="B338" t="inlineStr">
        <is>
          <t>/Users/manczg/Documents/development/archon-search/archon_search/graph_store.py</t>
        </is>
      </c>
      <c r="C338" t="inlineStr">
        <is>
          <t>clarity-09</t>
        </is>
      </c>
      <c r="D338" t="n">
        <v>1524</v>
      </c>
      <c r="E338" t="inlineStr">
        <is>
          <t>if (</t>
        </is>
      </c>
    </row>
    <row r="339">
      <c r="A339" t="inlineStr">
        <is>
          <t>archon-search</t>
        </is>
      </c>
      <c r="B339" t="inlineStr">
        <is>
          <t>/Users/manczg/Documents/development/archon-search/archon_search/graph_store.py</t>
        </is>
      </c>
      <c r="C339" t="inlineStr">
        <is>
          <t>clarity-09</t>
        </is>
      </c>
      <c r="D339" t="n">
        <v>2187</v>
      </c>
      <c r="E339" t="inlineStr">
        <is>
          <t>if eid not in exempt_edge_ids</t>
        </is>
      </c>
    </row>
    <row r="340">
      <c r="A340" t="inlineStr">
        <is>
          <t>archon-search</t>
        </is>
      </c>
      <c r="B340" t="inlineStr">
        <is>
          <t>/Users/manczg/Documents/development/archon-search/archon_search/graph_store.py</t>
        </is>
      </c>
      <c r="C340" t="inlineStr">
        <is>
          <t>clarity-16</t>
        </is>
      </c>
      <c r="D340" t="n">
        <v>289</v>
      </c>
      <c r="E340" t="inlineStr">
        <is>
          <t>async def ensure_graph_tables(self, collection: str, ns: str) -&gt; None:</t>
        </is>
      </c>
    </row>
    <row r="341">
      <c r="A341" t="inlineStr">
        <is>
          <t>archon-search</t>
        </is>
      </c>
      <c r="B341" t="inlineStr">
        <is>
          <t>/Users/manczg/Documents/development/archon-search/archon_search/graph_store.py</t>
        </is>
      </c>
      <c r="C341" t="inlineStr">
        <is>
          <t>clarity-16</t>
        </is>
      </c>
      <c r="D341" t="n">
        <v>375</v>
      </c>
      <c r="E341" t="inlineStr">
        <is>
          <t>async def write_graph(</t>
        </is>
      </c>
    </row>
    <row r="342">
      <c r="A342" t="inlineStr">
        <is>
          <t>archon-search</t>
        </is>
      </c>
      <c r="B342" t="inlineStr">
        <is>
          <t>/Users/manczg/Documents/development/archon-search/archon_search/graph_store.py</t>
        </is>
      </c>
      <c r="C342" t="inlineStr">
        <is>
          <t>clarity-16</t>
        </is>
      </c>
      <c r="D342" t="n">
        <v>859</v>
      </c>
      <c r="E342" t="inlineStr">
        <is>
          <t>async def _traverse_impact(</t>
        </is>
      </c>
    </row>
    <row r="343">
      <c r="A343" t="inlineStr">
        <is>
          <t>archon-search</t>
        </is>
      </c>
      <c r="B343" t="inlineStr">
        <is>
          <t>/Users/manczg/Documents/development/archon-search/archon_search/graph_store.py</t>
        </is>
      </c>
      <c r="C343" t="inlineStr">
        <is>
          <t>clarity-16</t>
        </is>
      </c>
      <c r="D343" t="n">
        <v>1442</v>
      </c>
      <c r="E343" t="inlineStr">
        <is>
          <t>async def delete_defref_graph_by_doc(</t>
        </is>
      </c>
    </row>
    <row r="344">
      <c r="A344" t="inlineStr">
        <is>
          <t>archon-search</t>
        </is>
      </c>
      <c r="B344" t="inlineStr">
        <is>
          <t>/Users/manczg/Documents/development/archon-search/archon_search/graph_store.py</t>
        </is>
      </c>
      <c r="C344" t="inlineStr">
        <is>
          <t>clarity-16</t>
        </is>
      </c>
      <c r="D344" t="n">
        <v>2039</v>
      </c>
      <c r="E344" t="inlineStr">
        <is>
          <t>async def delete_orphan_nodes_and_edges(</t>
        </is>
      </c>
    </row>
    <row r="345">
      <c r="A345" t="inlineStr">
        <is>
          <t>archon-search</t>
        </is>
      </c>
      <c r="B345" t="inlineStr">
        <is>
          <t>/Users/manczg/Documents/development/archon-search/archon_search/graph_store.py</t>
        </is>
      </c>
      <c r="C345" t="inlineStr">
        <is>
          <t>clarity-17</t>
        </is>
      </c>
      <c r="D345" t="n">
        <v>375</v>
      </c>
      <c r="E345" t="inlineStr">
        <is>
          <t>async def write_graph(</t>
        </is>
      </c>
    </row>
    <row r="346">
      <c r="A346" t="inlineStr">
        <is>
          <t>archon-search</t>
        </is>
      </c>
      <c r="B346" t="inlineStr">
        <is>
          <t>/Users/manczg/Documents/development/archon-search/archon_search/graph_store.py</t>
        </is>
      </c>
      <c r="C346" t="inlineStr">
        <is>
          <t>clarity-17</t>
        </is>
      </c>
      <c r="D346" t="n">
        <v>1442</v>
      </c>
      <c r="E346" t="inlineStr">
        <is>
          <t>async def delete_defref_graph_by_doc(</t>
        </is>
      </c>
    </row>
    <row r="347">
      <c r="A347" t="inlineStr">
        <is>
          <t>archon-search</t>
        </is>
      </c>
      <c r="B347" t="inlineStr">
        <is>
          <t>/Users/manczg/Documents/development/archon-search/archon_search/graph_store.py</t>
        </is>
      </c>
      <c r="C347" t="inlineStr">
        <is>
          <t>clarity-17</t>
        </is>
      </c>
      <c r="D347" t="n">
        <v>2039</v>
      </c>
      <c r="E347" t="inlineStr">
        <is>
          <t>async def delete_orphan_nodes_and_edges(</t>
        </is>
      </c>
    </row>
    <row r="348">
      <c r="A348" t="inlineStr">
        <is>
          <t>archon-search</t>
        </is>
      </c>
      <c r="B348" t="inlineStr">
        <is>
          <t>/Users/manczg/Documents/development/archon-search/archon_search/graph_store.py</t>
        </is>
      </c>
      <c r="C348" t="inlineStr">
        <is>
          <t>safety-07</t>
        </is>
      </c>
      <c r="D348" t="n">
        <v>166</v>
      </c>
      <c r="E348" t="inlineStr">
        <is>
          <t>import lancedb  # noqa: PLC0415</t>
        </is>
      </c>
    </row>
    <row r="349">
      <c r="A349" t="inlineStr">
        <is>
          <t>archon-search</t>
        </is>
      </c>
      <c r="B349" t="inlineStr">
        <is>
          <t>/Users/manczg/Documents/development/archon-search/archon_search/graph_store.py</t>
        </is>
      </c>
      <c r="C349" t="inlineStr">
        <is>
          <t>safety-07</t>
        </is>
      </c>
      <c r="D349" t="n">
        <v>213</v>
      </c>
      <c r="E349" t="inlineStr">
        <is>
          <t>def _nodes_schema():  # type: ignore[return]</t>
        </is>
      </c>
    </row>
    <row r="350">
      <c r="A350" t="inlineStr">
        <is>
          <t>archon-search</t>
        </is>
      </c>
      <c r="B350" t="inlineStr">
        <is>
          <t>/Users/manczg/Documents/development/archon-search/archon_search/graph_store.py</t>
        </is>
      </c>
      <c r="C350" t="inlineStr">
        <is>
          <t>safety-07</t>
        </is>
      </c>
      <c r="D350" t="n">
        <v>222</v>
      </c>
      <c r="E350" t="inlineStr">
        <is>
          <t>import pyarrow as pa  # noqa: PLC0415</t>
        </is>
      </c>
    </row>
    <row r="351">
      <c r="A351" t="inlineStr">
        <is>
          <t>archon-search</t>
        </is>
      </c>
      <c r="B351" t="inlineStr">
        <is>
          <t>/Users/manczg/Documents/development/archon-search/archon_search/graph_store.py</t>
        </is>
      </c>
      <c r="C351" t="inlineStr">
        <is>
          <t>safety-07</t>
        </is>
      </c>
      <c r="D351" t="n">
        <v>237</v>
      </c>
      <c r="E351" t="inlineStr">
        <is>
          <t>def _edges_schema():  # type: ignore[return]</t>
        </is>
      </c>
    </row>
    <row r="352">
      <c r="A352" t="inlineStr">
        <is>
          <t>archon-search</t>
        </is>
      </c>
      <c r="B352" t="inlineStr">
        <is>
          <t>/Users/manczg/Documents/development/archon-search/archon_search/graph_store.py</t>
        </is>
      </c>
      <c r="C352" t="inlineStr">
        <is>
          <t>safety-07</t>
        </is>
      </c>
      <c r="D352" t="n">
        <v>239</v>
      </c>
      <c r="E352" t="inlineStr">
        <is>
          <t>import pyarrow as pa  # noqa: PLC0415</t>
        </is>
      </c>
    </row>
    <row r="353">
      <c r="A353" t="inlineStr">
        <is>
          <t>archon-search</t>
        </is>
      </c>
      <c r="B353" t="inlineStr">
        <is>
          <t>/Users/manczg/Documents/development/archon-search/archon_search/graph_store.py</t>
        </is>
      </c>
      <c r="C353" t="inlineStr">
        <is>
          <t>safety-07</t>
        </is>
      </c>
      <c r="D353" t="n">
        <v>251</v>
      </c>
      <c r="E353" t="inlineStr">
        <is>
          <t>def _communities_schema():  # type: ignore[return]</t>
        </is>
      </c>
    </row>
    <row r="354">
      <c r="A354" t="inlineStr">
        <is>
          <t>archon-search</t>
        </is>
      </c>
      <c r="B354" t="inlineStr">
        <is>
          <t>/Users/manczg/Documents/development/archon-search/archon_search/graph_store.py</t>
        </is>
      </c>
      <c r="C354" t="inlineStr">
        <is>
          <t>safety-07</t>
        </is>
      </c>
      <c r="D354" t="n">
        <v>259</v>
      </c>
      <c r="E354" t="inlineStr">
        <is>
          <t>import pyarrow as pa  # noqa: PLC0415</t>
        </is>
      </c>
    </row>
    <row r="355">
      <c r="A355" t="inlineStr">
        <is>
          <t>archon-search</t>
        </is>
      </c>
      <c r="B355" t="inlineStr">
        <is>
          <t>/Users/manczg/Documents/development/archon-search/archon_search/graph_store.py</t>
        </is>
      </c>
      <c r="C355" t="inlineStr">
        <is>
          <t>safety-07</t>
        </is>
      </c>
      <c r="D355" t="n">
        <v>270</v>
      </c>
      <c r="E355" t="inlineStr">
        <is>
          <t>def _mentions_schema():  # type: ignore[return]</t>
        </is>
      </c>
    </row>
    <row r="356">
      <c r="A356" t="inlineStr">
        <is>
          <t>archon-search</t>
        </is>
      </c>
      <c r="B356" t="inlineStr">
        <is>
          <t>/Users/manczg/Documents/development/archon-search/archon_search/graph_store.py</t>
        </is>
      </c>
      <c r="C356" t="inlineStr">
        <is>
          <t>safety-07</t>
        </is>
      </c>
      <c r="D356" t="n">
        <v>277</v>
      </c>
      <c r="E356" t="inlineStr">
        <is>
          <t>import pyarrow as pa  # noqa: PLC0415</t>
        </is>
      </c>
    </row>
    <row r="357">
      <c r="A357" t="inlineStr">
        <is>
          <t>archon-search</t>
        </is>
      </c>
      <c r="B357" t="inlineStr">
        <is>
          <t>/Users/manczg/Documents/development/archon-search/archon_search/graph_store.py</t>
        </is>
      </c>
      <c r="C357" t="inlineStr">
        <is>
          <t>safety-07</t>
        </is>
      </c>
      <c r="D357" t="n">
        <v>309</v>
      </c>
      <c r="E357" t="inlineStr">
        <is>
          <t>import pyarrow as pa  # noqa: PLC0415</t>
        </is>
      </c>
    </row>
    <row r="358">
      <c r="A358" t="inlineStr">
        <is>
          <t>archon-search</t>
        </is>
      </c>
      <c r="B358" t="inlineStr">
        <is>
          <t>/Users/manczg/Documents/development/archon-search/archon_search/graph_store.py</t>
        </is>
      </c>
      <c r="C358" t="inlineStr">
        <is>
          <t>safety-07</t>
        </is>
      </c>
      <c r="D358" t="n">
        <v>350</v>
      </c>
      <c r="E358" t="inlineStr">
        <is>
          <t>import pyarrow as pa  # noqa: PLC0415</t>
        </is>
      </c>
    </row>
    <row r="359">
      <c r="A359" t="inlineStr">
        <is>
          <t>archon-search</t>
        </is>
      </c>
      <c r="B359" t="inlineStr">
        <is>
          <t>/Users/manczg/Documents/development/archon-search/archon_search/graph_store.py</t>
        </is>
      </c>
      <c r="C359" t="inlineStr">
        <is>
          <t>safety-07</t>
        </is>
      </c>
      <c r="D359" t="n">
        <v>387</v>
      </c>
      <c r="E359" t="inlineStr">
        <is>
          <t>import pyarrow as pa  # noqa: PLC0415</t>
        </is>
      </c>
    </row>
    <row r="360">
      <c r="A360" t="inlineStr">
        <is>
          <t>archon-search</t>
        </is>
      </c>
      <c r="B360" t="inlineStr">
        <is>
          <t>/Users/manczg/Documents/development/archon-search/archon_search/graph_store.py</t>
        </is>
      </c>
      <c r="C360" t="inlineStr">
        <is>
          <t>safety-07</t>
        </is>
      </c>
      <c r="D360" t="n">
        <v>610</v>
      </c>
      <c r="E360" t="inlineStr">
        <is>
          <t>import pyarrow as pa  # noqa: PLC0415</t>
        </is>
      </c>
    </row>
    <row r="361">
      <c r="A361" t="inlineStr">
        <is>
          <t>archon-search</t>
        </is>
      </c>
      <c r="B361" t="inlineStr">
        <is>
          <t>/Users/manczg/Documents/development/archon-search/archon_search/graph_store.py</t>
        </is>
      </c>
      <c r="C361" t="inlineStr">
        <is>
          <t>safety-07</t>
        </is>
      </c>
      <c r="D361" t="n">
        <v>980</v>
      </c>
      <c r="E361" t="inlineStr">
        <is>
          <t>from lancedb.index import IvfFlat  # noqa: PLC0415</t>
        </is>
      </c>
    </row>
    <row r="362">
      <c r="A362" t="inlineStr">
        <is>
          <t>archon-search</t>
        </is>
      </c>
      <c r="B362" t="inlineStr">
        <is>
          <t>/Users/manczg/Documents/development/archon-search/archon_search/graph_store.py</t>
        </is>
      </c>
      <c r="C362" t="inlineStr">
        <is>
          <t>safety-07</t>
        </is>
      </c>
      <c r="D362" t="n">
        <v>1328</v>
      </c>
      <c r="E362" t="inlineStr">
        <is>
          <t>import pyarrow as pa  # noqa: PLC0415</t>
        </is>
      </c>
    </row>
    <row r="363">
      <c r="A363" t="inlineStr">
        <is>
          <t>archon-search</t>
        </is>
      </c>
      <c r="B363" t="inlineStr">
        <is>
          <t>/Users/manczg/Documents/development/archon-search/archon_search/graph_store.py</t>
        </is>
      </c>
      <c r="C363" t="inlineStr">
        <is>
          <t>safety-07</t>
        </is>
      </c>
      <c r="D363" t="n">
        <v>1370</v>
      </c>
      <c r="E363" t="inlineStr">
        <is>
          <t>import pyarrow as pa  # noqa: PLC0415</t>
        </is>
      </c>
    </row>
    <row r="364">
      <c r="A364" t="inlineStr">
        <is>
          <t>archon-search</t>
        </is>
      </c>
      <c r="B364" t="inlineStr">
        <is>
          <t>/Users/manczg/Documents/development/archon-search/archon_search/graph_store.py</t>
        </is>
      </c>
      <c r="C364" t="inlineStr">
        <is>
          <t>safety-07</t>
        </is>
      </c>
      <c r="D364" t="n">
        <v>1745</v>
      </c>
      <c r="E364" t="inlineStr">
        <is>
          <t>from datetime import datetime  # noqa: PLC0415</t>
        </is>
      </c>
    </row>
    <row r="365">
      <c r="A365" t="inlineStr">
        <is>
          <t>archon-search</t>
        </is>
      </c>
      <c r="B365" t="inlineStr">
        <is>
          <t>/Users/manczg/Documents/development/archon-search/archon_search/graph_store.py</t>
        </is>
      </c>
      <c r="C365" t="inlineStr">
        <is>
          <t>safety-07</t>
        </is>
      </c>
      <c r="D365" t="n">
        <v>1786</v>
      </c>
      <c r="E365" t="inlineStr">
        <is>
          <t>from datetime import datetime, timezone  # noqa: PLC0415</t>
        </is>
      </c>
    </row>
    <row r="366">
      <c r="A366" t="inlineStr">
        <is>
          <t>archon-search</t>
        </is>
      </c>
      <c r="B366" t="inlineStr">
        <is>
          <t>/Users/manczg/Documents/development/archon-search/archon_search/graph_store.py</t>
        </is>
      </c>
      <c r="C366" t="inlineStr">
        <is>
          <t>safety-07</t>
        </is>
      </c>
      <c r="D366" t="n">
        <v>1808</v>
      </c>
      <c r="E366" t="inlineStr">
        <is>
          <t>def _arrow_to_nodes(arrow_table) -&gt; list[GraphNode]:  # type: ignore[return]</t>
        </is>
      </c>
    </row>
    <row r="367">
      <c r="A367" t="inlineStr">
        <is>
          <t>archon-search</t>
        </is>
      </c>
      <c r="B367" t="inlineStr">
        <is>
          <t>/Users/manczg/Documents/development/archon-search/archon_search/graph_store.py</t>
        </is>
      </c>
      <c r="C367" t="inlineStr">
        <is>
          <t>safety-07</t>
        </is>
      </c>
      <c r="D367" t="n">
        <v>1867</v>
      </c>
      <c r="E367" t="inlineStr">
        <is>
          <t>def _arrow_to_edges(arrow_table) -&gt; list[GraphEdge]:  # type: ignore[return]</t>
        </is>
      </c>
    </row>
    <row r="368">
      <c r="A368" t="inlineStr">
        <is>
          <t>archon-search</t>
        </is>
      </c>
      <c r="B368" t="inlineStr">
        <is>
          <t>/Users/manczg/Documents/development/archon-search/archon_search/graph_store.py</t>
        </is>
      </c>
      <c r="C368" t="inlineStr">
        <is>
          <t>safety-07</t>
        </is>
      </c>
      <c r="D368" t="n">
        <v>1901</v>
      </c>
      <c r="E368" t="inlineStr">
        <is>
          <t>):  # type: ignore[return]</t>
        </is>
      </c>
    </row>
    <row r="369">
      <c r="A369" t="inlineStr">
        <is>
          <t>archon-search</t>
        </is>
      </c>
      <c r="B369" t="inlineStr">
        <is>
          <t>/Users/manczg/Documents/development/archon-search/archon_search/graph_store.py</t>
        </is>
      </c>
      <c r="C369" t="inlineStr">
        <is>
          <t>safety-07</t>
        </is>
      </c>
      <c r="D369" t="n">
        <v>2447</v>
      </c>
      <c r="E369" t="inlineStr">
        <is>
          <t>except Exception:  # noqa: BLE001</t>
        </is>
      </c>
    </row>
    <row r="370">
      <c r="A370" t="inlineStr">
        <is>
          <t>archon-search</t>
        </is>
      </c>
      <c r="B370" t="inlineStr">
        <is>
          <t>/Users/manczg/Documents/development/archon-search/archon_search/graph_store.py</t>
        </is>
      </c>
      <c r="C370" t="inlineStr">
        <is>
          <t>safety-15</t>
        </is>
      </c>
      <c r="D370" t="n">
        <v>145</v>
      </c>
      <c r="E370" t="inlineStr">
        <is>
          <t>return f"{col} IN ({items})" if items else "1=0"</t>
        </is>
      </c>
    </row>
    <row r="371">
      <c r="A371" t="inlineStr">
        <is>
          <t>archon-search</t>
        </is>
      </c>
      <c r="B371" t="inlineStr">
        <is>
          <t>/Users/manczg/Documents/development/archon-search/archon_search/graph_store.py</t>
        </is>
      </c>
      <c r="C371" t="inlineStr">
        <is>
          <t>safety-15</t>
        </is>
      </c>
      <c r="D371" t="n">
        <v>1080</v>
      </c>
      <c r="E371" t="inlineStr">
        <is>
          <t>edge_pred = "(" + src_pred + " OR " + tgt_pred + ")"</t>
        </is>
      </c>
    </row>
    <row r="372">
      <c r="A372" t="inlineStr">
        <is>
          <t>archon-search</t>
        </is>
      </c>
      <c r="B372" t="inlineStr">
        <is>
          <t>/Users/manczg/Documents/development/archon-search/archon_search/graph_store.py</t>
        </is>
      </c>
      <c r="C372" t="inlineStr">
        <is>
          <t>safety-15</t>
        </is>
      </c>
      <c r="D372" t="n">
        <v>1128</v>
      </c>
      <c r="E372" t="inlineStr">
        <is>
          <t>pred = "(" + src_pred + " OR " + tgt_pred + ")"</t>
        </is>
      </c>
    </row>
    <row r="373">
      <c r="A373" t="inlineStr">
        <is>
          <t>archon-search</t>
        </is>
      </c>
      <c r="B373" t="inlineStr">
        <is>
          <t>/Users/manczg/Documents/development/archon-search/archon_search/graph_store.py</t>
        </is>
      </c>
      <c r="C373" t="inlineStr">
        <is>
          <t>smells-01</t>
        </is>
      </c>
      <c r="D373" t="n">
        <v>1</v>
      </c>
      <c r="E373" t="inlineStr">
        <is>
          <t>file-level: 2449 lines</t>
        </is>
      </c>
    </row>
    <row r="374">
      <c r="A374" t="inlineStr">
        <is>
          <t>archon-search</t>
        </is>
      </c>
      <c r="B374" t="inlineStr">
        <is>
          <t>/Users/manczg/Documents/development/archon-search/archon_search/graph_store.py</t>
        </is>
      </c>
      <c r="C374" t="inlineStr">
        <is>
          <t>smells-02</t>
        </is>
      </c>
      <c r="D374" t="n">
        <v>375</v>
      </c>
      <c r="E374" t="inlineStr">
        <is>
          <t>async def write_graph(</t>
        </is>
      </c>
    </row>
    <row r="375">
      <c r="A375" t="inlineStr">
        <is>
          <t>archon-search</t>
        </is>
      </c>
      <c r="B375" t="inlineStr">
        <is>
          <t>/Users/manczg/Documents/development/archon-search/archon_search/graph_store.py</t>
        </is>
      </c>
      <c r="C375" t="inlineStr">
        <is>
          <t>smells-02</t>
        </is>
      </c>
      <c r="D375" t="n">
        <v>674</v>
      </c>
      <c r="E375" t="inlineStr">
        <is>
          <t>async def compute_impact(</t>
        </is>
      </c>
    </row>
    <row r="376">
      <c r="A376" t="inlineStr">
        <is>
          <t>archon-search</t>
        </is>
      </c>
      <c r="B376" t="inlineStr">
        <is>
          <t>/Users/manczg/Documents/development/archon-search/archon_search/graph_store.py</t>
        </is>
      </c>
      <c r="C376" t="inlineStr">
        <is>
          <t>smells-02</t>
        </is>
      </c>
      <c r="D376" t="n">
        <v>859</v>
      </c>
      <c r="E376" t="inlineStr">
        <is>
          <t>async def _traverse_impact(</t>
        </is>
      </c>
    </row>
    <row r="377">
      <c r="A377" t="inlineStr">
        <is>
          <t>archon-search</t>
        </is>
      </c>
      <c r="B377" t="inlineStr">
        <is>
          <t>/Users/manczg/Documents/development/archon-search/archon_search/graph_store.py</t>
        </is>
      </c>
      <c r="C377" t="inlineStr">
        <is>
          <t>smells-02</t>
        </is>
      </c>
      <c r="D377" t="n">
        <v>1018</v>
      </c>
      <c r="E377" t="inlineStr">
        <is>
          <t>async def vector_search_nodes(</t>
        </is>
      </c>
    </row>
    <row r="378">
      <c r="A378" t="inlineStr">
        <is>
          <t>archon-search</t>
        </is>
      </c>
      <c r="B378" t="inlineStr">
        <is>
          <t>/Users/manczg/Documents/development/archon-search/archon_search/graph_store.py</t>
        </is>
      </c>
      <c r="C378" t="inlineStr">
        <is>
          <t>smells-02</t>
        </is>
      </c>
      <c r="D378" t="n">
        <v>1442</v>
      </c>
      <c r="E378" t="inlineStr">
        <is>
          <t>async def delete_defref_graph_by_doc(</t>
        </is>
      </c>
    </row>
    <row r="379">
      <c r="A379" t="inlineStr">
        <is>
          <t>archon-search</t>
        </is>
      </c>
      <c r="B379" t="inlineStr">
        <is>
          <t>/Users/manczg/Documents/development/archon-search/archon_search/graph_store.py</t>
        </is>
      </c>
      <c r="C379" t="inlineStr">
        <is>
          <t>smells-03</t>
        </is>
      </c>
      <c r="D379" t="n">
        <v>1449</v>
      </c>
      <c r="E379" t="inlineStr">
        <is>
          <t>delete_doc_owned_code_symbols: bool = False,</t>
        </is>
      </c>
    </row>
    <row r="380">
      <c r="A380" t="inlineStr">
        <is>
          <t>archon-search</t>
        </is>
      </c>
      <c r="B380" t="inlineStr">
        <is>
          <t>/Users/manczg/Documents/development/archon-search/archon_search/graph_store.py</t>
        </is>
      </c>
      <c r="C380" t="inlineStr">
        <is>
          <t>smells-08</t>
        </is>
      </c>
      <c r="D380" t="n">
        <v>650</v>
      </c>
      <c r="E380" t="inlineStr">
        <is>
          <t>async def pagerank_score(self, collection: str, entity_id: str, ns: str) -&gt; float | None:</t>
        </is>
      </c>
    </row>
    <row r="381">
      <c r="A381" t="inlineStr">
        <is>
          <t>archon-search</t>
        </is>
      </c>
      <c r="B381" t="inlineStr">
        <is>
          <t>/Users/manczg/Documents/development/archon-search/archon_search/graph_store.py</t>
        </is>
      </c>
      <c r="C381" t="inlineStr">
        <is>
          <t>smells-08</t>
        </is>
      </c>
      <c r="D381" t="n">
        <v>662</v>
      </c>
      <c r="E381" t="inlineStr">
        <is>
          <t>return None</t>
        </is>
      </c>
    </row>
    <row r="382">
      <c r="A382" t="inlineStr">
        <is>
          <t>archon-search</t>
        </is>
      </c>
      <c r="B382" t="inlineStr">
        <is>
          <t>/Users/manczg/Documents/development/archon-search/archon_search/graph_store.py</t>
        </is>
      </c>
      <c r="C382" t="inlineStr">
        <is>
          <t>smells-08</t>
        </is>
      </c>
      <c r="D382" t="n">
        <v>671</v>
      </c>
      <c r="E382" t="inlineStr">
        <is>
          <t>return None</t>
        </is>
      </c>
    </row>
    <row r="383">
      <c r="A383" t="inlineStr">
        <is>
          <t>archon-search</t>
        </is>
      </c>
      <c r="B383" t="inlineStr">
        <is>
          <t>/Users/manczg/Documents/development/archon-search/archon_search/graph_store.py</t>
        </is>
      </c>
      <c r="C383" t="inlineStr">
        <is>
          <t>smells-08</t>
        </is>
      </c>
      <c r="D383" t="n">
        <v>788</v>
      </c>
      <c r="E383" t="inlineStr">
        <is>
          <t>) -&gt; GraphNode | None:</t>
        </is>
      </c>
    </row>
    <row r="384">
      <c r="A384" t="inlineStr">
        <is>
          <t>archon-search</t>
        </is>
      </c>
      <c r="B384" t="inlineStr">
        <is>
          <t>/Users/manczg/Documents/development/archon-search/archon_search/graph_store.py</t>
        </is>
      </c>
      <c r="C384" t="inlineStr">
        <is>
          <t>smells-08</t>
        </is>
      </c>
      <c r="D384" t="n">
        <v>817</v>
      </c>
      <c r="E384" t="inlineStr">
        <is>
          <t>return None</t>
        </is>
      </c>
    </row>
    <row r="385">
      <c r="A385" t="inlineStr">
        <is>
          <t>archon-search</t>
        </is>
      </c>
      <c r="B385" t="inlineStr">
        <is>
          <t>/Users/manczg/Documents/development/archon-search/archon_search/graph_store.py</t>
        </is>
      </c>
      <c r="C385" t="inlineStr">
        <is>
          <t>smells-08</t>
        </is>
      </c>
      <c r="D385" t="n">
        <v>1448</v>
      </c>
      <c r="E385" t="inlineStr">
        <is>
          <t>preserve_node_ids: frozenset[str] | None = None,</t>
        </is>
      </c>
    </row>
    <row r="386">
      <c r="A386" t="inlineStr">
        <is>
          <t>archon-search</t>
        </is>
      </c>
      <c r="B386" t="inlineStr">
        <is>
          <t>/Users/manczg/Documents/development/archon-search/archon_search/graph_store.py</t>
        </is>
      </c>
      <c r="C386" t="inlineStr">
        <is>
          <t>smells-08</t>
        </is>
      </c>
      <c r="D386" t="n">
        <v>1637</v>
      </c>
      <c r="E386" t="inlineStr">
        <is>
          <t>limit: int | None = None,</t>
        </is>
      </c>
    </row>
    <row r="387">
      <c r="A387" t="inlineStr">
        <is>
          <t>archon-search</t>
        </is>
      </c>
      <c r="B387" t="inlineStr">
        <is>
          <t>/Users/manczg/Documents/development/archon-search/archon_search/graph_store.py</t>
        </is>
      </c>
      <c r="C387" t="inlineStr">
        <is>
          <t>smells-08</t>
        </is>
      </c>
      <c r="D387" t="n">
        <v>1900</v>
      </c>
      <c r="E387" t="inlineStr">
        <is>
          <t>self, table_name: str, context_label: str, predicate: str | None = None</t>
        </is>
      </c>
    </row>
    <row r="388">
      <c r="A388" t="inlineStr">
        <is>
          <t>archon-search</t>
        </is>
      </c>
      <c r="B388" t="inlineStr">
        <is>
          <t>/Users/manczg/Documents/development/archon-search/archon_search/graph_store.py</t>
        </is>
      </c>
      <c r="C388" t="inlineStr">
        <is>
          <t>smells-08</t>
        </is>
      </c>
      <c r="D388" t="n">
        <v>1921</v>
      </c>
      <c r="E388" t="inlineStr">
        <is>
          <t>return None</t>
        </is>
      </c>
    </row>
    <row r="389">
      <c r="A389" t="inlineStr">
        <is>
          <t>archon-search</t>
        </is>
      </c>
      <c r="B389" t="inlineStr">
        <is>
          <t>/Users/manczg/Documents/development/archon-search/archon_search/graph_store.py</t>
        </is>
      </c>
      <c r="C389" t="inlineStr">
        <is>
          <t>smells-08</t>
        </is>
      </c>
      <c r="D389" t="n">
        <v>2339</v>
      </c>
      <c r="E389" t="inlineStr">
        <is>
          <t>self, collection: str, ns: str, extraction_method_filter: str | None = None</t>
        </is>
      </c>
    </row>
    <row r="390">
      <c r="A390" t="inlineStr">
        <is>
          <t>archon-search</t>
        </is>
      </c>
      <c r="B390" t="inlineStr">
        <is>
          <t>/Users/manczg/Documents/development/archon-search/archon_search/graph_store.py</t>
        </is>
      </c>
      <c r="C390" t="inlineStr">
        <is>
          <t>smells-12</t>
        </is>
      </c>
      <c r="D390" t="n">
        <v>1009</v>
      </c>
      <c r="E390" t="inlineStr">
        <is>
          <t>except Exception as exc:</t>
        </is>
      </c>
    </row>
    <row r="391">
      <c r="A391" t="inlineStr">
        <is>
          <t>archon-search</t>
        </is>
      </c>
      <c r="B391" t="inlineStr">
        <is>
          <t>/Users/manczg/Documents/development/archon-search/archon_search/graph_store.py</t>
        </is>
      </c>
      <c r="C391" t="inlineStr">
        <is>
          <t>smells-12</t>
        </is>
      </c>
      <c r="D391" t="n">
        <v>1143</v>
      </c>
      <c r="E391" t="inlineStr">
        <is>
          <t>except Exception:</t>
        </is>
      </c>
    </row>
    <row r="392">
      <c r="A392" t="inlineStr">
        <is>
          <t>archon-search</t>
        </is>
      </c>
      <c r="B392" t="inlineStr">
        <is>
          <t>/Users/manczg/Documents/development/archon-search/archon_search/graph_store.py</t>
        </is>
      </c>
      <c r="C392" t="inlineStr">
        <is>
          <t>smells-12</t>
        </is>
      </c>
      <c r="D392" t="n">
        <v>1159</v>
      </c>
      <c r="E392" t="inlineStr">
        <is>
          <t>except Exception:</t>
        </is>
      </c>
    </row>
    <row r="393">
      <c r="A393" t="inlineStr">
        <is>
          <t>archon-search</t>
        </is>
      </c>
      <c r="B393" t="inlineStr">
        <is>
          <t>/Users/manczg/Documents/development/archon-search/archon_search/graph_store.py</t>
        </is>
      </c>
      <c r="C393" t="inlineStr">
        <is>
          <t>smells-12</t>
        </is>
      </c>
      <c r="D393" t="n">
        <v>1180</v>
      </c>
      <c r="E393" t="inlineStr">
        <is>
          <t>except Exception:</t>
        </is>
      </c>
    </row>
    <row r="394">
      <c r="A394" t="inlineStr">
        <is>
          <t>archon-search</t>
        </is>
      </c>
      <c r="B394" t="inlineStr">
        <is>
          <t>/Users/manczg/Documents/development/archon-search/archon_search/graph_store.py</t>
        </is>
      </c>
      <c r="C394" t="inlineStr">
        <is>
          <t>smells-12</t>
        </is>
      </c>
      <c r="D394" t="n">
        <v>1211</v>
      </c>
      <c r="E394" t="inlineStr">
        <is>
          <t>except Exception:</t>
        </is>
      </c>
    </row>
    <row r="395">
      <c r="A395" t="inlineStr">
        <is>
          <t>archon-search</t>
        </is>
      </c>
      <c r="B395" t="inlineStr">
        <is>
          <t>/Users/manczg/Documents/development/archon-search/archon_search/graph_store.py</t>
        </is>
      </c>
      <c r="C395" t="inlineStr">
        <is>
          <t>smells-12</t>
        </is>
      </c>
      <c r="D395" t="n">
        <v>1232</v>
      </c>
      <c r="E395" t="inlineStr">
        <is>
          <t>except Exception:</t>
        </is>
      </c>
    </row>
    <row r="396">
      <c r="A396" t="inlineStr">
        <is>
          <t>archon-search</t>
        </is>
      </c>
      <c r="B396" t="inlineStr">
        <is>
          <t>/Users/manczg/Documents/development/archon-search/archon_search/graph_store.py</t>
        </is>
      </c>
      <c r="C396" t="inlineStr">
        <is>
          <t>smells-12</t>
        </is>
      </c>
      <c r="D396" t="n">
        <v>2447</v>
      </c>
      <c r="E396" t="inlineStr">
        <is>
          <t>except Exception:  # noqa: BLE001</t>
        </is>
      </c>
    </row>
    <row r="397">
      <c r="A397" t="inlineStr">
        <is>
          <t>archon-search</t>
        </is>
      </c>
      <c r="B397" t="inlineStr">
        <is>
          <t>/Users/manczg/Documents/development/archon-search/archon_search/graph_store.py</t>
        </is>
      </c>
      <c r="C397" t="inlineStr">
        <is>
          <t>solid-07</t>
        </is>
      </c>
      <c r="D397" t="n">
        <v>650</v>
      </c>
      <c r="E397" t="inlineStr">
        <is>
          <t>async def pagerank_score(self, collection: str, entity_id: str, ns: str) -&gt; float | None:</t>
        </is>
      </c>
    </row>
    <row r="398">
      <c r="A398" t="inlineStr">
        <is>
          <t>archon-search</t>
        </is>
      </c>
      <c r="B398" t="inlineStr">
        <is>
          <t>/Users/manczg/Documents/development/archon-search/archon_search/graph_store.py</t>
        </is>
      </c>
      <c r="C398" t="inlineStr">
        <is>
          <t>solid-07</t>
        </is>
      </c>
      <c r="D398" t="n">
        <v>862</v>
      </c>
      <c r="E398" t="inlineStr">
        <is>
          <t>root_id: str,</t>
        </is>
      </c>
    </row>
    <row r="399">
      <c r="A399" t="inlineStr">
        <is>
          <t>archon-search</t>
        </is>
      </c>
      <c r="B399" t="inlineStr">
        <is>
          <t>/Users/manczg/Documents/development/archon-search/archon_search/graph_store.py</t>
        </is>
      </c>
      <c r="C399" t="inlineStr">
        <is>
          <t>solid-07</t>
        </is>
      </c>
      <c r="D399" t="n">
        <v>885</v>
      </c>
      <c r="E399" t="inlineStr">
        <is>
          <t>def _pagerank_sort_key(entity_id: str) -&gt; tuple[bool, float, str]:</t>
        </is>
      </c>
    </row>
    <row r="400">
      <c r="A400" t="inlineStr">
        <is>
          <t>archon-search</t>
        </is>
      </c>
      <c r="B400" t="inlineStr">
        <is>
          <t>/Users/manczg/Documents/development/archon-search/archon_search/graph_store.py</t>
        </is>
      </c>
      <c r="C400" t="inlineStr">
        <is>
          <t>solid-07</t>
        </is>
      </c>
      <c r="D400" t="n">
        <v>1394</v>
      </c>
      <c r="E400" t="inlineStr">
        <is>
          <t>doc_id: str,</t>
        </is>
      </c>
    </row>
    <row r="401">
      <c r="A401" t="inlineStr">
        <is>
          <t>archon-search</t>
        </is>
      </c>
      <c r="B401" t="inlineStr">
        <is>
          <t>/Users/manczg/Documents/development/archon-search/archon_search/graph_store.py</t>
        </is>
      </c>
      <c r="C401" t="inlineStr">
        <is>
          <t>solid-07</t>
        </is>
      </c>
      <c r="D401" t="n">
        <v>1418</v>
      </c>
      <c r="E401" t="inlineStr">
        <is>
          <t>doc_id: str,</t>
        </is>
      </c>
    </row>
    <row r="402">
      <c r="A402" t="inlineStr">
        <is>
          <t>archon-search</t>
        </is>
      </c>
      <c r="B402" t="inlineStr">
        <is>
          <t>/Users/manczg/Documents/development/archon-search/archon_search/graph_store.py</t>
        </is>
      </c>
      <c r="C402" t="inlineStr">
        <is>
          <t>solid-07</t>
        </is>
      </c>
      <c r="D402" t="n">
        <v>1445</v>
      </c>
      <c r="E402" t="inlineStr">
        <is>
          <t>doc_id: str,</t>
        </is>
      </c>
    </row>
    <row r="403">
      <c r="A403" t="inlineStr">
        <is>
          <t>archon-search</t>
        </is>
      </c>
      <c r="B403" t="inlineStr">
        <is>
          <t>/Users/manczg/Documents/development/archon-search/archon_search/server/mcp.py</t>
        </is>
      </c>
      <c r="C403" t="inlineStr">
        <is>
          <t>arch-11</t>
        </is>
      </c>
      <c r="D403" t="n">
        <v>1004</v>
      </c>
      <c r="E403" t="inlineStr">
        <is>
          <t>search_url="http://mcp",</t>
        </is>
      </c>
    </row>
    <row r="404">
      <c r="A404" t="inlineStr">
        <is>
          <t>archon-search</t>
        </is>
      </c>
      <c r="B404" t="inlineStr">
        <is>
          <t>/Users/manczg/Documents/development/archon-search/archon_search/server/mcp.py</t>
        </is>
      </c>
      <c r="C404" t="inlineStr">
        <is>
          <t>clarity-09</t>
        </is>
      </c>
      <c r="D404" t="n">
        <v>871</v>
      </c>
      <c r="E404" t="inlineStr">
        <is>
          <t>if graph_mode is not None or (rag_fusion and _explain_rf_config.enabled):</t>
        </is>
      </c>
    </row>
    <row r="405">
      <c r="A405" t="inlineStr">
        <is>
          <t>archon-search</t>
        </is>
      </c>
      <c r="B405" t="inlineStr">
        <is>
          <t>/Users/manczg/Documents/development/archon-search/archon_search/server/mcp.py</t>
        </is>
      </c>
      <c r="C405" t="inlineStr">
        <is>
          <t>clarity-16</t>
        </is>
      </c>
      <c r="D405" t="n">
        <v>258</v>
      </c>
      <c r="E405" t="inlineStr">
        <is>
          <t>def create_app(</t>
        </is>
      </c>
    </row>
    <row r="406">
      <c r="A406" t="inlineStr">
        <is>
          <t>archon-search</t>
        </is>
      </c>
      <c r="B406" t="inlineStr">
        <is>
          <t>/Users/manczg/Documents/development/archon-search/archon_search/server/mcp.py</t>
        </is>
      </c>
      <c r="C406" t="inlineStr">
        <is>
          <t>clarity-16</t>
        </is>
      </c>
      <c r="D406" t="n">
        <v>292</v>
      </c>
      <c r="E406" t="inlineStr">
        <is>
          <t>async def search(</t>
        </is>
      </c>
    </row>
    <row r="407">
      <c r="A407" t="inlineStr">
        <is>
          <t>archon-search</t>
        </is>
      </c>
      <c r="B407" t="inlineStr">
        <is>
          <t>/Users/manczg/Documents/development/archon-search/archon_search/server/mcp.py</t>
        </is>
      </c>
      <c r="C407" t="inlineStr">
        <is>
          <t>clarity-16</t>
        </is>
      </c>
      <c r="D407" t="n">
        <v>604</v>
      </c>
      <c r="E407" t="inlineStr">
        <is>
          <t>async def search_with_context(</t>
        </is>
      </c>
    </row>
    <row r="408">
      <c r="A408" t="inlineStr">
        <is>
          <t>archon-search</t>
        </is>
      </c>
      <c r="B408" t="inlineStr">
        <is>
          <t>/Users/manczg/Documents/development/archon-search/archon_search/server/mcp.py</t>
        </is>
      </c>
      <c r="C408" t="inlineStr">
        <is>
          <t>clarity-16</t>
        </is>
      </c>
      <c r="D408" t="n">
        <v>794</v>
      </c>
      <c r="E408" t="inlineStr">
        <is>
          <t>async def explain(</t>
        </is>
      </c>
    </row>
    <row r="409">
      <c r="A409" t="inlineStr">
        <is>
          <t>archon-search</t>
        </is>
      </c>
      <c r="B409" t="inlineStr">
        <is>
          <t>/Users/manczg/Documents/development/archon-search/archon_search/server/mcp.py</t>
        </is>
      </c>
      <c r="C409" t="inlineStr">
        <is>
          <t>clarity-16</t>
        </is>
      </c>
      <c r="D409" t="n">
        <v>1364</v>
      </c>
      <c r="E409" t="inlineStr">
        <is>
          <t>async def update_collection(</t>
        </is>
      </c>
    </row>
    <row r="410">
      <c r="A410" t="inlineStr">
        <is>
          <t>archon-search</t>
        </is>
      </c>
      <c r="B410" t="inlineStr">
        <is>
          <t>/Users/manczg/Documents/development/archon-search/archon_search/server/mcp.py</t>
        </is>
      </c>
      <c r="C410" t="inlineStr">
        <is>
          <t>clarity-16</t>
        </is>
      </c>
      <c r="D410" t="n">
        <v>1510</v>
      </c>
      <c r="E410" t="inlineStr">
        <is>
          <t>async def import_collection(</t>
        </is>
      </c>
    </row>
    <row r="411">
      <c r="A411" t="inlineStr">
        <is>
          <t>archon-search</t>
        </is>
      </c>
      <c r="B411" t="inlineStr">
        <is>
          <t>/Users/manczg/Documents/development/archon-search/archon_search/server/mcp.py</t>
        </is>
      </c>
      <c r="C411" t="inlineStr">
        <is>
          <t>clarity-16</t>
        </is>
      </c>
      <c r="D411" t="n">
        <v>1987</v>
      </c>
      <c r="E411" t="inlineStr">
        <is>
          <t>async def get_graph_cross_collection(</t>
        </is>
      </c>
    </row>
    <row r="412">
      <c r="A412" t="inlineStr">
        <is>
          <t>archon-search</t>
        </is>
      </c>
      <c r="B412" t="inlineStr">
        <is>
          <t>/Users/manczg/Documents/development/archon-search/archon_search/server/mcp.py</t>
        </is>
      </c>
      <c r="C412" t="inlineStr">
        <is>
          <t>clarity-17</t>
        </is>
      </c>
      <c r="D412" t="n">
        <v>258</v>
      </c>
      <c r="E412" t="inlineStr">
        <is>
          <t>def create_app(</t>
        </is>
      </c>
    </row>
    <row r="413">
      <c r="A413" t="inlineStr">
        <is>
          <t>archon-search</t>
        </is>
      </c>
      <c r="B413" t="inlineStr">
        <is>
          <t>/Users/manczg/Documents/development/archon-search/archon_search/server/mcp.py</t>
        </is>
      </c>
      <c r="C413" t="inlineStr">
        <is>
          <t>clarity-17</t>
        </is>
      </c>
      <c r="D413" t="n">
        <v>292</v>
      </c>
      <c r="E413" t="inlineStr">
        <is>
          <t>async def search(</t>
        </is>
      </c>
    </row>
    <row r="414">
      <c r="A414" t="inlineStr">
        <is>
          <t>archon-search</t>
        </is>
      </c>
      <c r="B414" t="inlineStr">
        <is>
          <t>/Users/manczg/Documents/development/archon-search/archon_search/server/mcp.py</t>
        </is>
      </c>
      <c r="C414" t="inlineStr">
        <is>
          <t>clarity-17</t>
        </is>
      </c>
      <c r="D414" t="n">
        <v>604</v>
      </c>
      <c r="E414" t="inlineStr">
        <is>
          <t>async def search_with_context(</t>
        </is>
      </c>
    </row>
    <row r="415">
      <c r="A415" t="inlineStr">
        <is>
          <t>archon-search</t>
        </is>
      </c>
      <c r="B415" t="inlineStr">
        <is>
          <t>/Users/manczg/Documents/development/archon-search/archon_search/server/mcp.py</t>
        </is>
      </c>
      <c r="C415" t="inlineStr">
        <is>
          <t>clarity-17</t>
        </is>
      </c>
      <c r="D415" t="n">
        <v>794</v>
      </c>
      <c r="E415" t="inlineStr">
        <is>
          <t>async def explain(</t>
        </is>
      </c>
    </row>
    <row r="416">
      <c r="A416" t="inlineStr">
        <is>
          <t>archon-search</t>
        </is>
      </c>
      <c r="B416" t="inlineStr">
        <is>
          <t>/Users/manczg/Documents/development/archon-search/archon_search/server/mcp.py</t>
        </is>
      </c>
      <c r="C416" t="inlineStr">
        <is>
          <t>safety-07</t>
        </is>
      </c>
      <c r="D416" t="n">
        <v>211</v>
      </c>
      <c r="E416" t="inlineStr">
        <is>
          <t>from fastmcp.server.dependencies import get_http_request  # noqa: PLC0415</t>
        </is>
      </c>
    </row>
    <row r="417">
      <c r="A417" t="inlineStr">
        <is>
          <t>archon-search</t>
        </is>
      </c>
      <c r="B417" t="inlineStr">
        <is>
          <t>/Users/manczg/Documents/development/archon-search/archon_search/server/mcp.py</t>
        </is>
      </c>
      <c r="C417" t="inlineStr">
        <is>
          <t>safety-07</t>
        </is>
      </c>
      <c r="D417" t="n">
        <v>287</v>
      </c>
      <c r="E417" t="inlineStr">
        <is>
          <t>from archon_search.rag_fusion import RAGFusionDependencyError  # noqa: PLC0415</t>
        </is>
      </c>
    </row>
    <row r="418">
      <c r="A418" t="inlineStr">
        <is>
          <t>archon-search</t>
        </is>
      </c>
      <c r="B418" t="inlineStr">
        <is>
          <t>/Users/manczg/Documents/development/archon-search/archon_search/server/mcp.py</t>
        </is>
      </c>
      <c r="C418" t="inlineStr">
        <is>
          <t>safety-07</t>
        </is>
      </c>
      <c r="D418" t="n">
        <v>353</v>
      </c>
      <c r="E418" t="inlineStr">
        <is>
          <t>from archon_search.config import RAGFusionConfig  # noqa: PLC0415</t>
        </is>
      </c>
    </row>
    <row r="419">
      <c r="A419" t="inlineStr">
        <is>
          <t>archon-search</t>
        </is>
      </c>
      <c r="B419" t="inlineStr">
        <is>
          <t>/Users/manczg/Documents/development/archon-search/archon_search/server/mcp.py</t>
        </is>
      </c>
      <c r="C419" t="inlineStr">
        <is>
          <t>safety-07</t>
        </is>
      </c>
      <c r="D419" t="n">
        <v>361</v>
      </c>
      <c r="E419" t="inlineStr">
        <is>
          <t>from archon_search.config import HyDEConfig  # noqa: PLC0415</t>
        </is>
      </c>
    </row>
    <row r="420">
      <c r="A420" t="inlineStr">
        <is>
          <t>archon-search</t>
        </is>
      </c>
      <c r="B420" t="inlineStr">
        <is>
          <t>/Users/manczg/Documents/development/archon-search/archon_search/server/mcp.py</t>
        </is>
      </c>
      <c r="C420" t="inlineStr">
        <is>
          <t>safety-07</t>
        </is>
      </c>
      <c r="D420" t="n">
        <v>392</v>
      </c>
      <c r="E420" t="inlineStr">
        <is>
          <t>from archon_search.config import SearchConfig as _SearchConfig  # noqa: PLC0415</t>
        </is>
      </c>
    </row>
    <row r="421">
      <c r="A421" t="inlineStr">
        <is>
          <t>archon-search</t>
        </is>
      </c>
      <c r="B421" t="inlineStr">
        <is>
          <t>/Users/manczg/Documents/development/archon-search/archon_search/server/mcp.py</t>
        </is>
      </c>
      <c r="C421" t="inlineStr">
        <is>
          <t>safety-07</t>
        </is>
      </c>
      <c r="D421" t="n">
        <v>655</v>
      </c>
      <c r="E421" t="inlineStr">
        <is>
          <t>from archon_search.config import RAGFusionConfig  # noqa: PLC0415</t>
        </is>
      </c>
    </row>
    <row r="422">
      <c r="A422" t="inlineStr">
        <is>
          <t>archon-search</t>
        </is>
      </c>
      <c r="B422" t="inlineStr">
        <is>
          <t>/Users/manczg/Documents/development/archon-search/archon_search/server/mcp.py</t>
        </is>
      </c>
      <c r="C422" t="inlineStr">
        <is>
          <t>safety-07</t>
        </is>
      </c>
      <c r="D422" t="n">
        <v>663</v>
      </c>
      <c r="E422" t="inlineStr">
        <is>
          <t>from archon_search.config import HyDEConfig  # noqa: PLC0415</t>
        </is>
      </c>
    </row>
    <row r="423">
      <c r="A423" t="inlineStr">
        <is>
          <t>archon-search</t>
        </is>
      </c>
      <c r="B423" t="inlineStr">
        <is>
          <t>/Users/manczg/Documents/development/archon-search/archon_search/server/mcp.py</t>
        </is>
      </c>
      <c r="C423" t="inlineStr">
        <is>
          <t>safety-07</t>
        </is>
      </c>
      <c r="D423" t="n">
        <v>825</v>
      </c>
      <c r="E423" t="inlineStr">
        <is>
          <t>from archon_search.config import SearchConfig as _SearchConfig  # noqa: PLC0415</t>
        </is>
      </c>
    </row>
    <row r="424">
      <c r="A424" t="inlineStr">
        <is>
          <t>archon-search</t>
        </is>
      </c>
      <c r="B424" t="inlineStr">
        <is>
          <t>/Users/manczg/Documents/development/archon-search/archon_search/server/mcp.py</t>
        </is>
      </c>
      <c r="C424" t="inlineStr">
        <is>
          <t>safety-07</t>
        </is>
      </c>
      <c r="D424" t="n">
        <v>869</v>
      </c>
      <c r="E424" t="inlineStr">
        <is>
          <t>from archon_search.config import RAGFusionConfig  # noqa: PLC0415</t>
        </is>
      </c>
    </row>
    <row r="425">
      <c r="A425" t="inlineStr">
        <is>
          <t>archon-search</t>
        </is>
      </c>
      <c r="B425" t="inlineStr">
        <is>
          <t>/Users/manczg/Documents/development/archon-search/archon_search/server/mcp.py</t>
        </is>
      </c>
      <c r="C425" t="inlineStr">
        <is>
          <t>safety-07</t>
        </is>
      </c>
      <c r="D425" t="n">
        <v>876</v>
      </c>
      <c r="E425" t="inlineStr">
        <is>
          <t>from archon_search.config import HyDEConfig  # noqa: PLC0415</t>
        </is>
      </c>
    </row>
    <row r="426">
      <c r="A426" t="inlineStr">
        <is>
          <t>archon-search</t>
        </is>
      </c>
      <c r="B426" t="inlineStr">
        <is>
          <t>/Users/manczg/Documents/development/archon-search/archon_search/server/mcp.py</t>
        </is>
      </c>
      <c r="C426" t="inlineStr">
        <is>
          <t>safety-07</t>
        </is>
      </c>
      <c r="D426" t="n">
        <v>1383</v>
      </c>
      <c r="E426" t="inlineStr">
        <is>
          <t>from archon_search.server.routes_collections import _all_collection_paths  # noqa: PLC0415</t>
        </is>
      </c>
    </row>
    <row r="427">
      <c r="A427" t="inlineStr">
        <is>
          <t>archon-search</t>
        </is>
      </c>
      <c r="B427" t="inlineStr">
        <is>
          <t>/Users/manczg/Documents/development/archon-search/archon_search/server/mcp.py</t>
        </is>
      </c>
      <c r="C427" t="inlineStr">
        <is>
          <t>safety-07</t>
        </is>
      </c>
      <c r="D427" t="n">
        <v>1493</v>
      </c>
      <c r="E427" t="inlineStr">
        <is>
          <t>from datetime import datetime, timezone  # noqa: PLC0415</t>
        </is>
      </c>
    </row>
    <row r="428">
      <c r="A428" t="inlineStr">
        <is>
          <t>archon-search</t>
        </is>
      </c>
      <c r="B428" t="inlineStr">
        <is>
          <t>/Users/manczg/Documents/development/archon-search/archon_search/server/mcp.py</t>
        </is>
      </c>
      <c r="C428" t="inlineStr">
        <is>
          <t>safety-07</t>
        </is>
      </c>
      <c r="D428" t="n">
        <v>1494</v>
      </c>
      <c r="E428" t="inlineStr">
        <is>
          <t>from uuid import uuid4  # noqa: PLC0415</t>
        </is>
      </c>
    </row>
    <row r="429">
      <c r="A429" t="inlineStr">
        <is>
          <t>archon-search</t>
        </is>
      </c>
      <c r="B429" t="inlineStr">
        <is>
          <t>/Users/manczg/Documents/development/archon-search/archon_search/server/mcp.py</t>
        </is>
      </c>
      <c r="C429" t="inlineStr">
        <is>
          <t>safety-07</t>
        </is>
      </c>
      <c r="D429" t="n">
        <v>1540</v>
      </c>
      <c r="E429" t="inlineStr">
        <is>
          <t>from pathlib import Path as _Path  # noqa: PLC0415</t>
        </is>
      </c>
    </row>
    <row r="430">
      <c r="A430" t="inlineStr">
        <is>
          <t>archon-search</t>
        </is>
      </c>
      <c r="B430" t="inlineStr">
        <is>
          <t>/Users/manczg/Documents/development/archon-search/archon_search/server/mcp.py</t>
        </is>
      </c>
      <c r="C430" t="inlineStr">
        <is>
          <t>safety-07</t>
        </is>
      </c>
      <c r="D430" t="n">
        <v>1555</v>
      </c>
      <c r="E430" t="inlineStr">
        <is>
          <t>except Exception as exc:  # noqa: BLE001</t>
        </is>
      </c>
    </row>
    <row r="431">
      <c r="A431" t="inlineStr">
        <is>
          <t>archon-search</t>
        </is>
      </c>
      <c r="B431" t="inlineStr">
        <is>
          <t>/Users/manczg/Documents/development/archon-search/archon_search/server/mcp.py</t>
        </is>
      </c>
      <c r="C431" t="inlineStr">
        <is>
          <t>safety-07</t>
        </is>
      </c>
      <c r="D431" t="n">
        <v>1615</v>
      </c>
      <c r="E431" t="inlineStr">
        <is>
          <t>import asyncio as _asyncio  # noqa: PLC0415</t>
        </is>
      </c>
    </row>
    <row r="432">
      <c r="A432" t="inlineStr">
        <is>
          <t>archon-search</t>
        </is>
      </c>
      <c r="B432" t="inlineStr">
        <is>
          <t>/Users/manczg/Documents/development/archon-search/archon_search/server/mcp.py</t>
        </is>
      </c>
      <c r="C432" t="inlineStr">
        <is>
          <t>safety-07</t>
        </is>
      </c>
      <c r="D432" t="n">
        <v>1616</v>
      </c>
      <c r="E432" t="inlineStr">
        <is>
          <t>import os as _os  # noqa: PLC0415</t>
        </is>
      </c>
    </row>
    <row r="433">
      <c r="A433" t="inlineStr">
        <is>
          <t>archon-search</t>
        </is>
      </c>
      <c r="B433" t="inlineStr">
        <is>
          <t>/Users/manczg/Documents/development/archon-search/archon_search/server/mcp.py</t>
        </is>
      </c>
      <c r="C433" t="inlineStr">
        <is>
          <t>safety-07</t>
        </is>
      </c>
      <c r="D433" t="n">
        <v>1617</v>
      </c>
      <c r="E433" t="inlineStr">
        <is>
          <t>import secrets as _secrets  # noqa: PLC0415</t>
        </is>
      </c>
    </row>
    <row r="434">
      <c r="A434" t="inlineStr">
        <is>
          <t>archon-search</t>
        </is>
      </c>
      <c r="B434" t="inlineStr">
        <is>
          <t>/Users/manczg/Documents/development/archon-search/archon_search/server/mcp.py</t>
        </is>
      </c>
      <c r="C434" t="inlineStr">
        <is>
          <t>safety-07</t>
        </is>
      </c>
      <c r="D434" t="n">
        <v>1619</v>
      </c>
      <c r="E434" t="inlineStr">
        <is>
          <t>from archon_search.constants import _validate_namespace  # noqa: PLC0415</t>
        </is>
      </c>
    </row>
    <row r="435">
      <c r="A435" t="inlineStr">
        <is>
          <t>archon-search</t>
        </is>
      </c>
      <c r="B435" t="inlineStr">
        <is>
          <t>/Users/manczg/Documents/development/archon-search/archon_search/server/mcp.py</t>
        </is>
      </c>
      <c r="C435" t="inlineStr">
        <is>
          <t>safety-07</t>
        </is>
      </c>
      <c r="D435" t="n">
        <v>1620</v>
      </c>
      <c r="E435" t="inlineStr">
        <is>
          <t>from archon_search._durable_io import atomic_write_bytes as _atomic_write  # noqa: PLC0415</t>
        </is>
      </c>
    </row>
    <row r="436">
      <c r="A436" t="inlineStr">
        <is>
          <t>archon-search</t>
        </is>
      </c>
      <c r="B436" t="inlineStr">
        <is>
          <t>/Users/manczg/Documents/development/archon-search/archon_search/server/mcp.py</t>
        </is>
      </c>
      <c r="C436" t="inlineStr">
        <is>
          <t>safety-07</t>
        </is>
      </c>
      <c r="D436" t="n">
        <v>1621</v>
      </c>
      <c r="E436" t="inlineStr">
        <is>
          <t>from archon_search.key_manager import ENV_VAR as _ENV_VAR, get_key_file as _get_key_file  # noqa: PLC0415</t>
        </is>
      </c>
    </row>
    <row r="437">
      <c r="A437" t="inlineStr">
        <is>
          <t>archon-search</t>
        </is>
      </c>
      <c r="B437" t="inlineStr">
        <is>
          <t>/Users/manczg/Documents/development/archon-search/archon_search/server/mcp.py</t>
        </is>
      </c>
      <c r="C437" t="inlineStr">
        <is>
          <t>safety-07</t>
        </is>
      </c>
      <c r="D437" t="n">
        <v>1642</v>
      </c>
      <c r="E437" t="inlineStr">
        <is>
          <t>from datetime import datetime  # noqa: PLC0415</t>
        </is>
      </c>
    </row>
    <row r="438">
      <c r="A438" t="inlineStr">
        <is>
          <t>archon-search</t>
        </is>
      </c>
      <c r="B438" t="inlineStr">
        <is>
          <t>/Users/manczg/Documents/development/archon-search/archon_search/server/mcp.py</t>
        </is>
      </c>
      <c r="C438" t="inlineStr">
        <is>
          <t>safety-07</t>
        </is>
      </c>
      <c r="D438" t="n">
        <v>1832</v>
      </c>
      <c r="E438" t="inlineStr">
        <is>
          <t>new_key_id: str = result["new_key_id"]  # type: ignore[assignment]</t>
        </is>
      </c>
    </row>
    <row r="439">
      <c r="A439" t="inlineStr">
        <is>
          <t>archon-search</t>
        </is>
      </c>
      <c r="B439" t="inlineStr">
        <is>
          <t>/Users/manczg/Documents/development/archon-search/archon_search/server/mcp.py</t>
        </is>
      </c>
      <c r="C439" t="inlineStr">
        <is>
          <t>safety-07</t>
        </is>
      </c>
      <c r="D439" t="n">
        <v>1859</v>
      </c>
      <c r="E439" t="inlineStr">
        <is>
          <t>from archon_search.graph_inspector import inspect_collection, inspect_cross_collection  # noqa: PLC0415</t>
        </is>
      </c>
    </row>
    <row r="440">
      <c r="A440" t="inlineStr">
        <is>
          <t>archon-search</t>
        </is>
      </c>
      <c r="B440" t="inlineStr">
        <is>
          <t>/Users/manczg/Documents/development/archon-search/archon_search/server/mcp.py</t>
        </is>
      </c>
      <c r="C440" t="inlineStr">
        <is>
          <t>safety-07</t>
        </is>
      </c>
      <c r="D440" t="n">
        <v>1860</v>
      </c>
      <c r="E440" t="inlineStr">
        <is>
          <t>from archon_search.graph_types import DEFAULT_IMPACT_DEPTH, ImpactDirection  # noqa: PLC0415</t>
        </is>
      </c>
    </row>
    <row r="441">
      <c r="A441" t="inlineStr">
        <is>
          <t>archon-search</t>
        </is>
      </c>
      <c r="B441" t="inlineStr">
        <is>
          <t>/Users/manczg/Documents/development/archon-search/archon_search/server/mcp.py</t>
        </is>
      </c>
      <c r="C441" t="inlineStr">
        <is>
          <t>safety-11</t>
        </is>
      </c>
      <c r="D441" t="n">
        <v>1496</v>
      </c>
      <c r="E441" t="inlineStr">
        <is>
          <t>timestamp = datetime.now(timezone.utc).strftime("%Y%m%dT%H%M%SZ")</t>
        </is>
      </c>
    </row>
    <row r="442">
      <c r="A442" t="inlineStr">
        <is>
          <t>archon-search</t>
        </is>
      </c>
      <c r="B442" t="inlineStr">
        <is>
          <t>/Users/manczg/Documents/development/archon-search/archon_search/server/mcp.py</t>
        </is>
      </c>
      <c r="C442" t="inlineStr">
        <is>
          <t>safety-11</t>
        </is>
      </c>
      <c r="D442" t="n">
        <v>1497</v>
      </c>
      <c r="E442" t="inlineStr">
        <is>
          <t>job_uuid = str(uuid4())</t>
        </is>
      </c>
    </row>
    <row r="443">
      <c r="A443" t="inlineStr">
        <is>
          <t>archon-search</t>
        </is>
      </c>
      <c r="B443" t="inlineStr">
        <is>
          <t>/Users/manczg/Documents/development/archon-search/archon_search/server/mcp.py</t>
        </is>
      </c>
      <c r="C443" t="inlineStr">
        <is>
          <t>safety-11</t>
        </is>
      </c>
      <c r="D443" t="n">
        <v>1805</v>
      </c>
      <c r="E443" t="inlineStr">
        <is>
          <t>new_raw_token = _secrets.token_hex(32)  # 64 hex chars</t>
        </is>
      </c>
    </row>
    <row r="444">
      <c r="A444" t="inlineStr">
        <is>
          <t>archon-search</t>
        </is>
      </c>
      <c r="B444" t="inlineStr">
        <is>
          <t>/Users/manczg/Documents/development/archon-search/archon_search/server/mcp.py</t>
        </is>
      </c>
      <c r="C444" t="inlineStr">
        <is>
          <t>smells-01</t>
        </is>
      </c>
      <c r="D444" t="n">
        <v>1</v>
      </c>
      <c r="E444" t="inlineStr">
        <is>
          <t>file-level: 2259 lines</t>
        </is>
      </c>
    </row>
    <row r="445">
      <c r="A445" t="inlineStr">
        <is>
          <t>archon-search</t>
        </is>
      </c>
      <c r="B445" t="inlineStr">
        <is>
          <t>/Users/manczg/Documents/development/archon-search/archon_search/server/mcp.py</t>
        </is>
      </c>
      <c r="C445" t="inlineStr">
        <is>
          <t>smells-02</t>
        </is>
      </c>
      <c r="D445" t="n">
        <v>229</v>
      </c>
      <c r="E445" t="inlineStr">
        <is>
          <t>async def _resolve_embedder(</t>
        </is>
      </c>
    </row>
    <row r="446">
      <c r="A446" t="inlineStr">
        <is>
          <t>archon-search</t>
        </is>
      </c>
      <c r="B446" t="inlineStr">
        <is>
          <t>/Users/manczg/Documents/development/archon-search/archon_search/server/mcp.py</t>
        </is>
      </c>
      <c r="C446" t="inlineStr">
        <is>
          <t>smells-02</t>
        </is>
      </c>
      <c r="D446" t="n">
        <v>258</v>
      </c>
      <c r="E446" t="inlineStr">
        <is>
          <t>def create_app(</t>
        </is>
      </c>
    </row>
    <row r="447">
      <c r="A447" t="inlineStr">
        <is>
          <t>archon-search</t>
        </is>
      </c>
      <c r="B447" t="inlineStr">
        <is>
          <t>/Users/manczg/Documents/development/archon-search/archon_search/server/mcp.py</t>
        </is>
      </c>
      <c r="C447" t="inlineStr">
        <is>
          <t>smells-02</t>
        </is>
      </c>
      <c r="D447" t="n">
        <v>292</v>
      </c>
      <c r="E447" t="inlineStr">
        <is>
          <t>async def search(</t>
        </is>
      </c>
    </row>
    <row r="448">
      <c r="A448" t="inlineStr">
        <is>
          <t>archon-search</t>
        </is>
      </c>
      <c r="B448" t="inlineStr">
        <is>
          <t>/Users/manczg/Documents/development/archon-search/archon_search/server/mcp.py</t>
        </is>
      </c>
      <c r="C448" t="inlineStr">
        <is>
          <t>smells-02</t>
        </is>
      </c>
      <c r="D448" t="n">
        <v>604</v>
      </c>
      <c r="E448" t="inlineStr">
        <is>
          <t>async def search_with_context(</t>
        </is>
      </c>
    </row>
    <row r="449">
      <c r="A449" t="inlineStr">
        <is>
          <t>archon-search</t>
        </is>
      </c>
      <c r="B449" t="inlineStr">
        <is>
          <t>/Users/manczg/Documents/development/archon-search/archon_search/server/mcp.py</t>
        </is>
      </c>
      <c r="C449" t="inlineStr">
        <is>
          <t>smells-02</t>
        </is>
      </c>
      <c r="D449" t="n">
        <v>794</v>
      </c>
      <c r="E449" t="inlineStr">
        <is>
          <t>async def explain(</t>
        </is>
      </c>
    </row>
    <row r="450">
      <c r="A450" t="inlineStr">
        <is>
          <t>archon-search</t>
        </is>
      </c>
      <c r="B450" t="inlineStr">
        <is>
          <t>/Users/manczg/Documents/development/archon-search/archon_search/server/mcp.py</t>
        </is>
      </c>
      <c r="C450" t="inlineStr">
        <is>
          <t>smells-02</t>
        </is>
      </c>
      <c r="D450" t="n">
        <v>1137</v>
      </c>
      <c r="E450" t="inlineStr">
        <is>
          <t>async def ingest_file(</t>
        </is>
      </c>
    </row>
    <row r="451">
      <c r="A451" t="inlineStr">
        <is>
          <t>archon-search</t>
        </is>
      </c>
      <c r="B451" t="inlineStr">
        <is>
          <t>/Users/manczg/Documents/development/archon-search/archon_search/server/mcp.py</t>
        </is>
      </c>
      <c r="C451" t="inlineStr">
        <is>
          <t>smells-02</t>
        </is>
      </c>
      <c r="D451" t="n">
        <v>1193</v>
      </c>
      <c r="E451" t="inlineStr">
        <is>
          <t>async def ingest_directory(</t>
        </is>
      </c>
    </row>
    <row r="452">
      <c r="A452" t="inlineStr">
        <is>
          <t>archon-search</t>
        </is>
      </c>
      <c r="B452" t="inlineStr">
        <is>
          <t>/Users/manczg/Documents/development/archon-search/archon_search/server/mcp.py</t>
        </is>
      </c>
      <c r="C452" t="inlineStr">
        <is>
          <t>smells-02</t>
        </is>
      </c>
      <c r="D452" t="n">
        <v>1510</v>
      </c>
      <c r="E452" t="inlineStr">
        <is>
          <t>async def import_collection(</t>
        </is>
      </c>
    </row>
    <row r="453">
      <c r="A453" t="inlineStr">
        <is>
          <t>archon-search</t>
        </is>
      </c>
      <c r="B453" t="inlineStr">
        <is>
          <t>/Users/manczg/Documents/development/archon-search/archon_search/server/mcp.py</t>
        </is>
      </c>
      <c r="C453" t="inlineStr">
        <is>
          <t>smells-02</t>
        </is>
      </c>
      <c r="D453" t="n">
        <v>2112</v>
      </c>
      <c r="E453" t="inlineStr">
        <is>
          <t>async def graph_impact(</t>
        </is>
      </c>
    </row>
    <row r="454">
      <c r="A454" t="inlineStr">
        <is>
          <t>archon-search</t>
        </is>
      </c>
      <c r="B454" t="inlineStr">
        <is>
          <t>/Users/manczg/Documents/development/archon-search/archon_search/server/mcp.py</t>
        </is>
      </c>
      <c r="C454" t="inlineStr">
        <is>
          <t>smells-02</t>
        </is>
      </c>
      <c r="D454" t="n">
        <v>2187</v>
      </c>
      <c r="E454" t="inlineStr">
        <is>
          <t>def create_mcp_http_app(</t>
        </is>
      </c>
    </row>
    <row r="455">
      <c r="A455" t="inlineStr">
        <is>
          <t>archon-search</t>
        </is>
      </c>
      <c r="B455" t="inlineStr">
        <is>
          <t>/Users/manczg/Documents/development/archon-search/archon_search/server/mcp.py</t>
        </is>
      </c>
      <c r="C455" t="inlineStr">
        <is>
          <t>smells-03</t>
        </is>
      </c>
      <c r="D455" t="n">
        <v>296</v>
      </c>
      <c r="E455" t="inlineStr">
        <is>
          <t>include_metadata: bool = False,</t>
        </is>
      </c>
    </row>
    <row r="456">
      <c r="A456" t="inlineStr">
        <is>
          <t>archon-search</t>
        </is>
      </c>
      <c r="B456" t="inlineStr">
        <is>
          <t>/Users/manczg/Documents/development/archon-search/archon_search/server/mcp.py</t>
        </is>
      </c>
      <c r="C456" t="inlineStr">
        <is>
          <t>smells-03</t>
        </is>
      </c>
      <c r="D456" t="n">
        <v>303</v>
      </c>
      <c r="E456" t="inlineStr">
        <is>
          <t>hyde: bool = False,</t>
        </is>
      </c>
    </row>
    <row r="457">
      <c r="A457" t="inlineStr">
        <is>
          <t>archon-search</t>
        </is>
      </c>
      <c r="B457" t="inlineStr">
        <is>
          <t>/Users/manczg/Documents/development/archon-search/archon_search/server/mcp.py</t>
        </is>
      </c>
      <c r="C457" t="inlineStr">
        <is>
          <t>smells-03</t>
        </is>
      </c>
      <c r="D457" t="n">
        <v>304</v>
      </c>
      <c r="E457" t="inlineStr">
        <is>
          <t>rag_fusion: bool = False,</t>
        </is>
      </c>
    </row>
    <row r="458">
      <c r="A458" t="inlineStr">
        <is>
          <t>archon-search</t>
        </is>
      </c>
      <c r="B458" t="inlineStr">
        <is>
          <t>/Users/manczg/Documents/development/archon-search/archon_search/server/mcp.py</t>
        </is>
      </c>
      <c r="C458" t="inlineStr">
        <is>
          <t>smells-03</t>
        </is>
      </c>
      <c r="D458" t="n">
        <v>608</v>
      </c>
      <c r="E458" t="inlineStr">
        <is>
          <t>include_metadata: bool = False,</t>
        </is>
      </c>
    </row>
    <row r="459">
      <c r="A459" t="inlineStr">
        <is>
          <t>archon-search</t>
        </is>
      </c>
      <c r="B459" t="inlineStr">
        <is>
          <t>/Users/manczg/Documents/development/archon-search/archon_search/server/mcp.py</t>
        </is>
      </c>
      <c r="C459" t="inlineStr">
        <is>
          <t>smells-03</t>
        </is>
      </c>
      <c r="D459" t="n">
        <v>615</v>
      </c>
      <c r="E459" t="inlineStr">
        <is>
          <t>hyde: bool = False,</t>
        </is>
      </c>
    </row>
    <row r="460">
      <c r="A460" t="inlineStr">
        <is>
          <t>archon-search</t>
        </is>
      </c>
      <c r="B460" t="inlineStr">
        <is>
          <t>/Users/manczg/Documents/development/archon-search/archon_search/server/mcp.py</t>
        </is>
      </c>
      <c r="C460" t="inlineStr">
        <is>
          <t>smells-03</t>
        </is>
      </c>
      <c r="D460" t="n">
        <v>616</v>
      </c>
      <c r="E460" t="inlineStr">
        <is>
          <t>rag_fusion: bool = False,</t>
        </is>
      </c>
    </row>
    <row r="461">
      <c r="A461" t="inlineStr">
        <is>
          <t>archon-search</t>
        </is>
      </c>
      <c r="B461" t="inlineStr">
        <is>
          <t>/Users/manczg/Documents/development/archon-search/archon_search/server/mcp.py</t>
        </is>
      </c>
      <c r="C461" t="inlineStr">
        <is>
          <t>smells-03</t>
        </is>
      </c>
      <c r="D461" t="n">
        <v>799</v>
      </c>
      <c r="E461" t="inlineStr">
        <is>
          <t>rerank: bool = True,</t>
        </is>
      </c>
    </row>
    <row r="462">
      <c r="A462" t="inlineStr">
        <is>
          <t>archon-search</t>
        </is>
      </c>
      <c r="B462" t="inlineStr">
        <is>
          <t>/Users/manczg/Documents/development/archon-search/archon_search/server/mcp.py</t>
        </is>
      </c>
      <c r="C462" t="inlineStr">
        <is>
          <t>smells-03</t>
        </is>
      </c>
      <c r="D462" t="n">
        <v>800</v>
      </c>
      <c r="E462" t="inlineStr">
        <is>
          <t>hyde: bool = False,</t>
        </is>
      </c>
    </row>
    <row r="463">
      <c r="A463" t="inlineStr">
        <is>
          <t>archon-search</t>
        </is>
      </c>
      <c r="B463" t="inlineStr">
        <is>
          <t>/Users/manczg/Documents/development/archon-search/archon_search/server/mcp.py</t>
        </is>
      </c>
      <c r="C463" t="inlineStr">
        <is>
          <t>smells-03</t>
        </is>
      </c>
      <c r="D463" t="n">
        <v>801</v>
      </c>
      <c r="E463" t="inlineStr">
        <is>
          <t>rag_fusion: bool = False,</t>
        </is>
      </c>
    </row>
    <row r="464">
      <c r="A464" t="inlineStr">
        <is>
          <t>archon-search</t>
        </is>
      </c>
      <c r="B464" t="inlineStr">
        <is>
          <t>/Users/manczg/Documents/development/archon-search/archon_search/server/mcp.py</t>
        </is>
      </c>
      <c r="C464" t="inlineStr">
        <is>
          <t>smells-03</t>
        </is>
      </c>
      <c r="D464" t="n">
        <v>1275</v>
      </c>
      <c r="E464" t="inlineStr">
        <is>
          <t>include_description_embedding: bool = False,</t>
        </is>
      </c>
    </row>
    <row r="465">
      <c r="A465" t="inlineStr">
        <is>
          <t>archon-search</t>
        </is>
      </c>
      <c r="B465" t="inlineStr">
        <is>
          <t>/Users/manczg/Documents/development/archon-search/archon_search/server/mcp.py</t>
        </is>
      </c>
      <c r="C465" t="inlineStr">
        <is>
          <t>smells-03</t>
        </is>
      </c>
      <c r="D465" t="n">
        <v>1513</v>
      </c>
      <c r="E465" t="inlineStr">
        <is>
          <t>force_overwrite: bool = False,</t>
        </is>
      </c>
    </row>
    <row r="466">
      <c r="A466" t="inlineStr">
        <is>
          <t>archon-search</t>
        </is>
      </c>
      <c r="B466" t="inlineStr">
        <is>
          <t>/Users/manczg/Documents/development/archon-search/archon_search/server/mcp.py</t>
        </is>
      </c>
      <c r="C466" t="inlineStr">
        <is>
          <t>smells-03</t>
        </is>
      </c>
      <c r="D466" t="n">
        <v>1514</v>
      </c>
      <c r="E466" t="inlineStr">
        <is>
          <t>ignore_schema_version: bool = False,</t>
        </is>
      </c>
    </row>
    <row r="467">
      <c r="A467" t="inlineStr">
        <is>
          <t>archon-search</t>
        </is>
      </c>
      <c r="B467" t="inlineStr">
        <is>
          <t>/Users/manczg/Documents/development/archon-search/archon_search/server/mcp.py</t>
        </is>
      </c>
      <c r="C467" t="inlineStr">
        <is>
          <t>smells-08</t>
        </is>
      </c>
      <c r="D467" t="n">
        <v>135</v>
      </c>
      <c r="E467" t="inlineStr">
        <is>
          <t>return None</t>
        </is>
      </c>
    </row>
    <row r="468">
      <c r="A468" t="inlineStr">
        <is>
          <t>archon-search</t>
        </is>
      </c>
      <c r="B468" t="inlineStr">
        <is>
          <t>/Users/manczg/Documents/development/archon-search/archon_search/server/mcp.py</t>
        </is>
      </c>
      <c r="C468" t="inlineStr">
        <is>
          <t>smells-08</t>
        </is>
      </c>
      <c r="D468" t="n">
        <v>170</v>
      </c>
      <c r="E468" t="inlineStr">
        <is>
          <t>return None</t>
        </is>
      </c>
    </row>
    <row r="469">
      <c r="A469" t="inlineStr">
        <is>
          <t>archon-search</t>
        </is>
      </c>
      <c r="B469" t="inlineStr">
        <is>
          <t>/Users/manczg/Documents/development/archon-search/archon_search/server/mcp.py</t>
        </is>
      </c>
      <c r="C469" t="inlineStr">
        <is>
          <t>smells-08</t>
        </is>
      </c>
      <c r="D469" t="n">
        <v>235</v>
      </c>
      <c r="E469" t="inlineStr">
        <is>
          <t>meta: Any = None,  # pre-fetched CollectionMeta; skips the get_collection_meta call</t>
        </is>
      </c>
    </row>
    <row r="470">
      <c r="A470" t="inlineStr">
        <is>
          <t>archon-search</t>
        </is>
      </c>
      <c r="B470" t="inlineStr">
        <is>
          <t>/Users/manczg/Documents/development/archon-search/archon_search/server/mcp.py</t>
        </is>
      </c>
      <c r="C470" t="inlineStr">
        <is>
          <t>smells-08</t>
        </is>
      </c>
      <c r="D470" t="n">
        <v>261</v>
      </c>
      <c r="E470" t="inlineStr">
        <is>
          <t>writer: TelemetryWriter | None = None,</t>
        </is>
      </c>
    </row>
    <row r="471">
      <c r="A471" t="inlineStr">
        <is>
          <t>archon-search</t>
        </is>
      </c>
      <c r="B471" t="inlineStr">
        <is>
          <t>/Users/manczg/Documents/development/archon-search/archon_search/server/mcp.py</t>
        </is>
      </c>
      <c r="C471" t="inlineStr">
        <is>
          <t>smells-08</t>
        </is>
      </c>
      <c r="D471" t="n">
        <v>262</v>
      </c>
      <c r="E471" t="inlineStr">
        <is>
          <t>config: SearchConfig | None = None,</t>
        </is>
      </c>
    </row>
    <row r="472">
      <c r="A472" t="inlineStr">
        <is>
          <t>archon-search</t>
        </is>
      </c>
      <c r="B472" t="inlineStr">
        <is>
          <t>/Users/manczg/Documents/development/archon-search/archon_search/server/mcp.py</t>
        </is>
      </c>
      <c r="C472" t="inlineStr">
        <is>
          <t>smells-08</t>
        </is>
      </c>
      <c r="D472" t="n">
        <v>263</v>
      </c>
      <c r="E472" t="inlineStr">
        <is>
          <t>embedder_cache: EmbedderCache | None = None,</t>
        </is>
      </c>
    </row>
    <row r="473">
      <c r="A473" t="inlineStr">
        <is>
          <t>archon-search</t>
        </is>
      </c>
      <c r="B473" t="inlineStr">
        <is>
          <t>/Users/manczg/Documents/development/archon-search/archon_search/server/mcp.py</t>
        </is>
      </c>
      <c r="C473" t="inlineStr">
        <is>
          <t>smells-08</t>
        </is>
      </c>
      <c r="D473" t="n">
        <v>264</v>
      </c>
      <c r="E473" t="inlineStr">
        <is>
          <t>job_store: JobStore | None = None,</t>
        </is>
      </c>
    </row>
    <row r="474">
      <c r="A474" t="inlineStr">
        <is>
          <t>archon-search</t>
        </is>
      </c>
      <c r="B474" t="inlineStr">
        <is>
          <t>/Users/manczg/Documents/development/archon-search/archon_search/server/mcp.py</t>
        </is>
      </c>
      <c r="C474" t="inlineStr">
        <is>
          <t>smells-08</t>
        </is>
      </c>
      <c r="D474" t="n">
        <v>265</v>
      </c>
      <c r="E474" t="inlineStr">
        <is>
          <t>hyde_generator: "HyDEGenerator | None" = None,</t>
        </is>
      </c>
    </row>
    <row r="475">
      <c r="A475" t="inlineStr">
        <is>
          <t>archon-search</t>
        </is>
      </c>
      <c r="B475" t="inlineStr">
        <is>
          <t>/Users/manczg/Documents/development/archon-search/archon_search/server/mcp.py</t>
        </is>
      </c>
      <c r="C475" t="inlineStr">
        <is>
          <t>smells-08</t>
        </is>
      </c>
      <c r="D475" t="n">
        <v>266</v>
      </c>
      <c r="E475" t="inlineStr">
        <is>
          <t>rag_fusion_generator: "RAGFusionGenerator | None" = None,</t>
        </is>
      </c>
    </row>
    <row r="476">
      <c r="A476" t="inlineStr">
        <is>
          <t>archon-search</t>
        </is>
      </c>
      <c r="B476" t="inlineStr">
        <is>
          <t>/Users/manczg/Documents/development/archon-search/archon_search/server/mcp.py</t>
        </is>
      </c>
      <c r="C476" t="inlineStr">
        <is>
          <t>smells-08</t>
        </is>
      </c>
      <c r="D476" t="n">
        <v>267</v>
      </c>
      <c r="E476" t="inlineStr">
        <is>
          <t>key_store: "KeyStore | None" = None,</t>
        </is>
      </c>
    </row>
    <row r="477">
      <c r="A477" t="inlineStr">
        <is>
          <t>archon-search</t>
        </is>
      </c>
      <c r="B477" t="inlineStr">
        <is>
          <t>/Users/manczg/Documents/development/archon-search/archon_search/server/mcp.py</t>
        </is>
      </c>
      <c r="C477" t="inlineStr">
        <is>
          <t>smells-08</t>
        </is>
      </c>
      <c r="D477" t="n">
        <v>268</v>
      </c>
      <c r="E477" t="inlineStr">
        <is>
          <t>doc_id_hasher: Callable[[str], str] | None = None,</t>
        </is>
      </c>
    </row>
    <row r="478">
      <c r="A478" t="inlineStr">
        <is>
          <t>archon-search</t>
        </is>
      </c>
      <c r="B478" t="inlineStr">
        <is>
          <t>/Users/manczg/Documents/development/archon-search/archon_search/server/mcp.py</t>
        </is>
      </c>
      <c r="C478" t="inlineStr">
        <is>
          <t>smells-08</t>
        </is>
      </c>
      <c r="D478" t="n">
        <v>269</v>
      </c>
      <c r="E478" t="inlineStr">
        <is>
          <t>graph_store: "GraphStore | None" = None,</t>
        </is>
      </c>
    </row>
    <row r="479">
      <c r="A479" t="inlineStr">
        <is>
          <t>archon-search</t>
        </is>
      </c>
      <c r="B479" t="inlineStr">
        <is>
          <t>/Users/manczg/Documents/development/archon-search/archon_search/server/mcp.py</t>
        </is>
      </c>
      <c r="C479" t="inlineStr">
        <is>
          <t>smells-08</t>
        </is>
      </c>
      <c r="D479" t="n">
        <v>294</v>
      </c>
      <c r="E479" t="inlineStr">
        <is>
          <t>collection: str | None = None,</t>
        </is>
      </c>
    </row>
    <row r="480">
      <c r="A480" t="inlineStr">
        <is>
          <t>archon-search</t>
        </is>
      </c>
      <c r="B480" t="inlineStr">
        <is>
          <t>/Users/manczg/Documents/development/archon-search/archon_search/server/mcp.py</t>
        </is>
      </c>
      <c r="C480" t="inlineStr">
        <is>
          <t>smells-08</t>
        </is>
      </c>
      <c r="D480" t="n">
        <v>295</v>
      </c>
      <c r="E480" t="inlineStr">
        <is>
          <t>collections: list[str] | None = None,</t>
        </is>
      </c>
    </row>
    <row r="481">
      <c r="A481" t="inlineStr">
        <is>
          <t>archon-search</t>
        </is>
      </c>
      <c r="B481" t="inlineStr">
        <is>
          <t>/Users/manczg/Documents/development/archon-search/archon_search/server/mcp.py</t>
        </is>
      </c>
      <c r="C481" t="inlineStr">
        <is>
          <t>smells-08</t>
        </is>
      </c>
      <c r="D481" t="n">
        <v>297</v>
      </c>
      <c r="E481" t="inlineStr">
        <is>
          <t>file_type: str | None = None,</t>
        </is>
      </c>
    </row>
    <row r="482">
      <c r="A482" t="inlineStr">
        <is>
          <t>archon-search</t>
        </is>
      </c>
      <c r="B482" t="inlineStr">
        <is>
          <t>/Users/manczg/Documents/development/archon-search/archon_search/server/mcp.py</t>
        </is>
      </c>
      <c r="C482" t="inlineStr">
        <is>
          <t>smells-08</t>
        </is>
      </c>
      <c r="D482" t="n">
        <v>298</v>
      </c>
      <c r="E482" t="inlineStr">
        <is>
          <t>source_path_prefix: str | None = None,</t>
        </is>
      </c>
    </row>
    <row r="483">
      <c r="A483" t="inlineStr">
        <is>
          <t>archon-search</t>
        </is>
      </c>
      <c r="B483" t="inlineStr">
        <is>
          <t>/Users/manczg/Documents/development/archon-search/archon_search/server/mcp.py</t>
        </is>
      </c>
      <c r="C483" t="inlineStr">
        <is>
          <t>smells-08</t>
        </is>
      </c>
      <c r="D483" t="n">
        <v>299</v>
      </c>
      <c r="E483" t="inlineStr">
        <is>
          <t>source_path_glob: str | None = None,</t>
        </is>
      </c>
    </row>
    <row r="484">
      <c r="A484" t="inlineStr">
        <is>
          <t>archon-search</t>
        </is>
      </c>
      <c r="B484" t="inlineStr">
        <is>
          <t>/Users/manczg/Documents/development/archon-search/archon_search/server/mcp.py</t>
        </is>
      </c>
      <c r="C484" t="inlineStr">
        <is>
          <t>smells-08</t>
        </is>
      </c>
      <c r="D484" t="n">
        <v>300</v>
      </c>
      <c r="E484" t="inlineStr">
        <is>
          <t>indexed_after: str | None = None,</t>
        </is>
      </c>
    </row>
    <row r="485">
      <c r="A485" t="inlineStr">
        <is>
          <t>archon-search</t>
        </is>
      </c>
      <c r="B485" t="inlineStr">
        <is>
          <t>/Users/manczg/Documents/development/archon-search/archon_search/server/mcp.py</t>
        </is>
      </c>
      <c r="C485" t="inlineStr">
        <is>
          <t>smells-08</t>
        </is>
      </c>
      <c r="D485" t="n">
        <v>301</v>
      </c>
      <c r="E485" t="inlineStr">
        <is>
          <t>indexed_before: str | None = None,</t>
        </is>
      </c>
    </row>
    <row r="486">
      <c r="A486" t="inlineStr">
        <is>
          <t>archon-search</t>
        </is>
      </c>
      <c r="B486" t="inlineStr">
        <is>
          <t>/Users/manczg/Documents/development/archon-search/archon_search/server/mcp.py</t>
        </is>
      </c>
      <c r="C486" t="inlineStr">
        <is>
          <t>smells-08</t>
        </is>
      </c>
      <c r="D486" t="n">
        <v>302</v>
      </c>
      <c r="E486" t="inlineStr">
        <is>
          <t>language: _LanguageParamSearch = None,</t>
        </is>
      </c>
    </row>
    <row r="487">
      <c r="A487" t="inlineStr">
        <is>
          <t>archon-search</t>
        </is>
      </c>
      <c r="B487" t="inlineStr">
        <is>
          <t>/Users/manczg/Documents/development/archon-search/archon_search/server/mcp.py</t>
        </is>
      </c>
      <c r="C487" t="inlineStr">
        <is>
          <t>smells-08</t>
        </is>
      </c>
      <c r="D487" t="n">
        <v>305</v>
      </c>
      <c r="E487" t="inlineStr">
        <is>
          <t>graph_mode: str | None = None,</t>
        </is>
      </c>
    </row>
    <row r="488">
      <c r="A488" t="inlineStr">
        <is>
          <t>archon-search</t>
        </is>
      </c>
      <c r="B488" t="inlineStr">
        <is>
          <t>/Users/manczg/Documents/development/archon-search/archon_search/server/mcp.py</t>
        </is>
      </c>
      <c r="C488" t="inlineStr">
        <is>
          <t>smells-08</t>
        </is>
      </c>
      <c r="D488" t="n">
        <v>306</v>
      </c>
      <c r="E488" t="inlineStr">
        <is>
          <t>scope_filter: str | None = None,</t>
        </is>
      </c>
    </row>
    <row r="489">
      <c r="A489" t="inlineStr">
        <is>
          <t>archon-search</t>
        </is>
      </c>
      <c r="B489" t="inlineStr">
        <is>
          <t>/Users/manczg/Documents/development/archon-search/archon_search/server/mcp.py</t>
        </is>
      </c>
      <c r="C489" t="inlineStr">
        <is>
          <t>smells-08</t>
        </is>
      </c>
      <c r="D489" t="n">
        <v>606</v>
      </c>
      <c r="E489" t="inlineStr">
        <is>
          <t>collection: str | None = None,</t>
        </is>
      </c>
    </row>
    <row r="490">
      <c r="A490" t="inlineStr">
        <is>
          <t>archon-search</t>
        </is>
      </c>
      <c r="B490" t="inlineStr">
        <is>
          <t>/Users/manczg/Documents/development/archon-search/archon_search/server/mcp.py</t>
        </is>
      </c>
      <c r="C490" t="inlineStr">
        <is>
          <t>smells-08</t>
        </is>
      </c>
      <c r="D490" t="n">
        <v>609</v>
      </c>
      <c r="E490" t="inlineStr">
        <is>
          <t>file_type: str | None = None,</t>
        </is>
      </c>
    </row>
    <row r="491">
      <c r="A491" t="inlineStr">
        <is>
          <t>archon-search</t>
        </is>
      </c>
      <c r="B491" t="inlineStr">
        <is>
          <t>/Users/manczg/Documents/development/archon-search/archon_search/server/mcp.py</t>
        </is>
      </c>
      <c r="C491" t="inlineStr">
        <is>
          <t>smells-08</t>
        </is>
      </c>
      <c r="D491" t="n">
        <v>610</v>
      </c>
      <c r="E491" t="inlineStr">
        <is>
          <t>source_path_prefix: str | None = None,</t>
        </is>
      </c>
    </row>
    <row r="492">
      <c r="A492" t="inlineStr">
        <is>
          <t>archon-search</t>
        </is>
      </c>
      <c r="B492" t="inlineStr">
        <is>
          <t>/Users/manczg/Documents/development/archon-search/archon_search/server/mcp.py</t>
        </is>
      </c>
      <c r="C492" t="inlineStr">
        <is>
          <t>smells-08</t>
        </is>
      </c>
      <c r="D492" t="n">
        <v>611</v>
      </c>
      <c r="E492" t="inlineStr">
        <is>
          <t>source_path_glob: str | None = None,</t>
        </is>
      </c>
    </row>
    <row r="493">
      <c r="A493" t="inlineStr">
        <is>
          <t>archon-search</t>
        </is>
      </c>
      <c r="B493" t="inlineStr">
        <is>
          <t>/Users/manczg/Documents/development/archon-search/archon_search/server/mcp.py</t>
        </is>
      </c>
      <c r="C493" t="inlineStr">
        <is>
          <t>smells-08</t>
        </is>
      </c>
      <c r="D493" t="n">
        <v>612</v>
      </c>
      <c r="E493" t="inlineStr">
        <is>
          <t>indexed_after: str | None = None,</t>
        </is>
      </c>
    </row>
    <row r="494">
      <c r="A494" t="inlineStr">
        <is>
          <t>archon-search</t>
        </is>
      </c>
      <c r="B494" t="inlineStr">
        <is>
          <t>/Users/manczg/Documents/development/archon-search/archon_search/server/mcp.py</t>
        </is>
      </c>
      <c r="C494" t="inlineStr">
        <is>
          <t>smells-08</t>
        </is>
      </c>
      <c r="D494" t="n">
        <v>613</v>
      </c>
      <c r="E494" t="inlineStr">
        <is>
          <t>indexed_before: str | None = None,</t>
        </is>
      </c>
    </row>
    <row r="495">
      <c r="A495" t="inlineStr">
        <is>
          <t>archon-search</t>
        </is>
      </c>
      <c r="B495" t="inlineStr">
        <is>
          <t>/Users/manczg/Documents/development/archon-search/archon_search/server/mcp.py</t>
        </is>
      </c>
      <c r="C495" t="inlineStr">
        <is>
          <t>smells-08</t>
        </is>
      </c>
      <c r="D495" t="n">
        <v>614</v>
      </c>
      <c r="E495" t="inlineStr">
        <is>
          <t>language: _LanguageParamSearchWithContext = None,</t>
        </is>
      </c>
    </row>
    <row r="496">
      <c r="A496" t="inlineStr">
        <is>
          <t>archon-search</t>
        </is>
      </c>
      <c r="B496" t="inlineStr">
        <is>
          <t>/Users/manczg/Documents/development/archon-search/archon_search/server/mcp.py</t>
        </is>
      </c>
      <c r="C496" t="inlineStr">
        <is>
          <t>smells-08</t>
        </is>
      </c>
      <c r="D496" t="n">
        <v>617</v>
      </c>
      <c r="E496" t="inlineStr">
        <is>
          <t>graph_mode: str | None = None,</t>
        </is>
      </c>
    </row>
    <row r="497">
      <c r="A497" t="inlineStr">
        <is>
          <t>archon-search</t>
        </is>
      </c>
      <c r="B497" t="inlineStr">
        <is>
          <t>/Users/manczg/Documents/development/archon-search/archon_search/server/mcp.py</t>
        </is>
      </c>
      <c r="C497" t="inlineStr">
        <is>
          <t>smells-08</t>
        </is>
      </c>
      <c r="D497" t="n">
        <v>618</v>
      </c>
      <c r="E497" t="inlineStr">
        <is>
          <t>scope_filter: str | None = None,</t>
        </is>
      </c>
    </row>
    <row r="498">
      <c r="A498" t="inlineStr">
        <is>
          <t>archon-search</t>
        </is>
      </c>
      <c r="B498" t="inlineStr">
        <is>
          <t>/Users/manczg/Documents/development/archon-search/archon_search/server/mcp.py</t>
        </is>
      </c>
      <c r="C498" t="inlineStr">
        <is>
          <t>smells-08</t>
        </is>
      </c>
      <c r="D498" t="n">
        <v>796</v>
      </c>
      <c r="E498" t="inlineStr">
        <is>
          <t>collection: str | None = None,</t>
        </is>
      </c>
    </row>
    <row r="499">
      <c r="A499" t="inlineStr">
        <is>
          <t>archon-search</t>
        </is>
      </c>
      <c r="B499" t="inlineStr">
        <is>
          <t>/Users/manczg/Documents/development/archon-search/archon_search/server/mcp.py</t>
        </is>
      </c>
      <c r="C499" t="inlineStr">
        <is>
          <t>smells-08</t>
        </is>
      </c>
      <c r="D499" t="n">
        <v>797</v>
      </c>
      <c r="E499" t="inlineStr">
        <is>
          <t>collections: list[str] | None = None,</t>
        </is>
      </c>
    </row>
    <row r="500">
      <c r="A500" t="inlineStr">
        <is>
          <t>archon-search</t>
        </is>
      </c>
      <c r="B500" t="inlineStr">
        <is>
          <t>/Users/manczg/Documents/development/archon-search/archon_search/server/mcp.py</t>
        </is>
      </c>
      <c r="C500" t="inlineStr">
        <is>
          <t>smells-08</t>
        </is>
      </c>
      <c r="D500" t="n">
        <v>802</v>
      </c>
      <c r="E500" t="inlineStr">
        <is>
          <t>graph_mode: str | None = None,</t>
        </is>
      </c>
    </row>
    <row r="501">
      <c r="A501" t="inlineStr">
        <is>
          <t>archon-search</t>
        </is>
      </c>
      <c r="B501" t="inlineStr">
        <is>
          <t>/Users/manczg/Documents/development/archon-search/archon_search/server/mcp.py</t>
        </is>
      </c>
      <c r="C501" t="inlineStr">
        <is>
          <t>smells-08</t>
        </is>
      </c>
      <c r="D501" t="n">
        <v>803</v>
      </c>
      <c r="E501" t="inlineStr">
        <is>
          <t>scope_filter: str | None = None,</t>
        </is>
      </c>
    </row>
    <row r="502">
      <c r="A502" t="inlineStr">
        <is>
          <t>archon-search</t>
        </is>
      </c>
      <c r="B502" t="inlineStr">
        <is>
          <t>/Users/manczg/Documents/development/archon-search/archon_search/server/mcp.py</t>
        </is>
      </c>
      <c r="C502" t="inlineStr">
        <is>
          <t>smells-08</t>
        </is>
      </c>
      <c r="D502" t="n">
        <v>1139</v>
      </c>
      <c r="E502" t="inlineStr">
        <is>
          <t>collection: str | None = None,</t>
        </is>
      </c>
    </row>
    <row r="503">
      <c r="A503" t="inlineStr">
        <is>
          <t>archon-search</t>
        </is>
      </c>
      <c r="B503" t="inlineStr">
        <is>
          <t>/Users/manczg/Documents/development/archon-search/archon_search/server/mcp.py</t>
        </is>
      </c>
      <c r="C503" t="inlineStr">
        <is>
          <t>smells-08</t>
        </is>
      </c>
      <c r="D503" t="n">
        <v>1140</v>
      </c>
      <c r="E503" t="inlineStr">
        <is>
          <t>chunk_ttl_seconds: int | None = None,</t>
        </is>
      </c>
    </row>
    <row r="504">
      <c r="A504" t="inlineStr">
        <is>
          <t>archon-search</t>
        </is>
      </c>
      <c r="B504" t="inlineStr">
        <is>
          <t>/Users/manczg/Documents/development/archon-search/archon_search/server/mcp.py</t>
        </is>
      </c>
      <c r="C504" t="inlineStr">
        <is>
          <t>smells-08</t>
        </is>
      </c>
      <c r="D504" t="n">
        <v>1141</v>
      </c>
      <c r="E504" t="inlineStr">
        <is>
          <t>chunk_scopes: list[str] | None = None,</t>
        </is>
      </c>
    </row>
    <row r="505">
      <c r="A505" t="inlineStr">
        <is>
          <t>archon-search</t>
        </is>
      </c>
      <c r="B505" t="inlineStr">
        <is>
          <t>/Users/manczg/Documents/development/archon-search/archon_search/server/mcp.py</t>
        </is>
      </c>
      <c r="C505" t="inlineStr">
        <is>
          <t>smells-08</t>
        </is>
      </c>
      <c r="D505" t="n">
        <v>1196</v>
      </c>
      <c r="E505" t="inlineStr">
        <is>
          <t>collection: str | None = None,</t>
        </is>
      </c>
    </row>
    <row r="506">
      <c r="A506" t="inlineStr">
        <is>
          <t>archon-search</t>
        </is>
      </c>
      <c r="B506" t="inlineStr">
        <is>
          <t>/Users/manczg/Documents/development/archon-search/archon_search/server/mcp.py</t>
        </is>
      </c>
      <c r="C506" t="inlineStr">
        <is>
          <t>smells-08</t>
        </is>
      </c>
      <c r="D506" t="n">
        <v>1197</v>
      </c>
      <c r="E506" t="inlineStr">
        <is>
          <t>ctx: Context | None = None,</t>
        </is>
      </c>
    </row>
    <row r="507">
      <c r="A507" t="inlineStr">
        <is>
          <t>archon-search</t>
        </is>
      </c>
      <c r="B507" t="inlineStr">
        <is>
          <t>/Users/manczg/Documents/development/archon-search/archon_search/server/mcp.py</t>
        </is>
      </c>
      <c r="C507" t="inlineStr">
        <is>
          <t>smells-08</t>
        </is>
      </c>
      <c r="D507" t="n">
        <v>1198</v>
      </c>
      <c r="E507" t="inlineStr">
        <is>
          <t>chunk_ttl_seconds: int | None = None,</t>
        </is>
      </c>
    </row>
    <row r="508">
      <c r="A508" t="inlineStr">
        <is>
          <t>archon-search</t>
        </is>
      </c>
      <c r="B508" t="inlineStr">
        <is>
          <t>/Users/manczg/Documents/development/archon-search/archon_search/server/mcp.py</t>
        </is>
      </c>
      <c r="C508" t="inlineStr">
        <is>
          <t>smells-08</t>
        </is>
      </c>
      <c r="D508" t="n">
        <v>1199</v>
      </c>
      <c r="E508" t="inlineStr">
        <is>
          <t>chunk_scopes: list[str] | None = None,</t>
        </is>
      </c>
    </row>
    <row r="509">
      <c r="A509" t="inlineStr">
        <is>
          <t>archon-search</t>
        </is>
      </c>
      <c r="B509" t="inlineStr">
        <is>
          <t>/Users/manczg/Documents/development/archon-search/archon_search/server/mcp.py</t>
        </is>
      </c>
      <c r="C509" t="inlineStr">
        <is>
          <t>smells-08</t>
        </is>
      </c>
      <c r="D509" t="n">
        <v>1316</v>
      </c>
      <c r="E509" t="inlineStr">
        <is>
          <t>collection: str | None = None,</t>
        </is>
      </c>
    </row>
    <row r="510">
      <c r="A510" t="inlineStr">
        <is>
          <t>archon-search</t>
        </is>
      </c>
      <c r="B510" t="inlineStr">
        <is>
          <t>/Users/manczg/Documents/development/archon-search/archon_search/server/mcp.py</t>
        </is>
      </c>
      <c r="C510" t="inlineStr">
        <is>
          <t>smells-08</t>
        </is>
      </c>
      <c r="D510" t="n">
        <v>1318</v>
      </c>
      <c r="E510" t="inlineStr">
        <is>
          <t>cursor: str | None = None,</t>
        </is>
      </c>
    </row>
    <row r="511">
      <c r="A511" t="inlineStr">
        <is>
          <t>archon-search</t>
        </is>
      </c>
      <c r="B511" t="inlineStr">
        <is>
          <t>/Users/manczg/Documents/development/archon-search/archon_search/server/mcp.py</t>
        </is>
      </c>
      <c r="C511" t="inlineStr">
        <is>
          <t>smells-08</t>
        </is>
      </c>
      <c r="D511" t="n">
        <v>1336</v>
      </c>
      <c r="E511" t="inlineStr">
        <is>
          <t>collection: str | None = None,</t>
        </is>
      </c>
    </row>
    <row r="512">
      <c r="A512" t="inlineStr">
        <is>
          <t>archon-search</t>
        </is>
      </c>
      <c r="B512" t="inlineStr">
        <is>
          <t>/Users/manczg/Documents/development/archon-search/archon_search/server/mcp.py</t>
        </is>
      </c>
      <c r="C512" t="inlineStr">
        <is>
          <t>smells-08</t>
        </is>
      </c>
      <c r="D512" t="n">
        <v>1337</v>
      </c>
      <c r="E512" t="inlineStr">
        <is>
          <t>namespace: str | None = None,</t>
        </is>
      </c>
    </row>
    <row r="513">
      <c r="A513" t="inlineStr">
        <is>
          <t>archon-search</t>
        </is>
      </c>
      <c r="B513" t="inlineStr">
        <is>
          <t>/Users/manczg/Documents/development/archon-search/archon_search/server/mcp.py</t>
        </is>
      </c>
      <c r="C513" t="inlineStr">
        <is>
          <t>smells-08</t>
        </is>
      </c>
      <c r="D513" t="n">
        <v>1626</v>
      </c>
      <c r="E513" t="inlineStr">
        <is>
          <t>label: str | None = None,</t>
        </is>
      </c>
    </row>
    <row r="514">
      <c r="A514" t="inlineStr">
        <is>
          <t>archon-search</t>
        </is>
      </c>
      <c r="B514" t="inlineStr">
        <is>
          <t>/Users/manczg/Documents/development/archon-search/archon_search/server/mcp.py</t>
        </is>
      </c>
      <c r="C514" t="inlineStr">
        <is>
          <t>smells-08</t>
        </is>
      </c>
      <c r="D514" t="n">
        <v>1627</v>
      </c>
      <c r="E514" t="inlineStr">
        <is>
          <t>expires_at: str | None = None,</t>
        </is>
      </c>
    </row>
    <row r="515">
      <c r="A515" t="inlineStr">
        <is>
          <t>archon-search</t>
        </is>
      </c>
      <c r="B515" t="inlineStr">
        <is>
          <t>/Users/manczg/Documents/development/archon-search/archon_search/server/mcp.py</t>
        </is>
      </c>
      <c r="C515" t="inlineStr">
        <is>
          <t>smells-08</t>
        </is>
      </c>
      <c r="D515" t="n">
        <v>1681</v>
      </c>
      <c r="E515" t="inlineStr">
        <is>
          <t>namespace: str | None = None,</t>
        </is>
      </c>
    </row>
    <row r="516">
      <c r="A516" t="inlineStr">
        <is>
          <t>archon-search</t>
        </is>
      </c>
      <c r="B516" t="inlineStr">
        <is>
          <t>/Users/manczg/Documents/development/archon-search/archon_search/server/mcp.py</t>
        </is>
      </c>
      <c r="C516" t="inlineStr">
        <is>
          <t>smells-08</t>
        </is>
      </c>
      <c r="D516" t="n">
        <v>1755</v>
      </c>
      <c r="E516" t="inlineStr">
        <is>
          <t>async def rotate_key(grace_seconds: int | None = None) -&gt; dict[str, Any]:</t>
        </is>
      </c>
    </row>
    <row r="517">
      <c r="A517" t="inlineStr">
        <is>
          <t>archon-search</t>
        </is>
      </c>
      <c r="B517" t="inlineStr">
        <is>
          <t>/Users/manczg/Documents/development/archon-search/archon_search/server/mcp.py</t>
        </is>
      </c>
      <c r="C517" t="inlineStr">
        <is>
          <t>smells-08</t>
        </is>
      </c>
      <c r="D517" t="n">
        <v>1865</v>
      </c>
      <c r="E517" t="inlineStr">
        <is>
          <t>) -&gt; tuple[dict[str, Any] | None, int]:</t>
        </is>
      </c>
    </row>
    <row r="518">
      <c r="A518" t="inlineStr">
        <is>
          <t>archon-search</t>
        </is>
      </c>
      <c r="B518" t="inlineStr">
        <is>
          <t>/Users/manczg/Documents/development/archon-search/archon_search/server/mcp.py</t>
        </is>
      </c>
      <c r="C518" t="inlineStr">
        <is>
          <t>smells-08</t>
        </is>
      </c>
      <c r="D518" t="n">
        <v>1873</v>
      </c>
      <c r="E518" t="inlineStr">
        <is>
          <t>return None, 1</t>
        </is>
      </c>
    </row>
    <row r="519">
      <c r="A519" t="inlineStr">
        <is>
          <t>archon-search</t>
        </is>
      </c>
      <c r="B519" t="inlineStr">
        <is>
          <t>/Users/manczg/Documents/development/archon-search/archon_search/server/mcp.py</t>
        </is>
      </c>
      <c r="C519" t="inlineStr">
        <is>
          <t>smells-08</t>
        </is>
      </c>
      <c r="D519" t="n">
        <v>1904</v>
      </c>
      <c r="E519" t="inlineStr">
        <is>
          <t>salience_mode: Literal["frequency", "tfidf", "importance"] | None = None,</t>
        </is>
      </c>
    </row>
    <row r="520">
      <c r="A520" t="inlineStr">
        <is>
          <t>archon-search</t>
        </is>
      </c>
      <c r="B520" t="inlineStr">
        <is>
          <t>/Users/manczg/Documents/development/archon-search/archon_search/server/mcp.py</t>
        </is>
      </c>
      <c r="C520" t="inlineStr">
        <is>
          <t>smells-08</t>
        </is>
      </c>
      <c r="D520" t="n">
        <v>1989</v>
      </c>
      <c r="E520" t="inlineStr">
        <is>
          <t>salience_mode: Literal["frequency", "tfidf", "importance"] | None = None,</t>
        </is>
      </c>
    </row>
    <row r="521">
      <c r="A521" t="inlineStr">
        <is>
          <t>archon-search</t>
        </is>
      </c>
      <c r="B521" t="inlineStr">
        <is>
          <t>/Users/manczg/Documents/development/archon-search/archon_search/server/mcp.py</t>
        </is>
      </c>
      <c r="C521" t="inlineStr">
        <is>
          <t>smells-08</t>
        </is>
      </c>
      <c r="D521" t="n">
        <v>2115</v>
      </c>
      <c r="E521" t="inlineStr">
        <is>
          <t>file_path: str | None = None,</t>
        </is>
      </c>
    </row>
    <row r="522">
      <c r="A522" t="inlineStr">
        <is>
          <t>archon-search</t>
        </is>
      </c>
      <c r="B522" t="inlineStr">
        <is>
          <t>/Users/manczg/Documents/development/archon-search/archon_search/server/mcp.py</t>
        </is>
      </c>
      <c r="C522" t="inlineStr">
        <is>
          <t>smells-08</t>
        </is>
      </c>
      <c r="D522" t="n">
        <v>2116</v>
      </c>
      <c r="E522" t="inlineStr">
        <is>
          <t>depth: int | None = None,</t>
        </is>
      </c>
    </row>
    <row r="523">
      <c r="A523" t="inlineStr">
        <is>
          <t>archon-search</t>
        </is>
      </c>
      <c r="B523" t="inlineStr">
        <is>
          <t>/Users/manczg/Documents/development/archon-search/archon_search/server/mcp.py</t>
        </is>
      </c>
      <c r="C523" t="inlineStr">
        <is>
          <t>smells-08</t>
        </is>
      </c>
      <c r="D523" t="n">
        <v>2117</v>
      </c>
      <c r="E523" t="inlineStr">
        <is>
          <t>direction: str | None = None,</t>
        </is>
      </c>
    </row>
    <row r="524">
      <c r="A524" t="inlineStr">
        <is>
          <t>archon-search</t>
        </is>
      </c>
      <c r="B524" t="inlineStr">
        <is>
          <t>/Users/manczg/Documents/development/archon-search/archon_search/server/mcp.py</t>
        </is>
      </c>
      <c r="C524" t="inlineStr">
        <is>
          <t>smells-08</t>
        </is>
      </c>
      <c r="D524" t="n">
        <v>2118</v>
      </c>
      <c r="E524" t="inlineStr">
        <is>
          <t>extraction_method_filter: str | None = None,</t>
        </is>
      </c>
    </row>
    <row r="525">
      <c r="A525" t="inlineStr">
        <is>
          <t>archon-search</t>
        </is>
      </c>
      <c r="B525" t="inlineStr">
        <is>
          <t>/Users/manczg/Documents/development/archon-search/archon_search/server/mcp.py</t>
        </is>
      </c>
      <c r="C525" t="inlineStr">
        <is>
          <t>smells-08</t>
        </is>
      </c>
      <c r="D525" t="n">
        <v>2190</v>
      </c>
      <c r="E525" t="inlineStr">
        <is>
          <t>writer: TelemetryWriter | None = None,</t>
        </is>
      </c>
    </row>
    <row r="526">
      <c r="A526" t="inlineStr">
        <is>
          <t>archon-search</t>
        </is>
      </c>
      <c r="B526" t="inlineStr">
        <is>
          <t>/Users/manczg/Documents/development/archon-search/archon_search/server/mcp.py</t>
        </is>
      </c>
      <c r="C526" t="inlineStr">
        <is>
          <t>smells-08</t>
        </is>
      </c>
      <c r="D526" t="n">
        <v>2191</v>
      </c>
      <c r="E526" t="inlineStr">
        <is>
          <t>config: SearchConfig | None = None,</t>
        </is>
      </c>
    </row>
    <row r="527">
      <c r="A527" t="inlineStr">
        <is>
          <t>archon-search</t>
        </is>
      </c>
      <c r="B527" t="inlineStr">
        <is>
          <t>/Users/manczg/Documents/development/archon-search/archon_search/server/mcp.py</t>
        </is>
      </c>
      <c r="C527" t="inlineStr">
        <is>
          <t>smells-08</t>
        </is>
      </c>
      <c r="D527" t="n">
        <v>2193</v>
      </c>
      <c r="E527" t="inlineStr">
        <is>
          <t>embedder_cache: EmbedderCache | None = None,</t>
        </is>
      </c>
    </row>
    <row r="528">
      <c r="A528" t="inlineStr">
        <is>
          <t>archon-search</t>
        </is>
      </c>
      <c r="B528" t="inlineStr">
        <is>
          <t>/Users/manczg/Documents/development/archon-search/archon_search/server/mcp.py</t>
        </is>
      </c>
      <c r="C528" t="inlineStr">
        <is>
          <t>smells-08</t>
        </is>
      </c>
      <c r="D528" t="n">
        <v>2194</v>
      </c>
      <c r="E528" t="inlineStr">
        <is>
          <t>job_store: JobStore | None = None,</t>
        </is>
      </c>
    </row>
    <row r="529">
      <c r="A529" t="inlineStr">
        <is>
          <t>archon-search</t>
        </is>
      </c>
      <c r="B529" t="inlineStr">
        <is>
          <t>/Users/manczg/Documents/development/archon-search/archon_search/server/mcp.py</t>
        </is>
      </c>
      <c r="C529" t="inlineStr">
        <is>
          <t>smells-08</t>
        </is>
      </c>
      <c r="D529" t="n">
        <v>2195</v>
      </c>
      <c r="E529" t="inlineStr">
        <is>
          <t>hyde_generator: "HyDEGenerator | None" = None,</t>
        </is>
      </c>
    </row>
    <row r="530">
      <c r="A530" t="inlineStr">
        <is>
          <t>archon-search</t>
        </is>
      </c>
      <c r="B530" t="inlineStr">
        <is>
          <t>/Users/manczg/Documents/development/archon-search/archon_search/server/mcp.py</t>
        </is>
      </c>
      <c r="C530" t="inlineStr">
        <is>
          <t>smells-08</t>
        </is>
      </c>
      <c r="D530" t="n">
        <v>2196</v>
      </c>
      <c r="E530" t="inlineStr">
        <is>
          <t>rag_fusion_generator: "RAGFusionGenerator | None" = None,</t>
        </is>
      </c>
    </row>
    <row r="531">
      <c r="A531" t="inlineStr">
        <is>
          <t>archon-search</t>
        </is>
      </c>
      <c r="B531" t="inlineStr">
        <is>
          <t>/Users/manczg/Documents/development/archon-search/archon_search/server/mcp.py</t>
        </is>
      </c>
      <c r="C531" t="inlineStr">
        <is>
          <t>smells-08</t>
        </is>
      </c>
      <c r="D531" t="n">
        <v>2197</v>
      </c>
      <c r="E531" t="inlineStr">
        <is>
          <t>key_store: "KeyStore | None" = None,</t>
        </is>
      </c>
    </row>
    <row r="532">
      <c r="A532" t="inlineStr">
        <is>
          <t>archon-search</t>
        </is>
      </c>
      <c r="B532" t="inlineStr">
        <is>
          <t>/Users/manczg/Documents/development/archon-search/archon_search/server/mcp.py</t>
        </is>
      </c>
      <c r="C532" t="inlineStr">
        <is>
          <t>smells-08</t>
        </is>
      </c>
      <c r="D532" t="n">
        <v>2198</v>
      </c>
      <c r="E532" t="inlineStr">
        <is>
          <t>doc_id_hasher: Callable[[str], str] | None = None,</t>
        </is>
      </c>
    </row>
    <row r="533">
      <c r="A533" t="inlineStr">
        <is>
          <t>archon-search</t>
        </is>
      </c>
      <c r="B533" t="inlineStr">
        <is>
          <t>/Users/manczg/Documents/development/archon-search/archon_search/server/mcp.py</t>
        </is>
      </c>
      <c r="C533" t="inlineStr">
        <is>
          <t>smells-08</t>
        </is>
      </c>
      <c r="D533" t="n">
        <v>2199</v>
      </c>
      <c r="E533" t="inlineStr">
        <is>
          <t>graph_store: "GraphStore | None" = None,</t>
        </is>
      </c>
    </row>
    <row r="534">
      <c r="A534" t="inlineStr">
        <is>
          <t>archon-search</t>
        </is>
      </c>
      <c r="B534" t="inlineStr">
        <is>
          <t>/Users/manczg/Documents/development/archon-search/archon_search/server/mcp.py</t>
        </is>
      </c>
      <c r="C534" t="inlineStr">
        <is>
          <t>smells-10</t>
        </is>
      </c>
      <c r="D534" t="n">
        <v>203</v>
      </c>
      <c r="E534" t="inlineStr">
        <is>
          <t>Uses fastmcp.server.dependencies.get_http_request() (public API) which handles</t>
        </is>
      </c>
    </row>
    <row r="535">
      <c r="A535" t="inlineStr">
        <is>
          <t>archon-search</t>
        </is>
      </c>
      <c r="B535" t="inlineStr">
        <is>
          <t>/Users/manczg/Documents/development/archon-search/archon_search/server/mcp.py</t>
        </is>
      </c>
      <c r="C535" t="inlineStr">
        <is>
          <t>smells-12</t>
        </is>
      </c>
      <c r="D535" t="n">
        <v>446</v>
      </c>
      <c r="E535" t="inlineStr">
        <is>
          <t>except Exception as exc:</t>
        </is>
      </c>
    </row>
    <row r="536">
      <c r="A536" t="inlineStr">
        <is>
          <t>archon-search</t>
        </is>
      </c>
      <c r="B536" t="inlineStr">
        <is>
          <t>/Users/manczg/Documents/development/archon-search/archon_search/server/mcp.py</t>
        </is>
      </c>
      <c r="C536" t="inlineStr">
        <is>
          <t>smells-12</t>
        </is>
      </c>
      <c r="D536" t="n">
        <v>464</v>
      </c>
      <c r="E536" t="inlineStr">
        <is>
          <t>except Exception:</t>
        </is>
      </c>
    </row>
    <row r="537">
      <c r="A537" t="inlineStr">
        <is>
          <t>archon-search</t>
        </is>
      </c>
      <c r="B537" t="inlineStr">
        <is>
          <t>/Users/manczg/Documents/development/archon-search/archon_search/server/mcp.py</t>
        </is>
      </c>
      <c r="C537" t="inlineStr">
        <is>
          <t>smells-12</t>
        </is>
      </c>
      <c r="D537" t="n">
        <v>551</v>
      </c>
      <c r="E537" t="inlineStr">
        <is>
          <t>except Exception:</t>
        </is>
      </c>
    </row>
    <row r="538">
      <c r="A538" t="inlineStr">
        <is>
          <t>archon-search</t>
        </is>
      </c>
      <c r="B538" t="inlineStr">
        <is>
          <t>/Users/manczg/Documents/development/archon-search/archon_search/server/mcp.py</t>
        </is>
      </c>
      <c r="C538" t="inlineStr">
        <is>
          <t>smells-12</t>
        </is>
      </c>
      <c r="D538" t="n">
        <v>586</v>
      </c>
      <c r="E538" t="inlineStr">
        <is>
          <t>except Exception as exc:</t>
        </is>
      </c>
    </row>
    <row r="539">
      <c r="A539" t="inlineStr">
        <is>
          <t>archon-search</t>
        </is>
      </c>
      <c r="B539" t="inlineStr">
        <is>
          <t>/Users/manczg/Documents/development/archon-search/archon_search/server/mcp.py</t>
        </is>
      </c>
      <c r="C539" t="inlineStr">
        <is>
          <t>smells-12</t>
        </is>
      </c>
      <c r="D539" t="n">
        <v>598</v>
      </c>
      <c r="E539" t="inlineStr">
        <is>
          <t>except Exception:</t>
        </is>
      </c>
    </row>
    <row r="540">
      <c r="A540" t="inlineStr">
        <is>
          <t>archon-search</t>
        </is>
      </c>
      <c r="B540" t="inlineStr">
        <is>
          <t>/Users/manczg/Documents/development/archon-search/archon_search/server/mcp.py</t>
        </is>
      </c>
      <c r="C540" t="inlineStr">
        <is>
          <t>smells-12</t>
        </is>
      </c>
      <c r="D540" t="n">
        <v>732</v>
      </c>
      <c r="E540" t="inlineStr">
        <is>
          <t>except Exception:</t>
        </is>
      </c>
    </row>
    <row r="541">
      <c r="A541" t="inlineStr">
        <is>
          <t>archon-search</t>
        </is>
      </c>
      <c r="B541" t="inlineStr">
        <is>
          <t>/Users/manczg/Documents/development/archon-search/archon_search/server/mcp.py</t>
        </is>
      </c>
      <c r="C541" t="inlineStr">
        <is>
          <t>smells-12</t>
        </is>
      </c>
      <c r="D541" t="n">
        <v>776</v>
      </c>
      <c r="E541" t="inlineStr">
        <is>
          <t>except Exception as exc:</t>
        </is>
      </c>
    </row>
    <row r="542">
      <c r="A542" t="inlineStr">
        <is>
          <t>archon-search</t>
        </is>
      </c>
      <c r="B542" t="inlineStr">
        <is>
          <t>/Users/manczg/Documents/development/archon-search/archon_search/server/mcp.py</t>
        </is>
      </c>
      <c r="C542" t="inlineStr">
        <is>
          <t>smells-12</t>
        </is>
      </c>
      <c r="D542" t="n">
        <v>788</v>
      </c>
      <c r="E542" t="inlineStr">
        <is>
          <t>except Exception:</t>
        </is>
      </c>
    </row>
    <row r="543">
      <c r="A543" t="inlineStr">
        <is>
          <t>archon-search</t>
        </is>
      </c>
      <c r="B543" t="inlineStr">
        <is>
          <t>/Users/manczg/Documents/development/archon-search/archon_search/server/mcp.py</t>
        </is>
      </c>
      <c r="C543" t="inlineStr">
        <is>
          <t>smells-12</t>
        </is>
      </c>
      <c r="D543" t="n">
        <v>948</v>
      </c>
      <c r="E543" t="inlineStr">
        <is>
          <t>except Exception:</t>
        </is>
      </c>
    </row>
    <row r="544">
      <c r="A544" t="inlineStr">
        <is>
          <t>archon-search</t>
        </is>
      </c>
      <c r="B544" t="inlineStr">
        <is>
          <t>/Users/manczg/Documents/development/archon-search/archon_search/server/mcp.py</t>
        </is>
      </c>
      <c r="C544" t="inlineStr">
        <is>
          <t>smells-12</t>
        </is>
      </c>
      <c r="D544" t="n">
        <v>1086</v>
      </c>
      <c r="E544" t="inlineStr">
        <is>
          <t>except Exception:</t>
        </is>
      </c>
    </row>
    <row r="545">
      <c r="A545" t="inlineStr">
        <is>
          <t>archon-search</t>
        </is>
      </c>
      <c r="B545" t="inlineStr">
        <is>
          <t>/Users/manczg/Documents/development/archon-search/archon_search/server/mcp.py</t>
        </is>
      </c>
      <c r="C545" t="inlineStr">
        <is>
          <t>smells-12</t>
        </is>
      </c>
      <c r="D545" t="n">
        <v>1110</v>
      </c>
      <c r="E545" t="inlineStr">
        <is>
          <t>except Exception:</t>
        </is>
      </c>
    </row>
    <row r="546">
      <c r="A546" t="inlineStr">
        <is>
          <t>archon-search</t>
        </is>
      </c>
      <c r="B546" t="inlineStr">
        <is>
          <t>/Users/manczg/Documents/development/archon-search/archon_search/server/mcp.py</t>
        </is>
      </c>
      <c r="C546" t="inlineStr">
        <is>
          <t>smells-12</t>
        </is>
      </c>
      <c r="D546" t="n">
        <v>1119</v>
      </c>
      <c r="E546" t="inlineStr">
        <is>
          <t>except Exception:</t>
        </is>
      </c>
    </row>
    <row r="547">
      <c r="A547" t="inlineStr">
        <is>
          <t>archon-search</t>
        </is>
      </c>
      <c r="B547" t="inlineStr">
        <is>
          <t>/Users/manczg/Documents/development/archon-search/archon_search/server/mcp.py</t>
        </is>
      </c>
      <c r="C547" t="inlineStr">
        <is>
          <t>smells-12</t>
        </is>
      </c>
      <c r="D547" t="n">
        <v>1131</v>
      </c>
      <c r="E547" t="inlineStr">
        <is>
          <t>except Exception:</t>
        </is>
      </c>
    </row>
    <row r="548">
      <c r="A548" t="inlineStr">
        <is>
          <t>archon-search</t>
        </is>
      </c>
      <c r="B548" t="inlineStr">
        <is>
          <t>/Users/manczg/Documents/development/archon-search/archon_search/server/mcp.py</t>
        </is>
      </c>
      <c r="C548" t="inlineStr">
        <is>
          <t>smells-12</t>
        </is>
      </c>
      <c r="D548" t="n">
        <v>1188</v>
      </c>
      <c r="E548" t="inlineStr">
        <is>
          <t>except Exception as exc:</t>
        </is>
      </c>
    </row>
    <row r="549">
      <c r="A549" t="inlineStr">
        <is>
          <t>archon-search</t>
        </is>
      </c>
      <c r="B549" t="inlineStr">
        <is>
          <t>/Users/manczg/Documents/development/archon-search/archon_search/server/mcp.py</t>
        </is>
      </c>
      <c r="C549" t="inlineStr">
        <is>
          <t>smells-12</t>
        </is>
      </c>
      <c r="D549" t="n">
        <v>1256</v>
      </c>
      <c r="E549" t="inlineStr">
        <is>
          <t>except Exception as exc:</t>
        </is>
      </c>
    </row>
    <row r="550">
      <c r="A550" t="inlineStr">
        <is>
          <t>archon-search</t>
        </is>
      </c>
      <c r="B550" t="inlineStr">
        <is>
          <t>/Users/manczg/Documents/development/archon-search/archon_search/server/mcp.py</t>
        </is>
      </c>
      <c r="C550" t="inlineStr">
        <is>
          <t>smells-12</t>
        </is>
      </c>
      <c r="D550" t="n">
        <v>1269</v>
      </c>
      <c r="E550" t="inlineStr">
        <is>
          <t>except Exception as exc:</t>
        </is>
      </c>
    </row>
    <row r="551">
      <c r="A551" t="inlineStr">
        <is>
          <t>archon-search</t>
        </is>
      </c>
      <c r="B551" t="inlineStr">
        <is>
          <t>/Users/manczg/Documents/development/archon-search/archon_search/server/mcp.py</t>
        </is>
      </c>
      <c r="C551" t="inlineStr">
        <is>
          <t>smells-12</t>
        </is>
      </c>
      <c r="D551" t="n">
        <v>1294</v>
      </c>
      <c r="E551" t="inlineStr">
        <is>
          <t>except Exception as exc:</t>
        </is>
      </c>
    </row>
    <row r="552">
      <c r="A552" t="inlineStr">
        <is>
          <t>archon-search</t>
        </is>
      </c>
      <c r="B552" t="inlineStr">
        <is>
          <t>/Users/manczg/Documents/development/archon-search/archon_search/server/mcp.py</t>
        </is>
      </c>
      <c r="C552" t="inlineStr">
        <is>
          <t>smells-12</t>
        </is>
      </c>
      <c r="D552" t="n">
        <v>1310</v>
      </c>
      <c r="E552" t="inlineStr">
        <is>
          <t>except Exception as exc:</t>
        </is>
      </c>
    </row>
    <row r="553">
      <c r="A553" t="inlineStr">
        <is>
          <t>archon-search</t>
        </is>
      </c>
      <c r="B553" t="inlineStr">
        <is>
          <t>/Users/manczg/Documents/development/archon-search/archon_search/server/mcp.py</t>
        </is>
      </c>
      <c r="C553" t="inlineStr">
        <is>
          <t>smells-12</t>
        </is>
      </c>
      <c r="D553" t="n">
        <v>1329</v>
      </c>
      <c r="E553" t="inlineStr">
        <is>
          <t>except Exception as exc:</t>
        </is>
      </c>
    </row>
    <row r="554">
      <c r="A554" t="inlineStr">
        <is>
          <t>archon-search</t>
        </is>
      </c>
      <c r="B554" t="inlineStr">
        <is>
          <t>/Users/manczg/Documents/development/archon-search/archon_search/server/mcp.py</t>
        </is>
      </c>
      <c r="C554" t="inlineStr">
        <is>
          <t>smells-12</t>
        </is>
      </c>
      <c r="D554" t="n">
        <v>1359</v>
      </c>
      <c r="E554" t="inlineStr">
        <is>
          <t>except Exception as exc:</t>
        </is>
      </c>
    </row>
    <row r="555">
      <c r="A555" t="inlineStr">
        <is>
          <t>archon-search</t>
        </is>
      </c>
      <c r="B555" t="inlineStr">
        <is>
          <t>/Users/manczg/Documents/development/archon-search/archon_search/server/mcp.py</t>
        </is>
      </c>
      <c r="C555" t="inlineStr">
        <is>
          <t>smells-12</t>
        </is>
      </c>
      <c r="D555" t="n">
        <v>1458</v>
      </c>
      <c r="E555" t="inlineStr">
        <is>
          <t>except Exception as exc:</t>
        </is>
      </c>
    </row>
    <row r="556">
      <c r="A556" t="inlineStr">
        <is>
          <t>archon-search</t>
        </is>
      </c>
      <c r="B556" t="inlineStr">
        <is>
          <t>/Users/manczg/Documents/development/archon-search/archon_search/server/mcp.py</t>
        </is>
      </c>
      <c r="C556" t="inlineStr">
        <is>
          <t>smells-12</t>
        </is>
      </c>
      <c r="D556" t="n">
        <v>1555</v>
      </c>
      <c r="E556" t="inlineStr">
        <is>
          <t>except Exception as exc:  # noqa: BLE001</t>
        </is>
      </c>
    </row>
    <row r="557">
      <c r="A557" t="inlineStr">
        <is>
          <t>archon-search</t>
        </is>
      </c>
      <c r="B557" t="inlineStr">
        <is>
          <t>/Users/manczg/Documents/development/archon-search/archon_search/server/mcp.py</t>
        </is>
      </c>
      <c r="C557" t="inlineStr">
        <is>
          <t>smells-12</t>
        </is>
      </c>
      <c r="D557" t="n">
        <v>1666</v>
      </c>
      <c r="E557" t="inlineStr">
        <is>
          <t>except Exception:</t>
        </is>
      </c>
    </row>
    <row r="558">
      <c r="A558" t="inlineStr">
        <is>
          <t>archon-search</t>
        </is>
      </c>
      <c r="B558" t="inlineStr">
        <is>
          <t>/Users/manczg/Documents/development/archon-search/archon_search/server/mcp.py</t>
        </is>
      </c>
      <c r="C558" t="inlineStr">
        <is>
          <t>smells-12</t>
        </is>
      </c>
      <c r="D558" t="n">
        <v>1982</v>
      </c>
      <c r="E558" t="inlineStr">
        <is>
          <t>except Exception as exc:</t>
        </is>
      </c>
    </row>
    <row r="559">
      <c r="A559" t="inlineStr">
        <is>
          <t>archon-search</t>
        </is>
      </c>
      <c r="B559" t="inlineStr">
        <is>
          <t>/Users/manczg/Documents/development/archon-search/archon_search/server/mcp.py</t>
        </is>
      </c>
      <c r="C559" t="inlineStr">
        <is>
          <t>smells-12</t>
        </is>
      </c>
      <c r="D559" t="n">
        <v>2088</v>
      </c>
      <c r="E559" t="inlineStr">
        <is>
          <t>except Exception as exc:</t>
        </is>
      </c>
    </row>
    <row r="560">
      <c r="A560" t="inlineStr">
        <is>
          <t>archon-search</t>
        </is>
      </c>
      <c r="B560" t="inlineStr">
        <is>
          <t>/Users/manczg/Documents/development/archon-search/archon_search/server/mcp.py</t>
        </is>
      </c>
      <c r="C560" t="inlineStr">
        <is>
          <t>smells-12</t>
        </is>
      </c>
      <c r="D560" t="n">
        <v>2176</v>
      </c>
      <c r="E560" t="inlineStr">
        <is>
          <t>except Exception as exc:</t>
        </is>
      </c>
    </row>
    <row r="561">
      <c r="A561" t="inlineStr">
        <is>
          <t>archon-search</t>
        </is>
      </c>
      <c r="B561" t="inlineStr">
        <is>
          <t>/Users/manczg/Documents/development/archon-search/archon_search/server/mcp.py</t>
        </is>
      </c>
      <c r="C561" t="inlineStr">
        <is>
          <t>smells-21</t>
        </is>
      </c>
      <c r="D561" t="n">
        <v>219</v>
      </c>
      <c r="E561" t="inlineStr">
        <is>
          <t>pipeline: Any,</t>
        </is>
      </c>
    </row>
    <row r="562">
      <c r="A562" t="inlineStr">
        <is>
          <t>archon-search</t>
        </is>
      </c>
      <c r="B562" t="inlineStr">
        <is>
          <t>/Users/manczg/Documents/development/archon-search/archon_search/server/mcp.py</t>
        </is>
      </c>
      <c r="C562" t="inlineStr">
        <is>
          <t>smells-21</t>
        </is>
      </c>
      <c r="D562" t="n">
        <v>220</v>
      </c>
      <c r="E562" t="inlineStr">
        <is>
          <t>embedder_cache: Any,</t>
        </is>
      </c>
    </row>
    <row r="563">
      <c r="A563" t="inlineStr">
        <is>
          <t>archon-search</t>
        </is>
      </c>
      <c r="B563" t="inlineStr">
        <is>
          <t>/Users/manczg/Documents/development/archon-search/archon_search/server/mcp.py</t>
        </is>
      </c>
      <c r="C563" t="inlineStr">
        <is>
          <t>smells-21</t>
        </is>
      </c>
      <c r="D563" t="n">
        <v>222</v>
      </c>
      <c r="E563" t="inlineStr">
        <is>
          <t>) -&gt; Any:</t>
        </is>
      </c>
    </row>
    <row r="564">
      <c r="A564" t="inlineStr">
        <is>
          <t>archon-search</t>
        </is>
      </c>
      <c r="B564" t="inlineStr">
        <is>
          <t>/Users/manczg/Documents/development/archon-search/archon_search/server/mcp.py</t>
        </is>
      </c>
      <c r="C564" t="inlineStr">
        <is>
          <t>smells-21</t>
        </is>
      </c>
      <c r="D564" t="n">
        <v>230</v>
      </c>
      <c r="E564" t="inlineStr">
        <is>
          <t>pipeline: Any,</t>
        </is>
      </c>
    </row>
    <row r="565">
      <c r="A565" t="inlineStr">
        <is>
          <t>archon-search</t>
        </is>
      </c>
      <c r="B565" t="inlineStr">
        <is>
          <t>/Users/manczg/Documents/development/archon-search/archon_search/server/mcp.py</t>
        </is>
      </c>
      <c r="C565" t="inlineStr">
        <is>
          <t>smells-21</t>
        </is>
      </c>
      <c r="D565" t="n">
        <v>231</v>
      </c>
      <c r="E565" t="inlineStr">
        <is>
          <t>embedder_cache: Any,</t>
        </is>
      </c>
    </row>
    <row r="566">
      <c r="A566" t="inlineStr">
        <is>
          <t>archon-search</t>
        </is>
      </c>
      <c r="B566" t="inlineStr">
        <is>
          <t>/Users/manczg/Documents/development/archon-search/archon_search/server/mcp.py</t>
        </is>
      </c>
      <c r="C566" t="inlineStr">
        <is>
          <t>smells-21</t>
        </is>
      </c>
      <c r="D566" t="n">
        <v>233</v>
      </c>
      <c r="E566" t="inlineStr">
        <is>
          <t>config: Any,</t>
        </is>
      </c>
    </row>
    <row r="567">
      <c r="A567" t="inlineStr">
        <is>
          <t>archon-search</t>
        </is>
      </c>
      <c r="B567" t="inlineStr">
        <is>
          <t>/Users/manczg/Documents/development/archon-search/archon_search/server/mcp.py</t>
        </is>
      </c>
      <c r="C567" t="inlineStr">
        <is>
          <t>smells-21</t>
        </is>
      </c>
      <c r="D567" t="n">
        <v>235</v>
      </c>
      <c r="E567" t="inlineStr">
        <is>
          <t>meta: Any = None,  # pre-fetched CollectionMeta; skips the get_collection_meta call</t>
        </is>
      </c>
    </row>
    <row r="568">
      <c r="A568" t="inlineStr">
        <is>
          <t>archon-search</t>
        </is>
      </c>
      <c r="B568" t="inlineStr">
        <is>
          <t>/Users/manczg/Documents/development/archon-search/archon_search/server/mcp.py</t>
        </is>
      </c>
      <c r="C568" t="inlineStr">
        <is>
          <t>smells-21</t>
        </is>
      </c>
      <c r="D568" t="n">
        <v>236</v>
      </c>
      <c r="E568" t="inlineStr">
        <is>
          <t>) -&gt; Any:</t>
        </is>
      </c>
    </row>
    <row r="569">
      <c r="A569" t="inlineStr">
        <is>
          <t>archon-search</t>
        </is>
      </c>
      <c r="B569" t="inlineStr">
        <is>
          <t>/Users/manczg/Documents/development/archon-search/archon_search/server/mcp.py</t>
        </is>
      </c>
      <c r="C569" t="inlineStr">
        <is>
          <t>smells-21</t>
        </is>
      </c>
      <c r="D569" t="n">
        <v>1881</v>
      </c>
      <c r="E569" t="inlineStr">
        <is>
          <t>def _build_top_nodes(view: Any) -&gt; list[dict[str, Any]]:</t>
        </is>
      </c>
    </row>
    <row r="570">
      <c r="A570" t="inlineStr">
        <is>
          <t>archon-search</t>
        </is>
      </c>
      <c r="B570" t="inlineStr">
        <is>
          <t>/Users/manczg/Documents/development/archon-search/archon_search/server/mcp.py</t>
        </is>
      </c>
      <c r="C570" t="inlineStr">
        <is>
          <t>smells-21</t>
        </is>
      </c>
      <c r="D570" t="n">
        <v>2092</v>
      </c>
      <c r="E570" t="inlineStr">
        <is>
          <t>def _impact_edge_to_dict(e: Any) -&gt; dict[str, Any]:</t>
        </is>
      </c>
    </row>
    <row r="571">
      <c r="A571" t="inlineStr">
        <is>
          <t>archon-search</t>
        </is>
      </c>
      <c r="B571" t="inlineStr">
        <is>
          <t>/Users/manczg/Documents/development/archon-search/archon_search/server/mcp.py</t>
        </is>
      </c>
      <c r="C571" t="inlineStr">
        <is>
          <t>smells-21</t>
        </is>
      </c>
      <c r="D571" t="n">
        <v>2102</v>
      </c>
      <c r="E571" t="inlineStr">
        <is>
          <t>def _impact_group_to_dict(group: Any) -&gt; dict[str, Any]:</t>
        </is>
      </c>
    </row>
    <row r="572">
      <c r="A572" t="inlineStr">
        <is>
          <t>archon-search</t>
        </is>
      </c>
      <c r="B572" t="inlineStr">
        <is>
          <t>/Users/manczg/Documents/development/archon-search/archon_search/server/mcp.py</t>
        </is>
      </c>
      <c r="C572" t="inlineStr">
        <is>
          <t>solid-07</t>
        </is>
      </c>
      <c r="D572" t="n">
        <v>305</v>
      </c>
      <c r="E572" t="inlineStr">
        <is>
          <t>graph_mode: str | None = None,</t>
        </is>
      </c>
    </row>
    <row r="573">
      <c r="A573" t="inlineStr">
        <is>
          <t>archon-search</t>
        </is>
      </c>
      <c r="B573" t="inlineStr">
        <is>
          <t>/Users/manczg/Documents/development/archon-search/archon_search/server/mcp.py</t>
        </is>
      </c>
      <c r="C573" t="inlineStr">
        <is>
          <t>solid-07</t>
        </is>
      </c>
      <c r="D573" t="n">
        <v>617</v>
      </c>
      <c r="E573" t="inlineStr">
        <is>
          <t>graph_mode: str | None = None,</t>
        </is>
      </c>
    </row>
    <row r="574">
      <c r="A574" t="inlineStr">
        <is>
          <t>archon-search</t>
        </is>
      </c>
      <c r="B574" t="inlineStr">
        <is>
          <t>/Users/manczg/Documents/development/archon-search/archon_search/server/mcp.py</t>
        </is>
      </c>
      <c r="C574" t="inlineStr">
        <is>
          <t>solid-07</t>
        </is>
      </c>
      <c r="D574" t="n">
        <v>802</v>
      </c>
      <c r="E574" t="inlineStr">
        <is>
          <t>graph_mode: str | None = None,</t>
        </is>
      </c>
    </row>
    <row r="575">
      <c r="A575" t="inlineStr">
        <is>
          <t>archon-search</t>
        </is>
      </c>
      <c r="B575" t="inlineStr">
        <is>
          <t>/Users/manczg/Documents/development/archon-search/archon_search/server/mcp.py</t>
        </is>
      </c>
      <c r="C575" t="inlineStr">
        <is>
          <t>solid-07</t>
        </is>
      </c>
      <c r="D575" t="n">
        <v>1335</v>
      </c>
      <c r="E575" t="inlineStr">
        <is>
          <t>doc_id: str,</t>
        </is>
      </c>
    </row>
    <row r="576">
      <c r="A576" t="inlineStr">
        <is>
          <t>archon-search</t>
        </is>
      </c>
      <c r="B576" t="inlineStr">
        <is>
          <t>/Users/manczg/Documents/development/archon-search/archon_search/server/mcp.py</t>
        </is>
      </c>
      <c r="C576" t="inlineStr">
        <is>
          <t>solid-07</t>
        </is>
      </c>
      <c r="D576" t="n">
        <v>1728</v>
      </c>
      <c r="E576" t="inlineStr">
        <is>
          <t>async def revoke_key(key_id: str) -&gt; dict[str, Any]:</t>
        </is>
      </c>
    </row>
    <row r="577">
      <c r="A577" t="inlineStr">
        <is>
          <t>archon-search</t>
        </is>
      </c>
      <c r="B577" t="inlineStr">
        <is>
          <t>/Users/manczg/Documents/development/archon-search/archon_search/server/mcp.py</t>
        </is>
      </c>
      <c r="C577" t="inlineStr">
        <is>
          <t>solid-07</t>
        </is>
      </c>
      <c r="D577" t="n">
        <v>1832</v>
      </c>
      <c r="E577" t="inlineStr">
        <is>
          <t>new_key_id: str = result["new_key_id"]  # type: ignore[assignment]</t>
        </is>
      </c>
    </row>
    <row r="578">
      <c r="A578" t="inlineStr">
        <is>
          <t>archon-search</t>
        </is>
      </c>
      <c r="B578" t="inlineStr">
        <is>
          <t>/Users/manczg/Documents/development/archon-search/archon_search/server/mcp.py</t>
        </is>
      </c>
      <c r="C578" t="inlineStr">
        <is>
          <t>solid-07</t>
        </is>
      </c>
      <c r="D578" t="n">
        <v>1863</v>
      </c>
      <c r="E578" t="inlineStr">
        <is>
          <t>resolved_salience_mode: str,</t>
        </is>
      </c>
    </row>
    <row r="579">
      <c r="A579" t="inlineStr">
        <is>
          <t>archon-search</t>
        </is>
      </c>
      <c r="B579" t="inlineStr">
        <is>
          <t>/Users/manczg/Documents/development/archon-search/archon_search/server/mcp.py</t>
        </is>
      </c>
      <c r="C579" t="inlineStr">
        <is>
          <t>solid-09</t>
        </is>
      </c>
      <c r="D579" t="n">
        <v>88</v>
      </c>
      <c r="E579" t="inlineStr">
        <is>
          <t>_mcp_rotate_lock = asyncio.Lock()</t>
        </is>
      </c>
    </row>
    <row r="580">
      <c r="A580" t="inlineStr">
        <is>
          <t>archon-search</t>
        </is>
      </c>
      <c r="B580" t="inlineStr">
        <is>
          <t>/Users/manczg/Documents/development/archon-search/archon_search/server/mcp.py</t>
        </is>
      </c>
      <c r="C580" t="inlineStr">
        <is>
          <t>solid-10</t>
        </is>
      </c>
      <c r="D580" t="n">
        <v>354</v>
      </c>
      <c r="E580" t="inlineStr">
        <is>
          <t>_rf_config = RAGFusionConfig()</t>
        </is>
      </c>
    </row>
    <row r="581">
      <c r="A581" t="inlineStr">
        <is>
          <t>archon-search</t>
        </is>
      </c>
      <c r="B581" t="inlineStr">
        <is>
          <t>/Users/manczg/Documents/development/archon-search/archon_search/server/mcp.py</t>
        </is>
      </c>
      <c r="C581" t="inlineStr">
        <is>
          <t>solid-10</t>
        </is>
      </c>
      <c r="D581" t="n">
        <v>362</v>
      </c>
      <c r="E581" t="inlineStr">
        <is>
          <t>_hyde_config = HyDEConfig()</t>
        </is>
      </c>
    </row>
    <row r="582">
      <c r="A582" t="inlineStr">
        <is>
          <t>archon-search</t>
        </is>
      </c>
      <c r="B582" t="inlineStr">
        <is>
          <t>/Users/manczg/Documents/development/archon-search/archon_search/server/mcp.py</t>
        </is>
      </c>
      <c r="C582" t="inlineStr">
        <is>
          <t>solid-10</t>
        </is>
      </c>
      <c r="D582" t="n">
        <v>656</v>
      </c>
      <c r="E582" t="inlineStr">
        <is>
          <t>_swc_rf_config = RAGFusionConfig()</t>
        </is>
      </c>
    </row>
    <row r="583">
      <c r="A583" t="inlineStr">
        <is>
          <t>archon-search</t>
        </is>
      </c>
      <c r="B583" t="inlineStr">
        <is>
          <t>/Users/manczg/Documents/development/archon-search/archon_search/server/mcp.py</t>
        </is>
      </c>
      <c r="C583" t="inlineStr">
        <is>
          <t>solid-10</t>
        </is>
      </c>
      <c r="D583" t="n">
        <v>664</v>
      </c>
      <c r="E583" t="inlineStr">
        <is>
          <t>_swc_hyde_config = HyDEConfig()</t>
        </is>
      </c>
    </row>
    <row r="584">
      <c r="A584" t="inlineStr">
        <is>
          <t>archon-search</t>
        </is>
      </c>
      <c r="B584" t="inlineStr">
        <is>
          <t>/Users/manczg/Documents/development/archon-search/archon_search/server/mcp.py</t>
        </is>
      </c>
      <c r="C584" t="inlineStr">
        <is>
          <t>solid-10</t>
        </is>
      </c>
      <c r="D584" t="n">
        <v>870</v>
      </c>
      <c r="E584" t="inlineStr">
        <is>
          <t>_explain_rf_config = RAGFusionConfig()</t>
        </is>
      </c>
    </row>
    <row r="585">
      <c r="A585" t="inlineStr">
        <is>
          <t>archon-search</t>
        </is>
      </c>
      <c r="B585" t="inlineStr">
        <is>
          <t>/Users/manczg/Documents/development/archon-search/archon_search/server/mcp.py</t>
        </is>
      </c>
      <c r="C585" t="inlineStr">
        <is>
          <t>solid-10</t>
        </is>
      </c>
      <c r="D585" t="n">
        <v>877</v>
      </c>
      <c r="E585" t="inlineStr">
        <is>
          <t>_explain_hyde_config = HyDEConfig()</t>
        </is>
      </c>
    </row>
    <row r="586">
      <c r="A586" t="inlineStr">
        <is>
          <t>archon-search</t>
        </is>
      </c>
      <c r="B586" t="inlineStr">
        <is>
          <t>/Users/manczg/Documents/development/archon-search/archon_search/server/mcp.py</t>
        </is>
      </c>
      <c r="C586" t="inlineStr">
        <is>
          <t>solid-10</t>
        </is>
      </c>
      <c r="D586" t="n">
        <v>1003</v>
      </c>
      <c r="E586" t="inlineStr">
        <is>
          <t>col_router = MultiCollectionRouter(</t>
        </is>
      </c>
    </row>
    <row r="587">
      <c r="A587" t="inlineStr">
        <is>
          <t>archon-search</t>
        </is>
      </c>
      <c r="B587" t="inlineStr">
        <is>
          <t>/Users/manczg/Documents/development/archon-search/archon_search/server/mcp.py</t>
        </is>
      </c>
      <c r="C587" t="inlineStr">
        <is>
          <t>solid-10</t>
        </is>
      </c>
      <c r="D587" t="n">
        <v>1561</v>
      </c>
      <c r="E587" t="inlineStr">
        <is>
          <t>reader = ImportArchiveReader(archive_path)</t>
        </is>
      </c>
    </row>
    <row r="588">
      <c r="A588" t="inlineStr">
        <is>
          <t>archon-search</t>
        </is>
      </c>
      <c r="B588" t="inlineStr">
        <is>
          <t>/Users/manczg/Documents/development/archon-search/archon_search/server/mcp.py</t>
        </is>
      </c>
      <c r="C588" t="inlineStr">
        <is>
          <t>solid-15</t>
        </is>
      </c>
      <c r="D588" t="n">
        <v>1705</v>
      </c>
      <c r="E588" t="inlineStr">
        <is>
          <t>elif status == "revoked":</t>
        </is>
      </c>
    </row>
    <row r="589">
      <c r="A589" t="inlineStr">
        <is>
          <t>archon-search</t>
        </is>
      </c>
      <c r="B589" t="inlineStr">
        <is>
          <t>/Users/manczg/Documents/development/archon-search/archon_search/eval/runner.py</t>
        </is>
      </c>
      <c r="C589" t="inlineStr">
        <is>
          <t>arch-09</t>
        </is>
      </c>
      <c r="D589" t="n">
        <v>623</v>
      </c>
      <c r="E589" t="inlineStr">
        <is>
          <t>if backend == "live" and os.environ.get("ARCHON_SEARCH_EVAL_BACKENDS") == "1":</t>
        </is>
      </c>
    </row>
    <row r="590">
      <c r="A590" t="inlineStr">
        <is>
          <t>archon-search</t>
        </is>
      </c>
      <c r="B590" t="inlineStr">
        <is>
          <t>/Users/manczg/Documents/development/archon-search/archon_search/eval/runner.py</t>
        </is>
      </c>
      <c r="C590" t="inlineStr">
        <is>
          <t>clarity-09</t>
        </is>
      </c>
      <c r="D590" t="n">
        <v>567</v>
      </c>
      <c r="E590" t="inlineStr">
        <is>
          <t>if lbl.query_id == query_id and lbl.grade &gt; 0 and lbl.doc_id in doc_col</t>
        </is>
      </c>
    </row>
    <row r="591">
      <c r="A591" t="inlineStr">
        <is>
          <t>archon-search</t>
        </is>
      </c>
      <c r="B591" t="inlineStr">
        <is>
          <t>/Users/manczg/Documents/development/archon-search/archon_search/eval/runner.py</t>
        </is>
      </c>
      <c r="C591" t="inlineStr">
        <is>
          <t>clarity-16</t>
        </is>
      </c>
      <c r="D591" t="n">
        <v>144</v>
      </c>
      <c r="E591" t="inlineStr">
        <is>
          <t>def load_thresholds(config_path: Path) -&gt; EvalThresholds:</t>
        </is>
      </c>
    </row>
    <row r="592">
      <c r="A592" t="inlineStr">
        <is>
          <t>archon-search</t>
        </is>
      </c>
      <c r="B592" t="inlineStr">
        <is>
          <t>/Users/manczg/Documents/development/archon-search/archon_search/eval/runner.py</t>
        </is>
      </c>
      <c r="C592" t="inlineStr">
        <is>
          <t>clarity-16</t>
        </is>
      </c>
      <c r="D592" t="n">
        <v>399</v>
      </c>
      <c r="E592" t="inlineStr">
        <is>
          <t>def load_baseline(path: Path) -&gt; EvalBaseline:</t>
        </is>
      </c>
    </row>
    <row r="593">
      <c r="A593" t="inlineStr">
        <is>
          <t>archon-search</t>
        </is>
      </c>
      <c r="B593" t="inlineStr">
        <is>
          <t>/Users/manczg/Documents/development/archon-search/archon_search/eval/runner.py</t>
        </is>
      </c>
      <c r="C593" t="inlineStr">
        <is>
          <t>clarity-16</t>
        </is>
      </c>
      <c r="D593" t="n">
        <v>1016</v>
      </c>
      <c r="E593" t="inlineStr">
        <is>
          <t>async def run_eval_suite(</t>
        </is>
      </c>
    </row>
    <row r="594">
      <c r="A594" t="inlineStr">
        <is>
          <t>archon-search</t>
        </is>
      </c>
      <c r="B594" t="inlineStr">
        <is>
          <t>/Users/manczg/Documents/development/archon-search/archon_search/eval/runner.py</t>
        </is>
      </c>
      <c r="C594" t="inlineStr">
        <is>
          <t>clarity-16</t>
        </is>
      </c>
      <c r="D594" t="n">
        <v>1532</v>
      </c>
      <c r="E594" t="inlineStr">
        <is>
          <t>def assert_thresholds(</t>
        </is>
      </c>
    </row>
    <row r="595">
      <c r="A595" t="inlineStr">
        <is>
          <t>archon-search</t>
        </is>
      </c>
      <c r="B595" t="inlineStr">
        <is>
          <t>/Users/manczg/Documents/development/archon-search/archon_search/eval/runner.py</t>
        </is>
      </c>
      <c r="C595" t="inlineStr">
        <is>
          <t>clarity-16</t>
        </is>
      </c>
      <c r="D595" t="n">
        <v>1726</v>
      </c>
      <c r="E595" t="inlineStr">
        <is>
          <t>def render_report(report: EvalReport) -&gt; str:</t>
        </is>
      </c>
    </row>
    <row r="596">
      <c r="A596" t="inlineStr">
        <is>
          <t>archon-search</t>
        </is>
      </c>
      <c r="B596" t="inlineStr">
        <is>
          <t>/Users/manczg/Documents/development/archon-search/archon_search/eval/runner.py</t>
        </is>
      </c>
      <c r="C596" t="inlineStr">
        <is>
          <t>clarity-17</t>
        </is>
      </c>
      <c r="D596" t="n">
        <v>1016</v>
      </c>
      <c r="E596" t="inlineStr">
        <is>
          <t>async def run_eval_suite(</t>
        </is>
      </c>
    </row>
    <row r="597">
      <c r="A597" t="inlineStr">
        <is>
          <t>archon-search</t>
        </is>
      </c>
      <c r="B597" t="inlineStr">
        <is>
          <t>/Users/manczg/Documents/development/archon-search/archon_search/eval/runner.py</t>
        </is>
      </c>
      <c r="C597" t="inlineStr">
        <is>
          <t>clarity-17</t>
        </is>
      </c>
      <c r="D597" t="n">
        <v>1532</v>
      </c>
      <c r="E597" t="inlineStr">
        <is>
          <t>def assert_thresholds(</t>
        </is>
      </c>
    </row>
    <row r="598">
      <c r="A598" t="inlineStr">
        <is>
          <t>archon-search</t>
        </is>
      </c>
      <c r="B598" t="inlineStr">
        <is>
          <t>/Users/manczg/Documents/development/archon-search/archon_search/eval/runner.py</t>
        </is>
      </c>
      <c r="C598" t="inlineStr">
        <is>
          <t>ddd-01</t>
        </is>
      </c>
      <c r="D598" t="n">
        <v>46</v>
      </c>
      <c r="E598" t="inlineStr">
        <is>
          <t>@dataclass</t>
        </is>
      </c>
    </row>
    <row r="599">
      <c r="A599" t="inlineStr">
        <is>
          <t>archon-search</t>
        </is>
      </c>
      <c r="B599" t="inlineStr">
        <is>
          <t>/Users/manczg/Documents/development/archon-search/archon_search/eval/runner.py</t>
        </is>
      </c>
      <c r="C599" t="inlineStr">
        <is>
          <t>ddd-01</t>
        </is>
      </c>
      <c r="D599" t="n">
        <v>75</v>
      </c>
      <c r="E599" t="inlineStr">
        <is>
          <t>@dataclass</t>
        </is>
      </c>
    </row>
    <row r="600">
      <c r="A600" t="inlineStr">
        <is>
          <t>archon-search</t>
        </is>
      </c>
      <c r="B600" t="inlineStr">
        <is>
          <t>/Users/manczg/Documents/development/archon-search/archon_search/eval/runner.py</t>
        </is>
      </c>
      <c r="C600" t="inlineStr">
        <is>
          <t>ddd-01</t>
        </is>
      </c>
      <c r="D600" t="n">
        <v>83</v>
      </c>
      <c r="E600" t="inlineStr">
        <is>
          <t>@dataclass</t>
        </is>
      </c>
    </row>
    <row r="601">
      <c r="A601" t="inlineStr">
        <is>
          <t>archon-search</t>
        </is>
      </c>
      <c r="B601" t="inlineStr">
        <is>
          <t>/Users/manczg/Documents/development/archon-search/archon_search/eval/runner.py</t>
        </is>
      </c>
      <c r="C601" t="inlineStr">
        <is>
          <t>ddd-01</t>
        </is>
      </c>
      <c r="D601" t="n">
        <v>92</v>
      </c>
      <c r="E601" t="inlineStr">
        <is>
          <t>@dataclass</t>
        </is>
      </c>
    </row>
    <row r="602">
      <c r="A602" t="inlineStr">
        <is>
          <t>archon-search</t>
        </is>
      </c>
      <c r="B602" t="inlineStr">
        <is>
          <t>/Users/manczg/Documents/development/archon-search/archon_search/eval/runner.py</t>
        </is>
      </c>
      <c r="C602" t="inlineStr">
        <is>
          <t>ddd-01</t>
        </is>
      </c>
      <c r="D602" t="n">
        <v>256</v>
      </c>
      <c r="E602" t="inlineStr">
        <is>
          <t>@dataclass</t>
        </is>
      </c>
    </row>
    <row r="603">
      <c r="A603" t="inlineStr">
        <is>
          <t>archon-search</t>
        </is>
      </c>
      <c r="B603" t="inlineStr">
        <is>
          <t>/Users/manczg/Documents/development/archon-search/archon_search/eval/runner.py</t>
        </is>
      </c>
      <c r="C603" t="inlineStr">
        <is>
          <t>ddd-01</t>
        </is>
      </c>
      <c r="D603" t="n">
        <v>358</v>
      </c>
      <c r="E603" t="inlineStr">
        <is>
          <t>@dataclass</t>
        </is>
      </c>
    </row>
    <row r="604">
      <c r="A604" t="inlineStr">
        <is>
          <t>archon-search</t>
        </is>
      </c>
      <c r="B604" t="inlineStr">
        <is>
          <t>/Users/manczg/Documents/development/archon-search/archon_search/eval/runner.py</t>
        </is>
      </c>
      <c r="C604" t="inlineStr">
        <is>
          <t>ddd-01</t>
        </is>
      </c>
      <c r="D604" t="n">
        <v>476</v>
      </c>
      <c r="E604" t="inlineStr">
        <is>
          <t>@dataclass</t>
        </is>
      </c>
    </row>
    <row r="605">
      <c r="A605" t="inlineStr">
        <is>
          <t>archon-search</t>
        </is>
      </c>
      <c r="B605" t="inlineStr">
        <is>
          <t>/Users/manczg/Documents/development/archon-search/archon_search/eval/runner.py</t>
        </is>
      </c>
      <c r="C605" t="inlineStr">
        <is>
          <t>safety-07</t>
        </is>
      </c>
      <c r="D605" t="n">
        <v>22</v>
      </c>
      <c r="E605" t="inlineStr">
        <is>
          <t>import tomli as tomllib  # type: ignore[no-redef]</t>
        </is>
      </c>
    </row>
    <row r="606">
      <c r="A606" t="inlineStr">
        <is>
          <t>archon-search</t>
        </is>
      </c>
      <c r="B606" t="inlineStr">
        <is>
          <t>/Users/manczg/Documents/development/archon-search/archon_search/eval/runner.py</t>
        </is>
      </c>
      <c r="C606" t="inlineStr">
        <is>
          <t>safety-07</t>
        </is>
      </c>
      <c r="D606" t="n">
        <v>848</v>
      </c>
      <c r="E606" t="inlineStr">
        <is>
          <t>async def _build_code_lane_ingest_pipeline(db_path: Path, graph_store) -&gt; "SearchPipeline":  # type: ignore[name-defined]  # noqa: F821</t>
        </is>
      </c>
    </row>
    <row r="607">
      <c r="A607" t="inlineStr">
        <is>
          <t>archon-search</t>
        </is>
      </c>
      <c r="B607" t="inlineStr">
        <is>
          <t>/Users/manczg/Documents/development/archon-search/archon_search/eval/runner.py</t>
        </is>
      </c>
      <c r="C607" t="inlineStr">
        <is>
          <t>safety-11</t>
        </is>
      </c>
      <c r="D607" t="n">
        <v>491</v>
      </c>
      <c r="E607" t="inlineStr">
        <is>
          <t>generated_at: datetime = field(default_factory=lambda: datetime.now(UTC))</t>
        </is>
      </c>
    </row>
    <row r="608">
      <c r="A608" t="inlineStr">
        <is>
          <t>archon-search</t>
        </is>
      </c>
      <c r="B608" t="inlineStr">
        <is>
          <t>/Users/manczg/Documents/development/archon-search/archon_search/eval/runner.py</t>
        </is>
      </c>
      <c r="C608" t="inlineStr">
        <is>
          <t>smells-01</t>
        </is>
      </c>
      <c r="D608" t="n">
        <v>1</v>
      </c>
      <c r="E608" t="inlineStr">
        <is>
          <t>file-level: 2014 lines</t>
        </is>
      </c>
    </row>
    <row r="609">
      <c r="A609" t="inlineStr">
        <is>
          <t>archon-search</t>
        </is>
      </c>
      <c r="B609" t="inlineStr">
        <is>
          <t>/Users/manczg/Documents/development/archon-search/archon_search/eval/runner.py</t>
        </is>
      </c>
      <c r="C609" t="inlineStr">
        <is>
          <t>smells-02</t>
        </is>
      </c>
      <c r="D609" t="n">
        <v>607</v>
      </c>
      <c r="E609" t="inlineStr">
        <is>
          <t>async def _build_pipeline_with_eval_backends(</t>
        </is>
      </c>
    </row>
    <row r="610">
      <c r="A610" t="inlineStr">
        <is>
          <t>archon-search</t>
        </is>
      </c>
      <c r="B610" t="inlineStr">
        <is>
          <t>/Users/manczg/Documents/development/archon-search/archon_search/eval/runner.py</t>
        </is>
      </c>
      <c r="C610" t="inlineStr">
        <is>
          <t>smells-02</t>
        </is>
      </c>
      <c r="D610" t="n">
        <v>705</v>
      </c>
      <c r="E610" t="inlineStr">
        <is>
          <t>async def _build_code_lane_pipeline(</t>
        </is>
      </c>
    </row>
    <row r="611">
      <c r="A611" t="inlineStr">
        <is>
          <t>archon-search</t>
        </is>
      </c>
      <c r="B611" t="inlineStr">
        <is>
          <t>/Users/manczg/Documents/development/archon-search/archon_search/eval/runner.py</t>
        </is>
      </c>
      <c r="C611" t="inlineStr">
        <is>
          <t>smells-02</t>
        </is>
      </c>
      <c r="D611" t="n">
        <v>875</v>
      </c>
      <c r="E611" t="inlineStr">
        <is>
          <t>async def _ingest_corpus(</t>
        </is>
      </c>
    </row>
    <row r="612">
      <c r="A612" t="inlineStr">
        <is>
          <t>archon-search</t>
        </is>
      </c>
      <c r="B612" t="inlineStr">
        <is>
          <t>/Users/manczg/Documents/development/archon-search/archon_search/eval/runner.py</t>
        </is>
      </c>
      <c r="C612" t="inlineStr">
        <is>
          <t>smells-02</t>
        </is>
      </c>
      <c r="D612" t="n">
        <v>953</v>
      </c>
      <c r="E612" t="inlineStr">
        <is>
          <t>async def _run_router_for_query(</t>
        </is>
      </c>
    </row>
    <row r="613">
      <c r="A613" t="inlineStr">
        <is>
          <t>archon-search</t>
        </is>
      </c>
      <c r="B613" t="inlineStr">
        <is>
          <t>/Users/manczg/Documents/development/archon-search/archon_search/eval/runner.py</t>
        </is>
      </c>
      <c r="C613" t="inlineStr">
        <is>
          <t>smells-02</t>
        </is>
      </c>
      <c r="D613" t="n">
        <v>1016</v>
      </c>
      <c r="E613" t="inlineStr">
        <is>
          <t>async def run_eval_suite(</t>
        </is>
      </c>
    </row>
    <row r="614">
      <c r="A614" t="inlineStr">
        <is>
          <t>archon-search</t>
        </is>
      </c>
      <c r="B614" t="inlineStr">
        <is>
          <t>/Users/manczg/Documents/development/archon-search/archon_search/eval/runner.py</t>
        </is>
      </c>
      <c r="C614" t="inlineStr">
        <is>
          <t>smells-02</t>
        </is>
      </c>
      <c r="D614" t="n">
        <v>1850</v>
      </c>
      <c r="E614" t="inlineStr">
        <is>
          <t>async def _execute_retrieval_query(</t>
        </is>
      </c>
    </row>
    <row r="615">
      <c r="A615" t="inlineStr">
        <is>
          <t>archon-search</t>
        </is>
      </c>
      <c r="B615" t="inlineStr">
        <is>
          <t>/Users/manczg/Documents/development/archon-search/archon_search/eval/runner.py</t>
        </is>
      </c>
      <c r="C615" t="inlineStr">
        <is>
          <t>smells-02</t>
        </is>
      </c>
      <c r="D615" t="n">
        <v>1936</v>
      </c>
      <c r="E615" t="inlineStr">
        <is>
          <t>async def _execute_graph_retrieval_query(</t>
        </is>
      </c>
    </row>
    <row r="616">
      <c r="A616" t="inlineStr">
        <is>
          <t>archon-search</t>
        </is>
      </c>
      <c r="B616" t="inlineStr">
        <is>
          <t>/Users/manczg/Documents/development/archon-search/archon_search/eval/runner.py</t>
        </is>
      </c>
      <c r="C616" t="inlineStr">
        <is>
          <t>smells-03</t>
        </is>
      </c>
      <c r="D616" t="n">
        <v>709</v>
      </c>
      <c r="E616" t="inlineStr">
        <is>
          <t>defref_enabled: bool = False,</t>
        </is>
      </c>
    </row>
    <row r="617">
      <c r="A617" t="inlineStr">
        <is>
          <t>archon-search</t>
        </is>
      </c>
      <c r="B617" t="inlineStr">
        <is>
          <t>/Users/manczg/Documents/development/archon-search/archon_search/eval/runner.py</t>
        </is>
      </c>
      <c r="C617" t="inlineStr">
        <is>
          <t>smells-08</t>
        </is>
      </c>
      <c r="D617" t="n">
        <v>613</v>
      </c>
      <c r="E617" t="inlineStr">
        <is>
          <t>community_backend_map: dict | None = None,</t>
        </is>
      </c>
    </row>
    <row r="618">
      <c r="A618" t="inlineStr">
        <is>
          <t>archon-search</t>
        </is>
      </c>
      <c r="B618" t="inlineStr">
        <is>
          <t>/Users/manczg/Documents/development/archon-search/archon_search/eval/runner.py</t>
        </is>
      </c>
      <c r="C618" t="inlineStr">
        <is>
          <t>smells-08</t>
        </is>
      </c>
      <c r="D618" t="n">
        <v>614</v>
      </c>
      <c r="E618" t="inlineStr">
        <is>
          <t>lancedb_root: Path | None = None,</t>
        </is>
      </c>
    </row>
    <row r="619">
      <c r="A619" t="inlineStr">
        <is>
          <t>archon-search</t>
        </is>
      </c>
      <c r="B619" t="inlineStr">
        <is>
          <t>/Users/manczg/Documents/development/archon-search/archon_search/eval/runner.py</t>
        </is>
      </c>
      <c r="C619" t="inlineStr">
        <is>
          <t>smells-08</t>
        </is>
      </c>
      <c r="D619" t="n">
        <v>1019</v>
      </c>
      <c r="E619" t="inlineStr">
        <is>
          <t>thresholds_path: Path | None = None,</t>
        </is>
      </c>
    </row>
    <row r="620">
      <c r="A620" t="inlineStr">
        <is>
          <t>archon-search</t>
        </is>
      </c>
      <c r="B620" t="inlineStr">
        <is>
          <t>/Users/manczg/Documents/development/archon-search/archon_search/eval/runner.py</t>
        </is>
      </c>
      <c r="C620" t="inlineStr">
        <is>
          <t>smells-08</t>
        </is>
      </c>
      <c r="D620" t="n">
        <v>1020</v>
      </c>
      <c r="E620" t="inlineStr">
        <is>
          <t>baseline_path: Path | None = None,</t>
        </is>
      </c>
    </row>
    <row r="621">
      <c r="A621" t="inlineStr">
        <is>
          <t>archon-search</t>
        </is>
      </c>
      <c r="B621" t="inlineStr">
        <is>
          <t>/Users/manczg/Documents/development/archon-search/archon_search/eval/runner.py</t>
        </is>
      </c>
      <c r="C621" t="inlineStr">
        <is>
          <t>smells-08</t>
        </is>
      </c>
      <c r="D621" t="n">
        <v>1023</v>
      </c>
      <c r="E621" t="inlineStr">
        <is>
          <t>lancedb_root: Path | None = None,</t>
        </is>
      </c>
    </row>
    <row r="622">
      <c r="A622" t="inlineStr">
        <is>
          <t>archon-search</t>
        </is>
      </c>
      <c r="B622" t="inlineStr">
        <is>
          <t>/Users/manczg/Documents/development/archon-search/archon_search/eval/runner.py</t>
        </is>
      </c>
      <c r="C622" t="inlineStr">
        <is>
          <t>smells-08</t>
        </is>
      </c>
      <c r="D622" t="n">
        <v>1255</v>
      </c>
      <c r="E622" t="inlineStr">
        <is>
          <t>def _corpus_for_trace(t: QueryEvalTrace) -&gt; int | None:</t>
        </is>
      </c>
    </row>
    <row r="623">
      <c r="A623" t="inlineStr">
        <is>
          <t>archon-search</t>
        </is>
      </c>
      <c r="B623" t="inlineStr">
        <is>
          <t>/Users/manczg/Documents/development/archon-search/archon_search/eval/runner.py</t>
        </is>
      </c>
      <c r="C623" t="inlineStr">
        <is>
          <t>smells-08</t>
        </is>
      </c>
      <c r="D623" t="n">
        <v>1534</v>
      </c>
      <c r="E623" t="inlineStr">
        <is>
          <t>skip_fields: frozenset[str] | None = None,</t>
        </is>
      </c>
    </row>
    <row r="624">
      <c r="A624" t="inlineStr">
        <is>
          <t>archon-search</t>
        </is>
      </c>
      <c r="B624" t="inlineStr">
        <is>
          <t>/Users/manczg/Documents/development/archon-search/archon_search/eval/runner.py</t>
        </is>
      </c>
      <c r="C624" t="inlineStr">
        <is>
          <t>smells-10</t>
        </is>
      </c>
      <c r="D624" t="n">
        <v>746</v>
      </c>
      <c r="E624" t="inlineStr">
        <is>
          <t>:class:`~archon_search.eval.backends._FixedWindowChunkerAdapter`</t>
        </is>
      </c>
    </row>
    <row r="625">
      <c r="A625" t="inlineStr">
        <is>
          <t>archon-search</t>
        </is>
      </c>
      <c r="B625" t="inlineStr">
        <is>
          <t>/Users/manczg/Documents/development/archon-search/archon_search/eval/runner.py</t>
        </is>
      </c>
      <c r="C625" t="inlineStr">
        <is>
          <t>smells-12</t>
        </is>
      </c>
      <c r="D625" t="n">
        <v>1242</v>
      </c>
      <c r="E625" t="inlineStr">
        <is>
          <t>except Exception as exc:  # pragma: no cover — defensive</t>
        </is>
      </c>
    </row>
    <row r="626">
      <c r="A626" t="inlineStr">
        <is>
          <t>archon-search</t>
        </is>
      </c>
      <c r="B626" t="inlineStr">
        <is>
          <t>/Users/manczg/Documents/development/archon-search/archon_search/eval/runner.py</t>
        </is>
      </c>
      <c r="C626" t="inlineStr">
        <is>
          <t>solid-07</t>
        </is>
      </c>
      <c r="D626" t="n">
        <v>380</v>
      </c>
      <c r="E626" t="inlineStr">
        <is>
          <t>embedding_model_id: str | None = None</t>
        </is>
      </c>
    </row>
    <row r="627">
      <c r="A627" t="inlineStr">
        <is>
          <t>archon-search</t>
        </is>
      </c>
      <c r="B627" t="inlineStr">
        <is>
          <t>/Users/manczg/Documents/development/archon-search/archon_search/eval/runner.py</t>
        </is>
      </c>
      <c r="C627" t="inlineStr">
        <is>
          <t>solid-07</t>
        </is>
      </c>
      <c r="D627" t="n">
        <v>382</v>
      </c>
      <c r="E627" t="inlineStr">
        <is>
          <t>reranker_model_id: str | None = None</t>
        </is>
      </c>
    </row>
    <row r="628">
      <c r="A628" t="inlineStr">
        <is>
          <t>archon-search</t>
        </is>
      </c>
      <c r="B628" t="inlineStr">
        <is>
          <t>/Users/manczg/Documents/development/archon-search/archon_search/eval/runner.py</t>
        </is>
      </c>
      <c r="C628" t="inlineStr">
        <is>
          <t>solid-07</t>
        </is>
      </c>
      <c r="D628" t="n">
        <v>562</v>
      </c>
      <c r="E628" t="inlineStr">
        <is>
          <t>def _gold_collections_for(query_id: str, corpus: EvalCorpus) -&gt; set[str]:</t>
        </is>
      </c>
    </row>
    <row r="629">
      <c r="A629" t="inlineStr">
        <is>
          <t>archon-search</t>
        </is>
      </c>
      <c r="B629" t="inlineStr">
        <is>
          <t>/Users/manczg/Documents/development/archon-search/archon_search/eval/runner.py</t>
        </is>
      </c>
      <c r="C629" t="inlineStr">
        <is>
          <t>solid-07</t>
        </is>
      </c>
      <c r="D629" t="n">
        <v>1278</v>
      </c>
      <c r="E629" t="inlineStr">
        <is>
          <t>def _gold_fn(query_id: str) -&gt; set[str]:</t>
        </is>
      </c>
    </row>
    <row r="630">
      <c r="A630" t="inlineStr">
        <is>
          <t>archon-search</t>
        </is>
      </c>
      <c r="B630" t="inlineStr">
        <is>
          <t>/Users/manczg/Documents/development/archon-search/archon_search/eval/runner.py</t>
        </is>
      </c>
      <c r="C630" t="inlineStr">
        <is>
          <t>solid-10</t>
        </is>
      </c>
      <c r="D630" t="n">
        <v>629</v>
      </c>
      <c r="E630" t="inlineStr">
        <is>
          <t>store = SearchStore(db_path)</t>
        </is>
      </c>
    </row>
    <row r="631">
      <c r="A631" t="inlineStr">
        <is>
          <t>archon-search</t>
        </is>
      </c>
      <c r="B631" t="inlineStr">
        <is>
          <t>/Users/manczg/Documents/development/archon-search/archon_search/eval/runner.py</t>
        </is>
      </c>
      <c r="C631" t="inlineStr">
        <is>
          <t>solid-10</t>
        </is>
      </c>
      <c r="D631" t="n">
        <v>657</v>
      </c>
      <c r="E631" t="inlineStr">
        <is>
          <t>community_backend = DispatchingCommunityStore(community_backend_map)</t>
        </is>
      </c>
    </row>
    <row r="632">
      <c r="A632" t="inlineStr">
        <is>
          <t>archon-search</t>
        </is>
      </c>
      <c r="B632" t="inlineStr">
        <is>
          <t>/Users/manczg/Documents/development/archon-search/archon_search/eval/runner.py</t>
        </is>
      </c>
      <c r="C632" t="inlineStr">
        <is>
          <t>solid-10</t>
        </is>
      </c>
      <c r="D632" t="n">
        <v>670</v>
      </c>
      <c r="E632" t="inlineStr">
        <is>
          <t>chunker = DocumentChunker(chunk_size=256)</t>
        </is>
      </c>
    </row>
    <row r="633">
      <c r="A633" t="inlineStr">
        <is>
          <t>archon-search</t>
        </is>
      </c>
      <c r="B633" t="inlineStr">
        <is>
          <t>/Users/manczg/Documents/development/archon-search/archon_search/eval/runner.py</t>
        </is>
      </c>
      <c r="C633" t="inlineStr">
        <is>
          <t>solid-10</t>
        </is>
      </c>
      <c r="D633" t="n">
        <v>671</v>
      </c>
      <c r="E633" t="inlineStr">
        <is>
          <t>parser = DocumentParser()</t>
        </is>
      </c>
    </row>
    <row r="634">
      <c r="A634" t="inlineStr">
        <is>
          <t>archon-search</t>
        </is>
      </c>
      <c r="B634" t="inlineStr">
        <is>
          <t>/Users/manczg/Documents/development/archon-search/archon_search/eval/runner.py</t>
        </is>
      </c>
      <c r="C634" t="inlineStr">
        <is>
          <t>solid-10</t>
        </is>
      </c>
      <c r="D634" t="n">
        <v>800</v>
      </c>
      <c r="E634" t="inlineStr">
        <is>
          <t>store = SearchStore(db_path)</t>
        </is>
      </c>
    </row>
    <row r="635">
      <c r="A635" t="inlineStr">
        <is>
          <t>archon-search</t>
        </is>
      </c>
      <c r="B635" t="inlineStr">
        <is>
          <t>/Users/manczg/Documents/development/archon-search/archon_search/eval/runner.py</t>
        </is>
      </c>
      <c r="C635" t="inlineStr">
        <is>
          <t>solid-10</t>
        </is>
      </c>
      <c r="D635" t="n">
        <v>805</v>
      </c>
      <c r="E635" t="inlineStr">
        <is>
          <t>chunker = DocumentChunker(chunk_size=chunk_size)</t>
        </is>
      </c>
    </row>
    <row r="636">
      <c r="A636" t="inlineStr">
        <is>
          <t>archon-search</t>
        </is>
      </c>
      <c r="B636" t="inlineStr">
        <is>
          <t>/Users/manczg/Documents/development/archon-search/archon_search/eval/runner.py</t>
        </is>
      </c>
      <c r="C636" t="inlineStr">
        <is>
          <t>solid-10</t>
        </is>
      </c>
      <c r="D636" t="n">
        <v>811</v>
      </c>
      <c r="E636" t="inlineStr">
        <is>
          <t>parser = DocumentParser()</t>
        </is>
      </c>
    </row>
    <row r="637">
      <c r="A637" t="inlineStr">
        <is>
          <t>archon-search</t>
        </is>
      </c>
      <c r="B637" t="inlineStr">
        <is>
          <t>/Users/manczg/Documents/development/archon-search/archon_search/eval/runner.py</t>
        </is>
      </c>
      <c r="C637" t="inlineStr">
        <is>
          <t>solid-10</t>
        </is>
      </c>
      <c r="D637" t="n">
        <v>825</v>
      </c>
      <c r="E637" t="inlineStr">
        <is>
          <t>graph_store = GraphStore(db_path=str(db_path))</t>
        </is>
      </c>
    </row>
    <row r="638">
      <c r="A638" t="inlineStr">
        <is>
          <t>archon-search</t>
        </is>
      </c>
      <c r="B638" t="inlineStr">
        <is>
          <t>/Users/manczg/Documents/development/archon-search/archon_search/eval/runner.py</t>
        </is>
      </c>
      <c r="C638" t="inlineStr">
        <is>
          <t>solid-10</t>
        </is>
      </c>
      <c r="D638" t="n">
        <v>827</v>
      </c>
      <c r="E638" t="inlineStr">
        <is>
          <t>graph_config = GraphConfig(enabled=True)</t>
        </is>
      </c>
    </row>
    <row r="639">
      <c r="A639" t="inlineStr">
        <is>
          <t>archon-search</t>
        </is>
      </c>
      <c r="B639" t="inlineStr">
        <is>
          <t>/Users/manczg/Documents/development/archon-search/archon_search/eval/runner.py</t>
        </is>
      </c>
      <c r="C639" t="inlineStr">
        <is>
          <t>solid-10</t>
        </is>
      </c>
      <c r="D639" t="n">
        <v>987</v>
      </c>
      <c r="E639" t="inlineStr">
        <is>
          <t>router = MultiCollectionRouter(</t>
        </is>
      </c>
    </row>
    <row r="640">
      <c r="A640" t="inlineStr">
        <is>
          <t>archon-search</t>
        </is>
      </c>
      <c r="B640" t="inlineStr">
        <is>
          <t>/Users/manczg/Documents/development/archon-search/archon_search/eval/runner.py</t>
        </is>
      </c>
      <c r="C640" t="inlineStr">
        <is>
          <t>solid-10</t>
        </is>
      </c>
      <c r="D640" t="n">
        <v>1097</v>
      </c>
      <c r="E640" t="inlineStr">
        <is>
          <t>_graph_store_for_communities = GraphStore(db_path=str(lancedb_root))</t>
        </is>
      </c>
    </row>
    <row r="641">
      <c r="A641" t="inlineStr">
        <is>
          <t>archon-search</t>
        </is>
      </c>
      <c r="B641" t="inlineStr">
        <is>
          <t>/Users/manczg/Documents/development/archon-search/archon_search/eval/runner.py</t>
        </is>
      </c>
      <c r="C641" t="inlineStr">
        <is>
          <t>solid-10</t>
        </is>
      </c>
      <c r="D641" t="n">
        <v>1124</v>
      </c>
      <c r="E641" t="inlineStr">
        <is>
          <t>_graph_config = GraphConfig(</t>
        </is>
      </c>
    </row>
    <row r="642">
      <c r="A642" t="inlineStr">
        <is>
          <t>archon-search</t>
        </is>
      </c>
      <c r="B642" t="inlineStr">
        <is>
          <t>/Users/manczg/Documents/development/archon-search/archon_search/eval/runner.py</t>
        </is>
      </c>
      <c r="C642" t="inlineStr">
        <is>
          <t>solid-10</t>
        </is>
      </c>
      <c r="D642" t="n">
        <v>1130</v>
      </c>
      <c r="E642" t="inlineStr">
        <is>
          <t>_community_builder = CommunityBuilder(</t>
        </is>
      </c>
    </row>
    <row r="643">
      <c r="A643" t="inlineStr">
        <is>
          <t>archon-search</t>
        </is>
      </c>
      <c r="B643" t="inlineStr">
        <is>
          <t>/Users/manczg/Documents/development/archon-search/archon_search/eval/runner.py</t>
        </is>
      </c>
      <c r="C643" t="inlineStr">
        <is>
          <t>solid-15</t>
        </is>
      </c>
      <c r="D643" t="n">
        <v>451</v>
      </c>
      <c r="E643" t="inlineStr">
        <is>
          <t>elif isinstance(v, (int, float)):</t>
        </is>
      </c>
    </row>
    <row r="644">
      <c r="A644" t="inlineStr">
        <is>
          <t>archon-search</t>
        </is>
      </c>
      <c r="B644" t="inlineStr">
        <is>
          <t>/Users/manczg/Documents/development/archon-search/archon_search/eval/runner.py</t>
        </is>
      </c>
      <c r="C644" t="inlineStr">
        <is>
          <t>solid-15</t>
        </is>
      </c>
      <c r="D644" t="n">
        <v>640</v>
      </c>
      <c r="E644" t="inlineStr">
        <is>
          <t>elif backend == "deterministic":</t>
        </is>
      </c>
    </row>
    <row r="645">
      <c r="A645" t="inlineStr">
        <is>
          <t>archon-search</t>
        </is>
      </c>
      <c r="B645" t="inlineStr">
        <is>
          <t>/Users/manczg/Documents/development/archon-search/archon_search/parser.py</t>
        </is>
      </c>
      <c r="C645" t="inlineStr">
        <is>
          <t>safety-01</t>
        </is>
      </c>
      <c r="D645" t="n">
        <v>310</v>
      </c>
      <c r="E645" t="inlineStr">
        <is>
          <t>self._pool = ProcessPoolExecutor(</t>
        </is>
      </c>
    </row>
    <row r="646">
      <c r="A646" t="inlineStr">
        <is>
          <t>archon-search</t>
        </is>
      </c>
      <c r="B646" t="inlineStr">
        <is>
          <t>/Users/manczg/Documents/development/archon-search/archon_search/parser.py</t>
        </is>
      </c>
      <c r="C646" t="inlineStr">
        <is>
          <t>safety-06</t>
        </is>
      </c>
      <c r="D646" t="n">
        <v>86</v>
      </c>
      <c r="E646" t="inlineStr">
        <is>
          <t>time.sleep(_PARSE_WORKER_WATCHDOG_POLL_S)</t>
        </is>
      </c>
    </row>
    <row r="647">
      <c r="A647" t="inlineStr">
        <is>
          <t>archon-search</t>
        </is>
      </c>
      <c r="B647" t="inlineStr">
        <is>
          <t>/Users/manczg/Documents/development/archon-search/archon_search/parser.py</t>
        </is>
      </c>
      <c r="C647" t="inlineStr">
        <is>
          <t>safety-07</t>
        </is>
      </c>
      <c r="D647" t="n">
        <v>160</v>
      </c>
      <c r="E647" t="inlineStr">
        <is>
          <t>from docling.datamodel.pipeline_options import (  # noqa: PLC0415 — heavy, worker-only import</t>
        </is>
      </c>
    </row>
    <row r="648">
      <c r="A648" t="inlineStr">
        <is>
          <t>archon-search</t>
        </is>
      </c>
      <c r="B648" t="inlineStr">
        <is>
          <t>/Users/manczg/Documents/development/archon-search/archon_search/parser.py</t>
        </is>
      </c>
      <c r="C648" t="inlineStr">
        <is>
          <t>safety-07</t>
        </is>
      </c>
      <c r="D648" t="n">
        <v>163</v>
      </c>
      <c r="E648" t="inlineStr">
        <is>
          <t>from docling.document_converter import (  # noqa: PLC0415</t>
        </is>
      </c>
    </row>
    <row r="649">
      <c r="A649" t="inlineStr">
        <is>
          <t>archon-search</t>
        </is>
      </c>
      <c r="B649" t="inlineStr">
        <is>
          <t>/Users/manczg/Documents/development/archon-search/archon_search/parser.py</t>
        </is>
      </c>
      <c r="C649" t="inlineStr">
        <is>
          <t>safety-07</t>
        </is>
      </c>
      <c r="D649" t="n">
        <v>353</v>
      </c>
      <c r="E649" t="inlineStr">
        <is>
          <t>from markitdown import MarkItDown  # noqa: PLC0415</t>
        </is>
      </c>
    </row>
    <row r="650">
      <c r="A650" t="inlineStr">
        <is>
          <t>archon-search</t>
        </is>
      </c>
      <c r="B650" t="inlineStr">
        <is>
          <t>/Users/manczg/Documents/development/archon-search/archon_search/parser.py</t>
        </is>
      </c>
      <c r="C650" t="inlineStr">
        <is>
          <t>smells-10</t>
        </is>
      </c>
      <c r="D650" t="n">
        <v>204</v>
      </c>
      <c r="E650" t="inlineStr">
        <is>
          <t>text = converter.convert(path).document.export_to_markdown(</t>
        </is>
      </c>
    </row>
    <row r="651">
      <c r="A651" t="inlineStr">
        <is>
          <t>archon-search</t>
        </is>
      </c>
      <c r="B651" t="inlineStr">
        <is>
          <t>/Users/manczg/Documents/development/archon-search/archon_search/parser.py</t>
        </is>
      </c>
      <c r="C651" t="inlineStr">
        <is>
          <t>smells-12</t>
        </is>
      </c>
      <c r="D651" t="n">
        <v>207</v>
      </c>
      <c r="E651" t="inlineStr">
        <is>
          <t>except Exception as exc:</t>
        </is>
      </c>
    </row>
    <row r="652">
      <c r="A652" t="inlineStr">
        <is>
          <t>archon-search</t>
        </is>
      </c>
      <c r="B652" t="inlineStr">
        <is>
          <t>/Users/manczg/Documents/development/archon-search/archon_search/parser.py</t>
        </is>
      </c>
      <c r="C652" t="inlineStr">
        <is>
          <t>solid-06</t>
        </is>
      </c>
      <c r="D652" t="n">
        <v>119</v>
      </c>
      <c r="E652" t="inlineStr">
        <is>
          <t>self.path = path</t>
        </is>
      </c>
    </row>
    <row r="653">
      <c r="A653" t="inlineStr">
        <is>
          <t>archon-search</t>
        </is>
      </c>
      <c r="B653" t="inlineStr">
        <is>
          <t>/Users/manczg/Documents/development/archon-search/archon_search/parser.py</t>
        </is>
      </c>
      <c r="C653" t="inlineStr">
        <is>
          <t>solid-06</t>
        </is>
      </c>
      <c r="D653" t="n">
        <v>120</v>
      </c>
      <c r="E653" t="inlineStr">
        <is>
          <t>self.cause = cause</t>
        </is>
      </c>
    </row>
    <row r="654">
      <c r="A654" t="inlineStr">
        <is>
          <t>archon-search</t>
        </is>
      </c>
      <c r="B654" t="inlineStr">
        <is>
          <t>/Users/manczg/Documents/development/archon-search/archon_search/parser.py</t>
        </is>
      </c>
      <c r="C654" t="inlineStr">
        <is>
          <t>solid-09</t>
        </is>
      </c>
      <c r="D654" t="n">
        <v>50</v>
      </c>
      <c r="E654" t="inlineStr">
        <is>
          <t>_worker_converter: DocumentConverter | None = None</t>
        </is>
      </c>
    </row>
    <row r="655">
      <c r="A655" t="inlineStr">
        <is>
          <t>archon-search</t>
        </is>
      </c>
      <c r="B655" t="inlineStr">
        <is>
          <t>/Users/manczg/Documents/development/archon-search/archon_search/parser.py</t>
        </is>
      </c>
      <c r="C655" t="inlineStr">
        <is>
          <t>solid-10</t>
        </is>
      </c>
      <c r="D655" t="n">
        <v>310</v>
      </c>
      <c r="E655" t="inlineStr">
        <is>
          <t>self._pool = ProcessPoolExecutor(</t>
        </is>
      </c>
    </row>
    <row r="656">
      <c r="A656" t="inlineStr">
        <is>
          <t>archon-search</t>
        </is>
      </c>
      <c r="B656" t="inlineStr">
        <is>
          <t>/Users/manczg/Documents/development/archon-search/archon_search/parser.py</t>
        </is>
      </c>
      <c r="C656" t="inlineStr">
        <is>
          <t>solid-15</t>
        </is>
      </c>
      <c r="D656" t="n">
        <v>242</v>
      </c>
      <c r="E656" t="inlineStr">
        <is>
          <t>elif suffix in _PDF_EXTENSIONS:</t>
        </is>
      </c>
    </row>
    <row r="657">
      <c r="A657" t="inlineStr">
        <is>
          <t>archon-search</t>
        </is>
      </c>
      <c r="B657" t="inlineStr">
        <is>
          <t>/Users/manczg/Documents/development/archon-search/archon_search/parser.py</t>
        </is>
      </c>
      <c r="C657" t="inlineStr">
        <is>
          <t>solid-15</t>
        </is>
      </c>
      <c r="D657" t="n">
        <v>244</v>
      </c>
      <c r="E657" t="inlineStr">
        <is>
          <t>elif suffix in _OFFICE_EXTENSIONS:</t>
        </is>
      </c>
    </row>
    <row r="658">
      <c r="A658" t="inlineStr">
        <is>
          <t>archon-search</t>
        </is>
      </c>
      <c r="B658" t="inlineStr">
        <is>
          <t>/Users/manczg/Documents/development/archon-search/archon_search/parser.py</t>
        </is>
      </c>
      <c r="C658" t="inlineStr">
        <is>
          <t>solid-15</t>
        </is>
      </c>
      <c r="D658" t="n">
        <v>246</v>
      </c>
      <c r="E658" t="inlineStr">
        <is>
          <t>elif suffix in _IMAGE_EXTENSIONS:</t>
        </is>
      </c>
    </row>
    <row r="659">
      <c r="A659" t="inlineStr">
        <is>
          <t>archon-search</t>
        </is>
      </c>
      <c r="B659" t="inlineStr">
        <is>
          <t>/Users/manczg/Documents/development/archon-search/archon_search/embedder_cache.py</t>
        </is>
      </c>
      <c r="C659" t="inlineStr">
        <is>
          <t>safety-07</t>
        </is>
      </c>
      <c r="D659" t="n">
        <v>171</v>
      </c>
      <c r="E659" t="inlineStr">
        <is>
          <t>except Exception as exc:  # noqa: BLE001 — one bad model must not abort the rest</t>
        </is>
      </c>
    </row>
    <row r="660">
      <c r="A660" t="inlineStr">
        <is>
          <t>archon-search</t>
        </is>
      </c>
      <c r="B660" t="inlineStr">
        <is>
          <t>/Users/manczg/Documents/development/archon-search/archon_search/embedder_cache.py</t>
        </is>
      </c>
      <c r="C660" t="inlineStr">
        <is>
          <t>safety-07</t>
        </is>
      </c>
      <c r="D660" t="n">
        <v>176</v>
      </c>
      <c r="E660" t="inlineStr">
        <is>
          <t>except Exception as exc:  # noqa: BLE001 — same: never fail startup</t>
        </is>
      </c>
    </row>
    <row r="661">
      <c r="A661" t="inlineStr">
        <is>
          <t>archon-search</t>
        </is>
      </c>
      <c r="B661" t="inlineStr">
        <is>
          <t>/Users/manczg/Documents/development/archon-search/archon_search/embedder_cache.py</t>
        </is>
      </c>
      <c r="C661" t="inlineStr">
        <is>
          <t>smells-08</t>
        </is>
      </c>
      <c r="D661" t="n">
        <v>55</v>
      </c>
      <c r="E661" t="inlineStr">
        <is>
          <t>def __init__(self, max_size: int, providers: list[str] | None = None) -&gt; None:</t>
        </is>
      </c>
    </row>
    <row r="662">
      <c r="A662" t="inlineStr">
        <is>
          <t>archon-search</t>
        </is>
      </c>
      <c r="B662" t="inlineStr">
        <is>
          <t>/Users/manczg/Documents/development/archon-search/archon_search/embedder_cache.py</t>
        </is>
      </c>
      <c r="C662" t="inlineStr">
        <is>
          <t>smells-12</t>
        </is>
      </c>
      <c r="D662" t="n">
        <v>171</v>
      </c>
      <c r="E662" t="inlineStr">
        <is>
          <t>except Exception as exc:  # noqa: BLE001 — one bad model must not abort the rest</t>
        </is>
      </c>
    </row>
    <row r="663">
      <c r="A663" t="inlineStr">
        <is>
          <t>archon-search</t>
        </is>
      </c>
      <c r="B663" t="inlineStr">
        <is>
          <t>/Users/manczg/Documents/development/archon-search/archon_search/embedder_cache.py</t>
        </is>
      </c>
      <c r="C663" t="inlineStr">
        <is>
          <t>smells-12</t>
        </is>
      </c>
      <c r="D663" t="n">
        <v>176</v>
      </c>
      <c r="E663" t="inlineStr">
        <is>
          <t>except Exception as exc:  # noqa: BLE001 — same: never fail startup</t>
        </is>
      </c>
    </row>
    <row r="664">
      <c r="A664" t="inlineStr">
        <is>
          <t>archon-search</t>
        </is>
      </c>
      <c r="B664" t="inlineStr">
        <is>
          <t>/Users/manczg/Documents/development/archon-search/archon_search/sync_suppression.py</t>
        </is>
      </c>
      <c r="C664" t="inlineStr">
        <is>
          <t>safety-11</t>
        </is>
      </c>
      <c r="D664" t="n">
        <v>62</v>
      </c>
      <c r="E664" t="inlineStr">
        <is>
          <t>atomic_write_json(path, {"suppressed_at": datetime.now(UTC).isoformat()})</t>
        </is>
      </c>
    </row>
    <row r="665">
      <c r="A665" t="inlineStr">
        <is>
          <t>archon-search</t>
        </is>
      </c>
      <c r="B665" t="inlineStr">
        <is>
          <t>/Users/manczg/Documents/development/archon-search/archon_search/sync_suppression.py</t>
        </is>
      </c>
      <c r="C665" t="inlineStr">
        <is>
          <t>smells-10</t>
        </is>
      </c>
      <c r="D665" t="n">
        <v>18</v>
      </c>
      <c r="E665" t="inlineStr">
        <is>
          <t>Path resolution mirrors ``archon_search.jobs.model.get_jobs_file()``: resolved</t>
        </is>
      </c>
    </row>
    <row r="666">
      <c r="A666" t="inlineStr">
        <is>
          <t>archon-search</t>
        </is>
      </c>
      <c r="B666" t="inlineStr">
        <is>
          <t>/Users/manczg/Documents/development/archon-search/archon_search/sync_suppression.py</t>
        </is>
      </c>
      <c r="C666" t="inlineStr">
        <is>
          <t>tests-01</t>
        </is>
      </c>
      <c r="D666" t="n">
        <v>36</v>
      </c>
      <c r="E666" t="inlineStr">
        <is>
          <t>def get_sync_suppressed_file() -&gt; Path:</t>
        </is>
      </c>
    </row>
    <row r="667">
      <c r="A667" t="inlineStr">
        <is>
          <t>archon-search</t>
        </is>
      </c>
      <c r="B667" t="inlineStr">
        <is>
          <t>/Users/manczg/Documents/development/archon-search/tests/test_store.py</t>
        </is>
      </c>
      <c r="C667" t="inlineStr">
        <is>
          <t>clarity-09</t>
        </is>
      </c>
      <c r="D667" t="n">
        <v>4533</v>
      </c>
      <c r="E667" t="inlineStr">
        <is>
          <t>if "lock.acquire()" in stripped or "lock_for(" in stripped and ".acquire" in text[text.find(stripped):text.find(stripped) + 200]:</t>
        </is>
      </c>
    </row>
    <row r="668">
      <c r="A668" t="inlineStr">
        <is>
          <t>archon-search</t>
        </is>
      </c>
      <c r="B668" t="inlineStr">
        <is>
          <t>/Users/manczg/Documents/development/archon-search/tests/test_store.py</t>
        </is>
      </c>
      <c r="C668" t="inlineStr">
        <is>
          <t>clarity-09</t>
        </is>
      </c>
      <c r="D668" t="n">
        <v>4537</v>
      </c>
      <c r="E668" t="inlineStr">
        <is>
          <t>if in_lock_scope and "update_collection_meta(" in stripped and "do_write_meta_unlocked" not in stripped:</t>
        </is>
      </c>
    </row>
    <row r="669">
      <c r="A669" t="inlineStr">
        <is>
          <t>archon-search</t>
        </is>
      </c>
      <c r="B669" t="inlineStr">
        <is>
          <t>/Users/manczg/Documents/development/archon-search/tests/test_store.py</t>
        </is>
      </c>
      <c r="C669" t="inlineStr">
        <is>
          <t>clarity-09</t>
        </is>
      </c>
      <c r="D669" t="n">
        <v>1335</v>
      </c>
      <c r="E669" t="inlineStr">
        <is>
          <t>if (</t>
        </is>
      </c>
    </row>
    <row r="670">
      <c r="A670" t="inlineStr">
        <is>
          <t>archon-search</t>
        </is>
      </c>
      <c r="B670" t="inlineStr">
        <is>
          <t>/Users/manczg/Documents/development/archon-search/tests/test_store.py</t>
        </is>
      </c>
      <c r="C670" t="inlineStr">
        <is>
          <t>safety-07</t>
        </is>
      </c>
      <c r="D670" t="n">
        <v>2026</v>
      </c>
      <c r="E670" t="inlineStr">
        <is>
          <t>store.delete_document = AsyncMock(return_value=3)  # type: ignore[method-assign]</t>
        </is>
      </c>
    </row>
    <row r="671">
      <c r="A671" t="inlineStr">
        <is>
          <t>archon-search</t>
        </is>
      </c>
      <c r="B671" t="inlineStr">
        <is>
          <t>/Users/manczg/Documents/development/archon-search/tests/test_store.py</t>
        </is>
      </c>
      <c r="C671" t="inlineStr">
        <is>
          <t>safety-07</t>
        </is>
      </c>
      <c r="D671" t="n">
        <v>2042</v>
      </c>
      <c r="E671" t="inlineStr">
        <is>
          <t>store.delete_document = AsyncMock(return_value=0)  # type: ignore[method-assign]</t>
        </is>
      </c>
    </row>
    <row r="672">
      <c r="A672" t="inlineStr">
        <is>
          <t>archon-search</t>
        </is>
      </c>
      <c r="B672" t="inlineStr">
        <is>
          <t>/Users/manczg/Documents/development/archon-search/tests/test_store.py</t>
        </is>
      </c>
      <c r="C672" t="inlineStr">
        <is>
          <t>safety-07</t>
        </is>
      </c>
      <c r="D672" t="n">
        <v>4390</v>
      </c>
      <c r="E672" t="inlineStr">
        <is>
          <t>from archon_search.store import _where_eq  # noqa: PLC0415</t>
        </is>
      </c>
    </row>
    <row r="673">
      <c r="A673" t="inlineStr">
        <is>
          <t>archon-search</t>
        </is>
      </c>
      <c r="B673" t="inlineStr">
        <is>
          <t>/Users/manczg/Documents/development/archon-search/tests/test_store.py</t>
        </is>
      </c>
      <c r="C673" t="inlineStr">
        <is>
          <t>safety-07</t>
        </is>
      </c>
      <c r="D673" t="n">
        <v>4397</v>
      </c>
      <c r="E673" t="inlineStr">
        <is>
          <t>from archon_search.store import _where_eq  # noqa: PLC0415</t>
        </is>
      </c>
    </row>
    <row r="674">
      <c r="A674" t="inlineStr">
        <is>
          <t>archon-search</t>
        </is>
      </c>
      <c r="B674" t="inlineStr">
        <is>
          <t>/Users/manczg/Documents/development/archon-search/tests/test_store.py</t>
        </is>
      </c>
      <c r="C674" t="inlineStr">
        <is>
          <t>safety-07</t>
        </is>
      </c>
      <c r="D674" t="n">
        <v>4403</v>
      </c>
      <c r="E674" t="inlineStr">
        <is>
          <t>from archon_search.store import _where_in  # noqa: PLC0415</t>
        </is>
      </c>
    </row>
    <row r="675">
      <c r="A675" t="inlineStr">
        <is>
          <t>archon-search</t>
        </is>
      </c>
      <c r="B675" t="inlineStr">
        <is>
          <t>/Users/manczg/Documents/development/archon-search/tests/test_store.py</t>
        </is>
      </c>
      <c r="C675" t="inlineStr">
        <is>
          <t>safety-07</t>
        </is>
      </c>
      <c r="D675" t="n">
        <v>4409</v>
      </c>
      <c r="E675" t="inlineStr">
        <is>
          <t>from archon_search.store import _where_in  # noqa: PLC0415</t>
        </is>
      </c>
    </row>
    <row r="676">
      <c r="A676" t="inlineStr">
        <is>
          <t>archon-search</t>
        </is>
      </c>
      <c r="B676" t="inlineStr">
        <is>
          <t>/Users/manczg/Documents/development/archon-search/tests/test_store.py</t>
        </is>
      </c>
      <c r="C676" t="inlineStr">
        <is>
          <t>safety-07</t>
        </is>
      </c>
      <c r="D676" t="n">
        <v>4415</v>
      </c>
      <c r="E676" t="inlineStr">
        <is>
          <t>from archon_search.store import _where_in  # noqa: PLC0415</t>
        </is>
      </c>
    </row>
    <row r="677">
      <c r="A677" t="inlineStr">
        <is>
          <t>archon-search</t>
        </is>
      </c>
      <c r="B677" t="inlineStr">
        <is>
          <t>/Users/manczg/Documents/development/archon-search/tests/test_store.py</t>
        </is>
      </c>
      <c r="C677" t="inlineStr">
        <is>
          <t>safety-07</t>
        </is>
      </c>
      <c r="D677" t="n">
        <v>4422</v>
      </c>
      <c r="E677" t="inlineStr">
        <is>
          <t>from archon_search.store import _where_in  # noqa: PLC0415</t>
        </is>
      </c>
    </row>
    <row r="678">
      <c r="A678" t="inlineStr">
        <is>
          <t>archon-search</t>
        </is>
      </c>
      <c r="B678" t="inlineStr">
        <is>
          <t>/Users/manczg/Documents/development/archon-search/tests/test_store.py</t>
        </is>
      </c>
      <c r="C678" t="inlineStr">
        <is>
          <t>safety-07</t>
        </is>
      </c>
      <c r="D678" t="n">
        <v>4478</v>
      </c>
      <c r="E678" t="inlineStr">
        <is>
          <t>real_lock.acquire = tracked_acquire  # type: ignore[method-assign]</t>
        </is>
      </c>
    </row>
    <row r="679">
      <c r="A679" t="inlineStr">
        <is>
          <t>archon-search</t>
        </is>
      </c>
      <c r="B679" t="inlineStr">
        <is>
          <t>/Users/manczg/Documents/development/archon-search/tests/test_store.py</t>
        </is>
      </c>
      <c r="C679" t="inlineStr">
        <is>
          <t>safety-07</t>
        </is>
      </c>
      <c r="D679" t="n">
        <v>6335</v>
      </c>
      <c r="E679" t="inlineStr">
        <is>
          <t>store._do_update_meta_on_add = fake_update  # type: ignore[assignment]</t>
        </is>
      </c>
    </row>
    <row r="680">
      <c r="A680" t="inlineStr">
        <is>
          <t>archon-search</t>
        </is>
      </c>
      <c r="B680" t="inlineStr">
        <is>
          <t>/Users/manczg/Documents/development/archon-search/tests/test_store.py</t>
        </is>
      </c>
      <c r="C680" t="inlineStr">
        <is>
          <t>safety-07</t>
        </is>
      </c>
      <c r="D680" t="n">
        <v>6713</v>
      </c>
      <c r="E680" t="inlineStr">
        <is>
          <t>db = store._require_connected()  # type: ignore[attr-defined]</t>
        </is>
      </c>
    </row>
    <row r="681">
      <c r="A681" t="inlineStr">
        <is>
          <t>archon-search</t>
        </is>
      </c>
      <c r="B681" t="inlineStr">
        <is>
          <t>/Users/manczg/Documents/development/archon-search/tests/test_store.py</t>
        </is>
      </c>
      <c r="C681" t="inlineStr">
        <is>
          <t>safety-07</t>
        </is>
      </c>
      <c r="D681" t="n">
        <v>6716</v>
      </c>
      <c r="E681" t="inlineStr">
        <is>
          <t>async def fake_create_index(col_arg: str, config: FTS, replace: bool = False) -&gt; None:  # noqa: ARG001</t>
        </is>
      </c>
    </row>
    <row r="682">
      <c r="A682" t="inlineStr">
        <is>
          <t>archon-search</t>
        </is>
      </c>
      <c r="B682" t="inlineStr">
        <is>
          <t>/Users/manczg/Documents/development/archon-search/tests/test_store.py</t>
        </is>
      </c>
      <c r="C682" t="inlineStr">
        <is>
          <t>safety-07</t>
        </is>
      </c>
      <c r="D682" t="n">
        <v>6719</v>
      </c>
      <c r="E682" t="inlineStr">
        <is>
          <t>async def fake_open_table(name: str):  # noqa: ANN202</t>
        </is>
      </c>
    </row>
    <row r="683">
      <c r="A683" t="inlineStr">
        <is>
          <t>archon-search</t>
        </is>
      </c>
      <c r="B683" t="inlineStr">
        <is>
          <t>/Users/manczg/Documents/development/archon-search/tests/test_store.py</t>
        </is>
      </c>
      <c r="C683" t="inlineStr">
        <is>
          <t>safety-07</t>
        </is>
      </c>
      <c r="D683" t="n">
        <v>6722</v>
      </c>
      <c r="E683" t="inlineStr">
        <is>
          <t>table.create_index = fake_create_index  # type: ignore[method-assign]</t>
        </is>
      </c>
    </row>
    <row r="684">
      <c r="A684" t="inlineStr">
        <is>
          <t>archon-search</t>
        </is>
      </c>
      <c r="B684" t="inlineStr">
        <is>
          <t>/Users/manczg/Documents/development/archon-search/tests/test_store.py</t>
        </is>
      </c>
      <c r="C684" t="inlineStr">
        <is>
          <t>safety-07</t>
        </is>
      </c>
      <c r="D684" t="n">
        <v>6723</v>
      </c>
      <c r="E684" t="inlineStr">
        <is>
          <t>db.open_table = fake_open_table  # type: ignore[method-assign]</t>
        </is>
      </c>
    </row>
    <row r="685">
      <c r="A685" t="inlineStr">
        <is>
          <t>archon-search</t>
        </is>
      </c>
      <c r="B685" t="inlineStr">
        <is>
          <t>/Users/manczg/Documents/development/archon-search/tests/test_store.py</t>
        </is>
      </c>
      <c r="C685" t="inlineStr">
        <is>
          <t>safety-07</t>
        </is>
      </c>
      <c r="D685" t="n">
        <v>6729</v>
      </c>
      <c r="E685" t="inlineStr">
        <is>
          <t>assert captured_fts[0].language == "French"  # type: ignore[attr-defined]</t>
        </is>
      </c>
    </row>
    <row r="686">
      <c r="A686" t="inlineStr">
        <is>
          <t>archon-search</t>
        </is>
      </c>
      <c r="B686" t="inlineStr">
        <is>
          <t>/Users/manczg/Documents/development/archon-search/tests/test_store.py</t>
        </is>
      </c>
      <c r="C686" t="inlineStr">
        <is>
          <t>safety-07</t>
        </is>
      </c>
      <c r="D686" t="n">
        <v>6746</v>
      </c>
      <c r="E686" t="inlineStr">
        <is>
          <t>db = store._require_connected()  # type: ignore[attr-defined]</t>
        </is>
      </c>
    </row>
    <row r="687">
      <c r="A687" t="inlineStr">
        <is>
          <t>archon-search</t>
        </is>
      </c>
      <c r="B687" t="inlineStr">
        <is>
          <t>/Users/manczg/Documents/development/archon-search/tests/test_store.py</t>
        </is>
      </c>
      <c r="C687" t="inlineStr">
        <is>
          <t>safety-07</t>
        </is>
      </c>
      <c r="D687" t="n">
        <v>6749</v>
      </c>
      <c r="E687" t="inlineStr">
        <is>
          <t>async def fake_create_index(col_arg: str, config: FTS, replace: bool = False) -&gt; None:  # noqa: ARG001</t>
        </is>
      </c>
    </row>
    <row r="688">
      <c r="A688" t="inlineStr">
        <is>
          <t>archon-search</t>
        </is>
      </c>
      <c r="B688" t="inlineStr">
        <is>
          <t>/Users/manczg/Documents/development/archon-search/tests/test_store.py</t>
        </is>
      </c>
      <c r="C688" t="inlineStr">
        <is>
          <t>safety-07</t>
        </is>
      </c>
      <c r="D688" t="n">
        <v>6752</v>
      </c>
      <c r="E688" t="inlineStr">
        <is>
          <t>async def fake_open_table(name: str):  # noqa: ANN202</t>
        </is>
      </c>
    </row>
    <row r="689">
      <c r="A689" t="inlineStr">
        <is>
          <t>archon-search</t>
        </is>
      </c>
      <c r="B689" t="inlineStr">
        <is>
          <t>/Users/manczg/Documents/development/archon-search/tests/test_store.py</t>
        </is>
      </c>
      <c r="C689" t="inlineStr">
        <is>
          <t>safety-07</t>
        </is>
      </c>
      <c r="D689" t="n">
        <v>6755</v>
      </c>
      <c r="E689" t="inlineStr">
        <is>
          <t>table.create_index = fake_create_index  # type: ignore[method-assign]</t>
        </is>
      </c>
    </row>
    <row r="690">
      <c r="A690" t="inlineStr">
        <is>
          <t>archon-search</t>
        </is>
      </c>
      <c r="B690" t="inlineStr">
        <is>
          <t>/Users/manczg/Documents/development/archon-search/tests/test_store.py</t>
        </is>
      </c>
      <c r="C690" t="inlineStr">
        <is>
          <t>safety-07</t>
        </is>
      </c>
      <c r="D690" t="n">
        <v>6756</v>
      </c>
      <c r="E690" t="inlineStr">
        <is>
          <t>db.open_table = fake_open_table  # type: ignore[method-assign]</t>
        </is>
      </c>
    </row>
    <row r="691">
      <c r="A691" t="inlineStr">
        <is>
          <t>archon-search</t>
        </is>
      </c>
      <c r="B691" t="inlineStr">
        <is>
          <t>/Users/manczg/Documents/development/archon-search/tests/test_store.py</t>
        </is>
      </c>
      <c r="C691" t="inlineStr">
        <is>
          <t>safety-07</t>
        </is>
      </c>
      <c r="D691" t="n">
        <v>6763</v>
      </c>
      <c r="E691" t="inlineStr">
        <is>
          <t>assert captured_fts[0].language == "English"  # type: ignore[attr-defined]</t>
        </is>
      </c>
    </row>
    <row r="692">
      <c r="A692" t="inlineStr">
        <is>
          <t>archon-search</t>
        </is>
      </c>
      <c r="B692" t="inlineStr">
        <is>
          <t>/Users/manczg/Documents/development/archon-search/tests/test_store.py</t>
        </is>
      </c>
      <c r="C692" t="inlineStr">
        <is>
          <t>safety-07</t>
        </is>
      </c>
      <c r="D692" t="n">
        <v>6780</v>
      </c>
      <c r="E692" t="inlineStr">
        <is>
          <t>db = store._require_connected()  # type: ignore[attr-defined]</t>
        </is>
      </c>
    </row>
    <row r="693">
      <c r="A693" t="inlineStr">
        <is>
          <t>archon-search</t>
        </is>
      </c>
      <c r="B693" t="inlineStr">
        <is>
          <t>/Users/manczg/Documents/development/archon-search/tests/test_store.py</t>
        </is>
      </c>
      <c r="C693" t="inlineStr">
        <is>
          <t>safety-07</t>
        </is>
      </c>
      <c r="D693" t="n">
        <v>6783</v>
      </c>
      <c r="E693" t="inlineStr">
        <is>
          <t>async def fake_create_index(col_arg: str, config: FTS, replace: bool = False) -&gt; None:  # noqa: ARG001</t>
        </is>
      </c>
    </row>
    <row r="694">
      <c r="A694" t="inlineStr">
        <is>
          <t>archon-search</t>
        </is>
      </c>
      <c r="B694" t="inlineStr">
        <is>
          <t>/Users/manczg/Documents/development/archon-search/tests/test_store.py</t>
        </is>
      </c>
      <c r="C694" t="inlineStr">
        <is>
          <t>safety-07</t>
        </is>
      </c>
      <c r="D694" t="n">
        <v>6786</v>
      </c>
      <c r="E694" t="inlineStr">
        <is>
          <t>async def fake_open_table(name: str):  # noqa: ANN202</t>
        </is>
      </c>
    </row>
    <row r="695">
      <c r="A695" t="inlineStr">
        <is>
          <t>archon-search</t>
        </is>
      </c>
      <c r="B695" t="inlineStr">
        <is>
          <t>/Users/manczg/Documents/development/archon-search/tests/test_store.py</t>
        </is>
      </c>
      <c r="C695" t="inlineStr">
        <is>
          <t>safety-07</t>
        </is>
      </c>
      <c r="D695" t="n">
        <v>6789</v>
      </c>
      <c r="E695" t="inlineStr">
        <is>
          <t>table.create_index = fake_create_index  # type: ignore[method-assign]</t>
        </is>
      </c>
    </row>
    <row r="696">
      <c r="A696" t="inlineStr">
        <is>
          <t>archon-search</t>
        </is>
      </c>
      <c r="B696" t="inlineStr">
        <is>
          <t>/Users/manczg/Documents/development/archon-search/tests/test_store.py</t>
        </is>
      </c>
      <c r="C696" t="inlineStr">
        <is>
          <t>safety-07</t>
        </is>
      </c>
      <c r="D696" t="n">
        <v>6790</v>
      </c>
      <c r="E696" t="inlineStr">
        <is>
          <t>db.open_table = fake_open_table  # type: ignore[method-assign]</t>
        </is>
      </c>
    </row>
    <row r="697">
      <c r="A697" t="inlineStr">
        <is>
          <t>archon-search</t>
        </is>
      </c>
      <c r="B697" t="inlineStr">
        <is>
          <t>/Users/manczg/Documents/development/archon-search/tests/test_store.py</t>
        </is>
      </c>
      <c r="C697" t="inlineStr">
        <is>
          <t>safety-07</t>
        </is>
      </c>
      <c r="D697" t="n">
        <v>6796</v>
      </c>
      <c r="E697" t="inlineStr">
        <is>
          <t>assert captured_fts[0].language == "English"  # type: ignore[attr-defined]</t>
        </is>
      </c>
    </row>
    <row r="698">
      <c r="A698" t="inlineStr">
        <is>
          <t>archon-search</t>
        </is>
      </c>
      <c r="B698" t="inlineStr">
        <is>
          <t>/Users/manczg/Documents/development/archon-search/tests/test_store.py</t>
        </is>
      </c>
      <c r="C698" t="inlineStr">
        <is>
          <t>safety-07</t>
        </is>
      </c>
      <c r="D698" t="n">
        <v>7128</v>
      </c>
      <c r="E698" t="inlineStr">
        <is>
          <t>store.get_collection_meta = AsyncMock(return_value=mock_meta)  # type: ignore[method-assign]</t>
        </is>
      </c>
    </row>
    <row r="699">
      <c r="A699" t="inlineStr">
        <is>
          <t>archon-search</t>
        </is>
      </c>
      <c r="B699" t="inlineStr">
        <is>
          <t>/Users/manczg/Documents/development/archon-search/tests/test_store.py</t>
        </is>
      </c>
      <c r="C699" t="inlineStr">
        <is>
          <t>safety-07</t>
        </is>
      </c>
      <c r="D699" t="n">
        <v>7153</v>
      </c>
      <c r="E699" t="inlineStr">
        <is>
          <t>store.get_collection_meta = AsyncMock(return_value=mock_meta)  # type: ignore[method-assign]</t>
        </is>
      </c>
    </row>
    <row r="700">
      <c r="A700" t="inlineStr">
        <is>
          <t>archon-search</t>
        </is>
      </c>
      <c r="B700" t="inlineStr">
        <is>
          <t>/Users/manczg/Documents/development/archon-search/tests/test_store.py</t>
        </is>
      </c>
      <c r="C700" t="inlineStr">
        <is>
          <t>safety-07</t>
        </is>
      </c>
      <c r="D700" t="n">
        <v>7186</v>
      </c>
      <c r="E700" t="inlineStr">
        <is>
          <t>store.get_collection_meta = AsyncMock(return_value=mock_meta)  # type: ignore[method-assign]</t>
        </is>
      </c>
    </row>
    <row r="701">
      <c r="A701" t="inlineStr">
        <is>
          <t>archon-search</t>
        </is>
      </c>
      <c r="B701" t="inlineStr">
        <is>
          <t>/Users/manczg/Documents/development/archon-search/tests/test_store.py</t>
        </is>
      </c>
      <c r="C701" t="inlineStr">
        <is>
          <t>safety-07</t>
        </is>
      </c>
      <c r="D701" t="n">
        <v>7204</v>
      </c>
      <c r="E701" t="inlineStr">
        <is>
          <t>store.get_collection_meta = AsyncMock(return_value=None)  # type: ignore[method-assign]</t>
        </is>
      </c>
    </row>
    <row r="702">
      <c r="A702" t="inlineStr">
        <is>
          <t>archon-search</t>
        </is>
      </c>
      <c r="B702" t="inlineStr">
        <is>
          <t>/Users/manczg/Documents/development/archon-search/tests/test_store.py</t>
        </is>
      </c>
      <c r="C702" t="inlineStr">
        <is>
          <t>safety-07</t>
        </is>
      </c>
      <c r="D702" t="n">
        <v>7298</v>
      </c>
      <c r="E702" t="inlineStr">
        <is>
          <t>store.migrate_a = migrate_a  # type: ignore[attr-defined]</t>
        </is>
      </c>
    </row>
    <row r="703">
      <c r="A703" t="inlineStr">
        <is>
          <t>archon-search</t>
        </is>
      </c>
      <c r="B703" t="inlineStr">
        <is>
          <t>/Users/manczg/Documents/development/archon-search/tests/test_store.py</t>
        </is>
      </c>
      <c r="C703" t="inlineStr">
        <is>
          <t>safety-07</t>
        </is>
      </c>
      <c r="D703" t="n">
        <v>7299</v>
      </c>
      <c r="E703" t="inlineStr">
        <is>
          <t>store.migrate_b = migrate_b  # type: ignore[attr-defined]</t>
        </is>
      </c>
    </row>
    <row r="704">
      <c r="A704" t="inlineStr">
        <is>
          <t>archon-search</t>
        </is>
      </c>
      <c r="B704" t="inlineStr">
        <is>
          <t>/Users/manczg/Documents/development/archon-search/tests/test_store.py</t>
        </is>
      </c>
      <c r="C704" t="inlineStr">
        <is>
          <t>safety-07</t>
        </is>
      </c>
      <c r="D704" t="n">
        <v>7334</v>
      </c>
      <c r="E704" t="inlineStr">
        <is>
          <t>store.migrate_noop = noop_migrate  # type: ignore[attr-defined]</t>
        </is>
      </c>
    </row>
    <row r="705">
      <c r="A705" t="inlineStr">
        <is>
          <t>archon-search</t>
        </is>
      </c>
      <c r="B705" t="inlineStr">
        <is>
          <t>/Users/manczg/Documents/development/archon-search/tests/test_store.py</t>
        </is>
      </c>
      <c r="C705" t="inlineStr">
        <is>
          <t>safety-07</t>
        </is>
      </c>
      <c r="D705" t="n">
        <v>7381</v>
      </c>
      <c r="E705" t="inlineStr">
        <is>
          <t>store.migrate_fn = migrate_fn  # type: ignore[attr-defined]</t>
        </is>
      </c>
    </row>
    <row r="706">
      <c r="A706" t="inlineStr">
        <is>
          <t>archon-search</t>
        </is>
      </c>
      <c r="B706" t="inlineStr">
        <is>
          <t>/Users/manczg/Documents/development/archon-search/tests/test_store.py</t>
        </is>
      </c>
      <c r="C706" t="inlineStr">
        <is>
          <t>safety-07</t>
        </is>
      </c>
      <c r="D706" t="n">
        <v>7418</v>
      </c>
      <c r="E706" t="inlineStr">
        <is>
          <t>store.migrate_ok = migrate_ok  # type: ignore[attr-defined]</t>
        </is>
      </c>
    </row>
    <row r="707">
      <c r="A707" t="inlineStr">
        <is>
          <t>archon-search</t>
        </is>
      </c>
      <c r="B707" t="inlineStr">
        <is>
          <t>/Users/manczg/Documents/development/archon-search/tests/test_store.py</t>
        </is>
      </c>
      <c r="C707" t="inlineStr">
        <is>
          <t>safety-07</t>
        </is>
      </c>
      <c r="D707" t="n">
        <v>7556</v>
      </c>
      <c r="E707" t="inlineStr">
        <is>
          <t>store.migrate_rewrite_dummy = dummy_transform  # type: ignore[attr-defined]</t>
        </is>
      </c>
    </row>
    <row r="708">
      <c r="A708" t="inlineStr">
        <is>
          <t>archon-search</t>
        </is>
      </c>
      <c r="B708" t="inlineStr">
        <is>
          <t>/Users/manczg/Documents/development/archon-search/tests/test_store.py</t>
        </is>
      </c>
      <c r="C708" t="inlineStr">
        <is>
          <t>safety-07</t>
        </is>
      </c>
      <c r="D708" t="n">
        <v>7608</v>
      </c>
      <c r="E708" t="inlineStr">
        <is>
          <t>store.migrate_rewrite_dummy = dummy_transform  # type: ignore[attr-defined]</t>
        </is>
      </c>
    </row>
    <row r="709">
      <c r="A709" t="inlineStr">
        <is>
          <t>archon-search</t>
        </is>
      </c>
      <c r="B709" t="inlineStr">
        <is>
          <t>/Users/manczg/Documents/development/archon-search/tests/test_store.py</t>
        </is>
      </c>
      <c r="C709" t="inlineStr">
        <is>
          <t>safety-07</t>
        </is>
      </c>
      <c r="D709" t="n">
        <v>7683</v>
      </c>
      <c r="E709" t="inlineStr">
        <is>
          <t>store.migrate_rewrite_dummy = dummy_transform  # type: ignore[attr-defined]</t>
        </is>
      </c>
    </row>
    <row r="710">
      <c r="A710" t="inlineStr">
        <is>
          <t>archon-search</t>
        </is>
      </c>
      <c r="B710" t="inlineStr">
        <is>
          <t>/Users/manczg/Documents/development/archon-search/tests/test_store.py</t>
        </is>
      </c>
      <c r="C710" t="inlineStr">
        <is>
          <t>safety-07</t>
        </is>
      </c>
      <c r="D710" t="n">
        <v>7686</v>
      </c>
      <c r="E710" t="inlineStr">
        <is>
          <t>mock_table.query.return_value.to_list = AsyncMock(return_value=[])  # type: ignore[attr-defined]</t>
        </is>
      </c>
    </row>
    <row r="711">
      <c r="A711" t="inlineStr">
        <is>
          <t>archon-search</t>
        </is>
      </c>
      <c r="B711" t="inlineStr">
        <is>
          <t>/Users/manczg/Documents/development/archon-search/tests/test_store.py</t>
        </is>
      </c>
      <c r="C711" t="inlineStr">
        <is>
          <t>safety-07</t>
        </is>
      </c>
      <c r="D711" t="n">
        <v>7736</v>
      </c>
      <c r="E711" t="inlineStr">
        <is>
          <t>store.migrate_rewrite_blocking = blocking_transform  # type: ignore[attr-defined]</t>
        </is>
      </c>
    </row>
    <row r="712">
      <c r="A712" t="inlineStr">
        <is>
          <t>archon-search</t>
        </is>
      </c>
      <c r="B712" t="inlineStr">
        <is>
          <t>/Users/manczg/Documents/development/archon-search/tests/test_store.py</t>
        </is>
      </c>
      <c r="C712" t="inlineStr">
        <is>
          <t>safety-07</t>
        </is>
      </c>
      <c r="D712" t="n">
        <v>7810</v>
      </c>
      <c r="E712" t="inlineStr">
        <is>
          <t>store.migrate_rewrite_fail = failing_transform  # type: ignore[attr-defined]</t>
        </is>
      </c>
    </row>
    <row r="713">
      <c r="A713" t="inlineStr">
        <is>
          <t>archon-search</t>
        </is>
      </c>
      <c r="B713" t="inlineStr">
        <is>
          <t>/Users/manczg/Documents/development/archon-search/tests/test_store.py</t>
        </is>
      </c>
      <c r="C713" t="inlineStr">
        <is>
          <t>safety-07</t>
        </is>
      </c>
      <c r="D713" t="n">
        <v>7858</v>
      </c>
      <c r="E713" t="inlineStr">
        <is>
          <t>store.migrate_rewrite_cancel = cancelling_transform  # type: ignore[attr-defined]</t>
        </is>
      </c>
    </row>
    <row r="714">
      <c r="A714" t="inlineStr">
        <is>
          <t>archon-search</t>
        </is>
      </c>
      <c r="B714" t="inlineStr">
        <is>
          <t>/Users/manczg/Documents/development/archon-search/tests/test_store.py</t>
        </is>
      </c>
      <c r="C714" t="inlineStr">
        <is>
          <t>safety-07</t>
        </is>
      </c>
      <c r="D714" t="n">
        <v>7913</v>
      </c>
      <c r="E714" t="inlineStr">
        <is>
          <t>store.migrate_rewrite_midway_cancel = midway_cancel_transform  # type: ignore[attr-defined]</t>
        </is>
      </c>
    </row>
    <row r="715">
      <c r="A715" t="inlineStr">
        <is>
          <t>archon-search</t>
        </is>
      </c>
      <c r="B715" t="inlineStr">
        <is>
          <t>/Users/manczg/Documents/development/archon-search/tests/test_store.py</t>
        </is>
      </c>
      <c r="C715" t="inlineStr">
        <is>
          <t>safety-07</t>
        </is>
      </c>
      <c r="D715" t="n">
        <v>7983</v>
      </c>
      <c r="E715" t="inlineStr">
        <is>
          <t>store.migrate_rewrite_identity = _identity_transform  # type: ignore[attr-defined]</t>
        </is>
      </c>
    </row>
    <row r="716">
      <c r="A716" t="inlineStr">
        <is>
          <t>archon-search</t>
        </is>
      </c>
      <c r="B716" t="inlineStr">
        <is>
          <t>/Users/manczg/Documents/development/archon-search/tests/test_store.py</t>
        </is>
      </c>
      <c r="C716" t="inlineStr">
        <is>
          <t>smells-01</t>
        </is>
      </c>
      <c r="D716" t="n">
        <v>1</v>
      </c>
      <c r="E716" t="inlineStr">
        <is>
          <t>file-level: 8271 lines</t>
        </is>
      </c>
    </row>
    <row r="717">
      <c r="A717" t="inlineStr">
        <is>
          <t>archon-search</t>
        </is>
      </c>
      <c r="B717" t="inlineStr">
        <is>
          <t>/Users/manczg/Documents/development/archon-search/tests/test_store.py</t>
        </is>
      </c>
      <c r="C717" t="inlineStr">
        <is>
          <t>smells-02</t>
        </is>
      </c>
      <c r="D717" t="n">
        <v>31</v>
      </c>
      <c r="E717" t="inlineStr">
        <is>
          <t>def _chunk(doc_id: str, idx: int, text: str = "hello", dim: int = _DIM) -&gt; ChunkRecord:</t>
        </is>
      </c>
    </row>
    <row r="718">
      <c r="A718" t="inlineStr">
        <is>
          <t>archon-search</t>
        </is>
      </c>
      <c r="B718" t="inlineStr">
        <is>
          <t>/Users/manczg/Documents/development/archon-search/tests/test_store.py</t>
        </is>
      </c>
      <c r="C718" t="inlineStr">
        <is>
          <t>smells-02</t>
        </is>
      </c>
      <c r="D718" t="n">
        <v>211</v>
      </c>
      <c r="E718" t="inlineStr">
        <is>
          <t>async def _ingest_doc(</t>
        </is>
      </c>
    </row>
    <row r="719">
      <c r="A719" t="inlineStr">
        <is>
          <t>archon-search</t>
        </is>
      </c>
      <c r="B719" t="inlineStr">
        <is>
          <t>/Users/manczg/Documents/development/archon-search/tests/test_store.py</t>
        </is>
      </c>
      <c r="C719" t="inlineStr">
        <is>
          <t>smells-02</t>
        </is>
      </c>
      <c r="D719" t="n">
        <v>6331</v>
      </c>
      <c r="E719" t="inlineStr">
        <is>
          <t>async def fake_update(db, collection, batch_vectors, distinct_doc_count, *, embedding_model, embedding_dim, namespace):</t>
        </is>
      </c>
    </row>
    <row r="720">
      <c r="A720" t="inlineStr">
        <is>
          <t>archon-search</t>
        </is>
      </c>
      <c r="B720" t="inlineStr">
        <is>
          <t>/Users/manczg/Documents/development/archon-search/tests/test_store.py</t>
        </is>
      </c>
      <c r="C720" t="inlineStr">
        <is>
          <t>smells-03</t>
        </is>
      </c>
      <c r="D720" t="n">
        <v>6716</v>
      </c>
      <c r="E720" t="inlineStr">
        <is>
          <t>async def fake_create_index(col_arg: str, config: FTS, replace: bool = False) -&gt; None:  # noqa: ARG001</t>
        </is>
      </c>
    </row>
    <row r="721">
      <c r="A721" t="inlineStr">
        <is>
          <t>archon-search</t>
        </is>
      </c>
      <c r="B721" t="inlineStr">
        <is>
          <t>/Users/manczg/Documents/development/archon-search/tests/test_store.py</t>
        </is>
      </c>
      <c r="C721" t="inlineStr">
        <is>
          <t>smells-03</t>
        </is>
      </c>
      <c r="D721" t="n">
        <v>6749</v>
      </c>
      <c r="E721" t="inlineStr">
        <is>
          <t>async def fake_create_index(col_arg: str, config: FTS, replace: bool = False) -&gt; None:  # noqa: ARG001</t>
        </is>
      </c>
    </row>
    <row r="722">
      <c r="A722" t="inlineStr">
        <is>
          <t>archon-search</t>
        </is>
      </c>
      <c r="B722" t="inlineStr">
        <is>
          <t>/Users/manczg/Documents/development/archon-search/tests/test_store.py</t>
        </is>
      </c>
      <c r="C722" t="inlineStr">
        <is>
          <t>smells-03</t>
        </is>
      </c>
      <c r="D722" t="n">
        <v>6783</v>
      </c>
      <c r="E722" t="inlineStr">
        <is>
          <t>async def fake_create_index(col_arg: str, config: FTS, replace: bool = False) -&gt; None:  # noqa: ARG001</t>
        </is>
      </c>
    </row>
    <row r="723">
      <c r="A723" t="inlineStr">
        <is>
          <t>archon-search</t>
        </is>
      </c>
      <c r="B723" t="inlineStr">
        <is>
          <t>/Users/manczg/Documents/development/archon-search/tests/test_store.py</t>
        </is>
      </c>
      <c r="C723" t="inlineStr">
        <is>
          <t>smells-12</t>
        </is>
      </c>
      <c r="D723" t="n">
        <v>2171</v>
      </c>
      <c r="E723" t="inlineStr">
        <is>
          <t>except Exception as exc:</t>
        </is>
      </c>
    </row>
    <row r="724">
      <c r="A724" t="inlineStr">
        <is>
          <t>archon-search</t>
        </is>
      </c>
      <c r="B724" t="inlineStr">
        <is>
          <t>/Users/manczg/Documents/development/archon-search/tests/test_store.py</t>
        </is>
      </c>
      <c r="C724" t="inlineStr">
        <is>
          <t>tests-04</t>
        </is>
      </c>
      <c r="D724" t="n">
        <v>38</v>
      </c>
      <c r="E724" t="inlineStr">
        <is>
          <t>indexed_at=datetime.now(timezone.utc).isoformat(),</t>
        </is>
      </c>
    </row>
    <row r="725">
      <c r="A725" t="inlineStr">
        <is>
          <t>archon-search</t>
        </is>
      </c>
      <c r="B725" t="inlineStr">
        <is>
          <t>/Users/manczg/Documents/development/archon-search/tests/test_store.py</t>
        </is>
      </c>
      <c r="C725" t="inlineStr">
        <is>
          <t>tests-04</t>
        </is>
      </c>
      <c r="D725" t="n">
        <v>3271</v>
      </c>
      <c r="E725" t="inlineStr">
        <is>
          <t>indexed_at=datetime.now(timezone.utc).isoformat(),</t>
        </is>
      </c>
    </row>
    <row r="726">
      <c r="A726" t="inlineStr">
        <is>
          <t>archon-search</t>
        </is>
      </c>
      <c r="B726" t="inlineStr">
        <is>
          <t>/Users/manczg/Documents/development/archon-search/tests/test_store.py</t>
        </is>
      </c>
      <c r="C726" t="inlineStr">
        <is>
          <t>tests-04</t>
        </is>
      </c>
      <c r="D726" t="n">
        <v>3597</v>
      </c>
      <c r="E726" t="inlineStr">
        <is>
          <t>indexed_at=datetime.now(timezone.utc).isoformat(),</t>
        </is>
      </c>
    </row>
    <row r="727">
      <c r="A727" t="inlineStr">
        <is>
          <t>archon-search</t>
        </is>
      </c>
      <c r="B727" t="inlineStr">
        <is>
          <t>/Users/manczg/Documents/development/archon-search/tests/test_store.py</t>
        </is>
      </c>
      <c r="C727" t="inlineStr">
        <is>
          <t>tests-04</t>
        </is>
      </c>
      <c r="D727" t="n">
        <v>3609</v>
      </c>
      <c r="E727" t="inlineStr">
        <is>
          <t>indexed_at=datetime.now(timezone.utc).isoformat(),</t>
        </is>
      </c>
    </row>
    <row r="728">
      <c r="A728" t="inlineStr">
        <is>
          <t>archon-search</t>
        </is>
      </c>
      <c r="B728" t="inlineStr">
        <is>
          <t>/Users/manczg/Documents/development/archon-search/tests/test_store.py</t>
        </is>
      </c>
      <c r="C728" t="inlineStr">
        <is>
          <t>tests-04</t>
        </is>
      </c>
      <c r="D728" t="n">
        <v>3649</v>
      </c>
      <c r="E728" t="inlineStr">
        <is>
          <t>indexed_at=datetime.now(timezone.utc).isoformat(),</t>
        </is>
      </c>
    </row>
    <row r="729">
      <c r="A729" t="inlineStr">
        <is>
          <t>archon-search</t>
        </is>
      </c>
      <c r="B729" t="inlineStr">
        <is>
          <t>/Users/manczg/Documents/development/archon-search/tests/test_store.py</t>
        </is>
      </c>
      <c r="C729" t="inlineStr">
        <is>
          <t>tests-04</t>
        </is>
      </c>
      <c r="D729" t="n">
        <v>3660</v>
      </c>
      <c r="E729" t="inlineStr">
        <is>
          <t>indexed_at=datetime.now(timezone.utc).isoformat(),</t>
        </is>
      </c>
    </row>
    <row r="730">
      <c r="A730" t="inlineStr">
        <is>
          <t>archon-search</t>
        </is>
      </c>
      <c r="B730" t="inlineStr">
        <is>
          <t>/Users/manczg/Documents/development/archon-search/tests/test_store.py</t>
        </is>
      </c>
      <c r="C730" t="inlineStr">
        <is>
          <t>tests-04</t>
        </is>
      </c>
      <c r="D730" t="n">
        <v>3748</v>
      </c>
      <c r="E730" t="inlineStr">
        <is>
          <t>indexed_at=datetime.now(timezone.utc).isoformat(),</t>
        </is>
      </c>
    </row>
    <row r="731">
      <c r="A731" t="inlineStr">
        <is>
          <t>archon-search</t>
        </is>
      </c>
      <c r="B731" t="inlineStr">
        <is>
          <t>/Users/manczg/Documents/development/archon-search/tests/test_store.py</t>
        </is>
      </c>
      <c r="C731" t="inlineStr">
        <is>
          <t>tests-04</t>
        </is>
      </c>
      <c r="D731" t="n">
        <v>3785</v>
      </c>
      <c r="E731" t="inlineStr">
        <is>
          <t>indexed_at=datetime.now(timezone.utc).isoformat(),</t>
        </is>
      </c>
    </row>
    <row r="732">
      <c r="A732" t="inlineStr">
        <is>
          <t>archon-search</t>
        </is>
      </c>
      <c r="B732" t="inlineStr">
        <is>
          <t>/Users/manczg/Documents/development/archon-search/tests/test_store.py</t>
        </is>
      </c>
      <c r="C732" t="inlineStr">
        <is>
          <t>tests-04</t>
        </is>
      </c>
      <c r="D732" t="n">
        <v>3797</v>
      </c>
      <c r="E732" t="inlineStr">
        <is>
          <t>indexed_at=datetime.now(timezone.utc).isoformat(),</t>
        </is>
      </c>
    </row>
    <row r="733">
      <c r="A733" t="inlineStr">
        <is>
          <t>archon-search</t>
        </is>
      </c>
      <c r="B733" t="inlineStr">
        <is>
          <t>/Users/manczg/Documents/development/archon-search/tests/test_store.py</t>
        </is>
      </c>
      <c r="C733" t="inlineStr">
        <is>
          <t>tests-04</t>
        </is>
      </c>
      <c r="D733" t="n">
        <v>4057</v>
      </c>
      <c r="E733" t="inlineStr">
        <is>
          <t>indexed_at=datetime.now(timezone.utc).isoformat(),</t>
        </is>
      </c>
    </row>
    <row r="734">
      <c r="A734" t="inlineStr">
        <is>
          <t>archon-search</t>
        </is>
      </c>
      <c r="B734" t="inlineStr">
        <is>
          <t>/Users/manczg/Documents/development/archon-search/tests/test_store.py</t>
        </is>
      </c>
      <c r="C734" t="inlineStr">
        <is>
          <t>tests-04</t>
        </is>
      </c>
      <c r="D734" t="n">
        <v>4066</v>
      </c>
      <c r="E734" t="inlineStr">
        <is>
          <t>indexed_at=datetime.now(timezone.utc).isoformat(),</t>
        </is>
      </c>
    </row>
    <row r="735">
      <c r="A735" t="inlineStr">
        <is>
          <t>archon-search</t>
        </is>
      </c>
      <c r="B735" t="inlineStr">
        <is>
          <t>/Users/manczg/Documents/development/archon-search/tests/test_store.py</t>
        </is>
      </c>
      <c r="C735" t="inlineStr">
        <is>
          <t>tests-04</t>
        </is>
      </c>
      <c r="D735" t="n">
        <v>4105</v>
      </c>
      <c r="E735" t="inlineStr">
        <is>
          <t>indexed_at=datetime.now(timezone.utc).isoformat(),</t>
        </is>
      </c>
    </row>
    <row r="736">
      <c r="A736" t="inlineStr">
        <is>
          <t>archon-search</t>
        </is>
      </c>
      <c r="B736" t="inlineStr">
        <is>
          <t>/Users/manczg/Documents/development/archon-search/tests/test_store.py</t>
        </is>
      </c>
      <c r="C736" t="inlineStr">
        <is>
          <t>tests-04</t>
        </is>
      </c>
      <c r="D736" t="n">
        <v>4143</v>
      </c>
      <c r="E736" t="inlineStr">
        <is>
          <t>indexed_at=datetime.now(timezone.utc).isoformat(),</t>
        </is>
      </c>
    </row>
    <row r="737">
      <c r="A737" t="inlineStr">
        <is>
          <t>archon-search</t>
        </is>
      </c>
      <c r="B737" t="inlineStr">
        <is>
          <t>/Users/manczg/Documents/development/archon-search/tests/test_store.py</t>
        </is>
      </c>
      <c r="C737" t="inlineStr">
        <is>
          <t>tests-04</t>
        </is>
      </c>
      <c r="D737" t="n">
        <v>5086</v>
      </c>
      <c r="E737" t="inlineStr">
        <is>
          <t>indexed_at=datetime.now(timezone.utc).isoformat(),</t>
        </is>
      </c>
    </row>
    <row r="738">
      <c r="A738" t="inlineStr">
        <is>
          <t>archon-search</t>
        </is>
      </c>
      <c r="B738" t="inlineStr">
        <is>
          <t>/Users/manczg/Documents/development/archon-search/tests/test_store.py</t>
        </is>
      </c>
      <c r="C738" t="inlineStr">
        <is>
          <t>tests-04</t>
        </is>
      </c>
      <c r="D738" t="n">
        <v>5094</v>
      </c>
      <c r="E738" t="inlineStr">
        <is>
          <t>indexed_at=datetime.now(timezone.utc).isoformat(),</t>
        </is>
      </c>
    </row>
    <row r="739">
      <c r="A739" t="inlineStr">
        <is>
          <t>archon-search</t>
        </is>
      </c>
      <c r="B739" t="inlineStr">
        <is>
          <t>/Users/manczg/Documents/development/archon-search/tests/test_store.py</t>
        </is>
      </c>
      <c r="C739" t="inlineStr">
        <is>
          <t>tests-04</t>
        </is>
      </c>
      <c r="D739" t="n">
        <v>5102</v>
      </c>
      <c r="E739" t="inlineStr">
        <is>
          <t>indexed_at=datetime.now(timezone.utc).isoformat(),</t>
        </is>
      </c>
    </row>
    <row r="740">
      <c r="A740" t="inlineStr">
        <is>
          <t>archon-search</t>
        </is>
      </c>
      <c r="B740" t="inlineStr">
        <is>
          <t>/Users/manczg/Documents/development/archon-search/tests/test_store.py</t>
        </is>
      </c>
      <c r="C740" t="inlineStr">
        <is>
          <t>tests-04</t>
        </is>
      </c>
      <c r="D740" t="n">
        <v>6511</v>
      </c>
      <c r="E740" t="inlineStr">
        <is>
          <t>indexed_at=datetime.now(timezone.utc).isoformat(),</t>
        </is>
      </c>
    </row>
    <row r="741">
      <c r="A741" t="inlineStr">
        <is>
          <t>archon-search</t>
        </is>
      </c>
      <c r="B741" t="inlineStr">
        <is>
          <t>/Users/manczg/Documents/development/archon-search/tests/test_store.py</t>
        </is>
      </c>
      <c r="C741" t="inlineStr">
        <is>
          <t>tests-05</t>
        </is>
      </c>
      <c r="D741" t="n">
        <v>576</v>
      </c>
      <c r="E741" t="inlineStr">
        <is>
          <t>store._db = mock_db</t>
        </is>
      </c>
    </row>
    <row r="742">
      <c r="A742" t="inlineStr">
        <is>
          <t>archon-search</t>
        </is>
      </c>
      <c r="B742" t="inlineStr">
        <is>
          <t>/Users/manczg/Documents/development/archon-search/tests/test_store.py</t>
        </is>
      </c>
      <c r="C742" t="inlineStr">
        <is>
          <t>tests-05</t>
        </is>
      </c>
      <c r="D742" t="n">
        <v>593</v>
      </c>
      <c r="E742" t="inlineStr">
        <is>
          <t>store._db = mock_db</t>
        </is>
      </c>
    </row>
    <row r="743">
      <c r="A743" t="inlineStr">
        <is>
          <t>archon-search</t>
        </is>
      </c>
      <c r="B743" t="inlineStr">
        <is>
          <t>/Users/manczg/Documents/development/archon-search/tests/test_store.py</t>
        </is>
      </c>
      <c r="C743" t="inlineStr">
        <is>
          <t>tests-05</t>
        </is>
      </c>
      <c r="D743" t="n">
        <v>636</v>
      </c>
      <c r="E743" t="inlineStr">
        <is>
          <t>store._db = mock_db</t>
        </is>
      </c>
    </row>
    <row r="744">
      <c r="A744" t="inlineStr">
        <is>
          <t>archon-search</t>
        </is>
      </c>
      <c r="B744" t="inlineStr">
        <is>
          <t>/Users/manczg/Documents/development/archon-search/tests/test_store.py</t>
        </is>
      </c>
      <c r="C744" t="inlineStr">
        <is>
          <t>tests-05</t>
        </is>
      </c>
      <c r="D744" t="n">
        <v>653</v>
      </c>
      <c r="E744" t="inlineStr">
        <is>
          <t>store._db = mock_db</t>
        </is>
      </c>
    </row>
    <row r="745">
      <c r="A745" t="inlineStr">
        <is>
          <t>archon-search</t>
        </is>
      </c>
      <c r="B745" t="inlineStr">
        <is>
          <t>/Users/manczg/Documents/development/archon-search/tests/test_store.py</t>
        </is>
      </c>
      <c r="C745" t="inlineStr">
        <is>
          <t>tests-05</t>
        </is>
      </c>
      <c r="D745" t="n">
        <v>672</v>
      </c>
      <c r="E745" t="inlineStr">
        <is>
          <t>store._db = mock_db</t>
        </is>
      </c>
    </row>
    <row r="746">
      <c r="A746" t="inlineStr">
        <is>
          <t>archon-search</t>
        </is>
      </c>
      <c r="B746" t="inlineStr">
        <is>
          <t>/Users/manczg/Documents/development/archon-search/tests/test_store.py</t>
        </is>
      </c>
      <c r="C746" t="inlineStr">
        <is>
          <t>tests-05</t>
        </is>
      </c>
      <c r="D746" t="n">
        <v>693</v>
      </c>
      <c r="E746" t="inlineStr">
        <is>
          <t>store._db = mock_db</t>
        </is>
      </c>
    </row>
    <row r="747">
      <c r="A747" t="inlineStr">
        <is>
          <t>archon-search</t>
        </is>
      </c>
      <c r="B747" t="inlineStr">
        <is>
          <t>/Users/manczg/Documents/development/archon-search/tests/test_store.py</t>
        </is>
      </c>
      <c r="C747" t="inlineStr">
        <is>
          <t>tests-05</t>
        </is>
      </c>
      <c r="D747" t="n">
        <v>709</v>
      </c>
      <c r="E747" t="inlineStr">
        <is>
          <t>store._db = mock_db</t>
        </is>
      </c>
    </row>
    <row r="748">
      <c r="A748" t="inlineStr">
        <is>
          <t>archon-search</t>
        </is>
      </c>
      <c r="B748" t="inlineStr">
        <is>
          <t>/Users/manczg/Documents/development/archon-search/tests/test_store.py</t>
        </is>
      </c>
      <c r="C748" t="inlineStr">
        <is>
          <t>tests-05</t>
        </is>
      </c>
      <c r="D748" t="n">
        <v>722</v>
      </c>
      <c r="E748" t="inlineStr">
        <is>
          <t>store._db = MagicMock()</t>
        </is>
      </c>
    </row>
    <row r="749">
      <c r="A749" t="inlineStr">
        <is>
          <t>archon-search</t>
        </is>
      </c>
      <c r="B749" t="inlineStr">
        <is>
          <t>/Users/manczg/Documents/development/archon-search/tests/test_store.py</t>
        </is>
      </c>
      <c r="C749" t="inlineStr">
        <is>
          <t>tests-05</t>
        </is>
      </c>
      <c r="D749" t="n">
        <v>820</v>
      </c>
      <c r="E749" t="inlineStr">
        <is>
          <t>schema = SearchStore._meta_schema()</t>
        </is>
      </c>
    </row>
    <row r="750">
      <c r="A750" t="inlineStr">
        <is>
          <t>archon-search</t>
        </is>
      </c>
      <c r="B750" t="inlineStr">
        <is>
          <t>/Users/manczg/Documents/development/archon-search/tests/test_store.py</t>
        </is>
      </c>
      <c r="C750" t="inlineStr">
        <is>
          <t>tests-05</t>
        </is>
      </c>
      <c r="D750" t="n">
        <v>839</v>
      </c>
      <c r="E750" t="inlineStr">
        <is>
          <t>meta = SearchStore._row_to_meta(row)</t>
        </is>
      </c>
    </row>
    <row r="751">
      <c r="A751" t="inlineStr">
        <is>
          <t>archon-search</t>
        </is>
      </c>
      <c r="B751" t="inlineStr">
        <is>
          <t>/Users/manczg/Documents/development/archon-search/tests/test_store.py</t>
        </is>
      </c>
      <c r="C751" t="inlineStr">
        <is>
          <t>tests-05</t>
        </is>
      </c>
      <c r="D751" t="n">
        <v>856</v>
      </c>
      <c r="E751" t="inlineStr">
        <is>
          <t>meta = SearchStore._row_to_meta(row)</t>
        </is>
      </c>
    </row>
    <row r="752">
      <c r="A752" t="inlineStr">
        <is>
          <t>archon-search</t>
        </is>
      </c>
      <c r="B752" t="inlineStr">
        <is>
          <t>/Users/manczg/Documents/development/archon-search/tests/test_store.py</t>
        </is>
      </c>
      <c r="C752" t="inlineStr">
        <is>
          <t>tests-05</t>
        </is>
      </c>
      <c r="D752" t="n">
        <v>873</v>
      </c>
      <c r="E752" t="inlineStr">
        <is>
          <t>meta = SearchStore._row_to_meta(row)</t>
        </is>
      </c>
    </row>
    <row r="753">
      <c r="A753" t="inlineStr">
        <is>
          <t>archon-search</t>
        </is>
      </c>
      <c r="B753" t="inlineStr">
        <is>
          <t>/Users/manczg/Documents/development/archon-search/tests/test_store.py</t>
        </is>
      </c>
      <c r="C753" t="inlineStr">
        <is>
          <t>tests-05</t>
        </is>
      </c>
      <c r="D753" t="n">
        <v>903</v>
      </c>
      <c r="E753" t="inlineStr">
        <is>
          <t>db = connected_store._require_connected()</t>
        </is>
      </c>
    </row>
    <row r="754">
      <c r="A754" t="inlineStr">
        <is>
          <t>archon-search</t>
        </is>
      </c>
      <c r="B754" t="inlineStr">
        <is>
          <t>/Users/manczg/Documents/development/archon-search/tests/test_store.py</t>
        </is>
      </c>
      <c r="C754" t="inlineStr">
        <is>
          <t>tests-05</t>
        </is>
      </c>
      <c r="D754" t="n">
        <v>989</v>
      </c>
      <c r="E754" t="inlineStr">
        <is>
          <t>db = store._require_connected()</t>
        </is>
      </c>
    </row>
    <row r="755">
      <c r="A755" t="inlineStr">
        <is>
          <t>archon-search</t>
        </is>
      </c>
      <c r="B755" t="inlineStr">
        <is>
          <t>/Users/manczg/Documents/development/archon-search/tests/test_store.py</t>
        </is>
      </c>
      <c r="C755" t="inlineStr">
        <is>
          <t>tests-05</t>
        </is>
      </c>
      <c r="D755" t="n">
        <v>1016</v>
      </c>
      <c r="E755" t="inlineStr">
        <is>
          <t>db = store._require_connected()</t>
        </is>
      </c>
    </row>
    <row r="756">
      <c r="A756" t="inlineStr">
        <is>
          <t>archon-search</t>
        </is>
      </c>
      <c r="B756" t="inlineStr">
        <is>
          <t>/Users/manczg/Documents/development/archon-search/tests/test_store.py</t>
        </is>
      </c>
      <c r="C756" t="inlineStr">
        <is>
          <t>tests-05</t>
        </is>
      </c>
      <c r="D756" t="n">
        <v>1055</v>
      </c>
      <c r="E756" t="inlineStr">
        <is>
          <t>db = store._require_connected()</t>
        </is>
      </c>
    </row>
    <row r="757">
      <c r="A757" t="inlineStr">
        <is>
          <t>archon-search</t>
        </is>
      </c>
      <c r="B757" t="inlineStr">
        <is>
          <t>/Users/manczg/Documents/development/archon-search/tests/test_store.py</t>
        </is>
      </c>
      <c r="C757" t="inlineStr">
        <is>
          <t>tests-05</t>
        </is>
      </c>
      <c r="D757" t="n">
        <v>1082</v>
      </c>
      <c r="E757" t="inlineStr">
        <is>
          <t>db = store._require_connected()</t>
        </is>
      </c>
    </row>
    <row r="758">
      <c r="A758" t="inlineStr">
        <is>
          <t>archon-search</t>
        </is>
      </c>
      <c r="B758" t="inlineStr">
        <is>
          <t>/Users/manczg/Documents/development/archon-search/tests/test_store.py</t>
        </is>
      </c>
      <c r="C758" t="inlineStr">
        <is>
          <t>tests-05</t>
        </is>
      </c>
      <c r="D758" t="n">
        <v>1123</v>
      </c>
      <c r="E758" t="inlineStr">
        <is>
          <t>db = store._require_connected()</t>
        </is>
      </c>
    </row>
    <row r="759">
      <c r="A759" t="inlineStr">
        <is>
          <t>archon-search</t>
        </is>
      </c>
      <c r="B759" t="inlineStr">
        <is>
          <t>/Users/manczg/Documents/development/archon-search/tests/test_store.py</t>
        </is>
      </c>
      <c r="C759" t="inlineStr">
        <is>
          <t>tests-05</t>
        </is>
      </c>
      <c r="D759" t="n">
        <v>1141</v>
      </c>
      <c r="E759" t="inlineStr">
        <is>
          <t>db = store._require_connected()</t>
        </is>
      </c>
    </row>
    <row r="760">
      <c r="A760" t="inlineStr">
        <is>
          <t>archon-search</t>
        </is>
      </c>
      <c r="B760" t="inlineStr">
        <is>
          <t>/Users/manczg/Documents/development/archon-search/tests/test_store.py</t>
        </is>
      </c>
      <c r="C760" t="inlineStr">
        <is>
          <t>tests-05</t>
        </is>
      </c>
      <c r="D760" t="n">
        <v>1189</v>
      </c>
      <c r="E760" t="inlineStr">
        <is>
          <t>db = store._require_connected()</t>
        </is>
      </c>
    </row>
    <row r="761">
      <c r="A761" t="inlineStr">
        <is>
          <t>archon-search</t>
        </is>
      </c>
      <c r="B761" t="inlineStr">
        <is>
          <t>/Users/manczg/Documents/development/archon-search/tests/test_store.py</t>
        </is>
      </c>
      <c r="C761" t="inlineStr">
        <is>
          <t>tests-05</t>
        </is>
      </c>
      <c r="D761" t="n">
        <v>1207</v>
      </c>
      <c r="E761" t="inlineStr">
        <is>
          <t>db = store._require_connected()</t>
        </is>
      </c>
    </row>
    <row r="762">
      <c r="A762" t="inlineStr">
        <is>
          <t>archon-search</t>
        </is>
      </c>
      <c r="B762" t="inlineStr">
        <is>
          <t>/Users/manczg/Documents/development/archon-search/tests/test_store.py</t>
        </is>
      </c>
      <c r="C762" t="inlineStr">
        <is>
          <t>tests-05</t>
        </is>
      </c>
      <c r="D762" t="n">
        <v>1237</v>
      </c>
      <c r="E762" t="inlineStr">
        <is>
          <t>db = store._require_connected()</t>
        </is>
      </c>
    </row>
    <row r="763">
      <c r="A763" t="inlineStr">
        <is>
          <t>archon-search</t>
        </is>
      </c>
      <c r="B763" t="inlineStr">
        <is>
          <t>/Users/manczg/Documents/development/archon-search/tests/test_store.py</t>
        </is>
      </c>
      <c r="C763" t="inlineStr">
        <is>
          <t>tests-05</t>
        </is>
      </c>
      <c r="D763" t="n">
        <v>1281</v>
      </c>
      <c r="E763" t="inlineStr">
        <is>
          <t>db = store._require_connected()</t>
        </is>
      </c>
    </row>
    <row r="764">
      <c r="A764" t="inlineStr">
        <is>
          <t>archon-search</t>
        </is>
      </c>
      <c r="B764" t="inlineStr">
        <is>
          <t>/Users/manczg/Documents/development/archon-search/tests/test_store.py</t>
        </is>
      </c>
      <c r="C764" t="inlineStr">
        <is>
          <t>tests-05</t>
        </is>
      </c>
      <c r="D764" t="n">
        <v>1304</v>
      </c>
      <c r="E764" t="inlineStr">
        <is>
          <t>await store._migrate_schema_version()</t>
        </is>
      </c>
    </row>
    <row r="765">
      <c r="A765" t="inlineStr">
        <is>
          <t>archon-search</t>
        </is>
      </c>
      <c r="B765" t="inlineStr">
        <is>
          <t>/Users/manczg/Documents/development/archon-search/tests/test_store.py</t>
        </is>
      </c>
      <c r="C765" t="inlineStr">
        <is>
          <t>tests-05</t>
        </is>
      </c>
      <c r="D765" t="n">
        <v>1412</v>
      </c>
      <c r="E765" t="inlineStr">
        <is>
          <t>db = store._require_connected()</t>
        </is>
      </c>
    </row>
    <row r="766">
      <c r="A766" t="inlineStr">
        <is>
          <t>archon-search</t>
        </is>
      </c>
      <c r="B766" t="inlineStr">
        <is>
          <t>/Users/manczg/Documents/development/archon-search/tests/test_store.py</t>
        </is>
      </c>
      <c r="C766" t="inlineStr">
        <is>
          <t>tests-05</t>
        </is>
      </c>
      <c r="D766" t="n">
        <v>1449</v>
      </c>
      <c r="E766" t="inlineStr">
        <is>
          <t>db = store._require_connected()</t>
        </is>
      </c>
    </row>
    <row r="767">
      <c r="A767" t="inlineStr">
        <is>
          <t>archon-search</t>
        </is>
      </c>
      <c r="B767" t="inlineStr">
        <is>
          <t>/Users/manczg/Documents/development/archon-search/tests/test_store.py</t>
        </is>
      </c>
      <c r="C767" t="inlineStr">
        <is>
          <t>tests-05</t>
        </is>
      </c>
      <c r="D767" t="n">
        <v>1492</v>
      </c>
      <c r="E767" t="inlineStr">
        <is>
          <t>db = store._require_connected()</t>
        </is>
      </c>
    </row>
    <row r="768">
      <c r="A768" t="inlineStr">
        <is>
          <t>archon-search</t>
        </is>
      </c>
      <c r="B768" t="inlineStr">
        <is>
          <t>/Users/manczg/Documents/development/archon-search/tests/test_store.py</t>
        </is>
      </c>
      <c r="C768" t="inlineStr">
        <is>
          <t>tests-05</t>
        </is>
      </c>
      <c r="D768" t="n">
        <v>1531</v>
      </c>
      <c r="E768" t="inlineStr">
        <is>
          <t>db = store._require_connected()</t>
        </is>
      </c>
    </row>
    <row r="769">
      <c r="A769" t="inlineStr">
        <is>
          <t>archon-search</t>
        </is>
      </c>
      <c r="B769" t="inlineStr">
        <is>
          <t>/Users/manczg/Documents/development/archon-search/tests/test_store.py</t>
        </is>
      </c>
      <c r="C769" t="inlineStr">
        <is>
          <t>tests-05</t>
        </is>
      </c>
      <c r="D769" t="n">
        <v>1533</v>
      </c>
      <c r="E769" t="inlineStr">
        <is>
          <t>full_schema = store._meta_schema()</t>
        </is>
      </c>
    </row>
    <row r="770">
      <c r="A770" t="inlineStr">
        <is>
          <t>archon-search</t>
        </is>
      </c>
      <c r="B770" t="inlineStr">
        <is>
          <t>/Users/manczg/Documents/development/archon-search/tests/test_store.py</t>
        </is>
      </c>
      <c r="C770" t="inlineStr">
        <is>
          <t>tests-05</t>
        </is>
      </c>
      <c r="D770" t="n">
        <v>1553</v>
      </c>
      <c r="E770" t="inlineStr">
        <is>
          <t>db = store._require_connected()</t>
        </is>
      </c>
    </row>
    <row r="771">
      <c r="A771" t="inlineStr">
        <is>
          <t>archon-search</t>
        </is>
      </c>
      <c r="B771" t="inlineStr">
        <is>
          <t>/Users/manczg/Documents/development/archon-search/tests/test_store.py</t>
        </is>
      </c>
      <c r="C771" t="inlineStr">
        <is>
          <t>tests-05</t>
        </is>
      </c>
      <c r="D771" t="n">
        <v>1599</v>
      </c>
      <c r="E771" t="inlineStr">
        <is>
          <t>db = store._require_connected()</t>
        </is>
      </c>
    </row>
    <row r="772">
      <c r="A772" t="inlineStr">
        <is>
          <t>archon-search</t>
        </is>
      </c>
      <c r="B772" t="inlineStr">
        <is>
          <t>/Users/manczg/Documents/development/archon-search/tests/test_store.py</t>
        </is>
      </c>
      <c r="C772" t="inlineStr">
        <is>
          <t>tests-05</t>
        </is>
      </c>
      <c r="D772" t="n">
        <v>1636</v>
      </c>
      <c r="E772" t="inlineStr">
        <is>
          <t>db = store._require_connected()</t>
        </is>
      </c>
    </row>
    <row r="773">
      <c r="A773" t="inlineStr">
        <is>
          <t>archon-search</t>
        </is>
      </c>
      <c r="B773" t="inlineStr">
        <is>
          <t>/Users/manczg/Documents/development/archon-search/tests/test_store.py</t>
        </is>
      </c>
      <c r="C773" t="inlineStr">
        <is>
          <t>tests-05</t>
        </is>
      </c>
      <c r="D773" t="n">
        <v>1832</v>
      </c>
      <c r="E773" t="inlineStr">
        <is>
          <t>db = connected_store._require_connected()</t>
        </is>
      </c>
    </row>
    <row r="774">
      <c r="A774" t="inlineStr">
        <is>
          <t>archon-search</t>
        </is>
      </c>
      <c r="B774" t="inlineStr">
        <is>
          <t>/Users/manczg/Documents/development/archon-search/tests/test_store.py</t>
        </is>
      </c>
      <c r="C774" t="inlineStr">
        <is>
          <t>tests-05</t>
        </is>
      </c>
      <c r="D774" t="n">
        <v>1922</v>
      </c>
      <c r="E774" t="inlineStr">
        <is>
          <t>db = connected_store._require_connected()</t>
        </is>
      </c>
    </row>
    <row r="775">
      <c r="A775" t="inlineStr">
        <is>
          <t>archon-search</t>
        </is>
      </c>
      <c r="B775" t="inlineStr">
        <is>
          <t>/Users/manczg/Documents/development/archon-search/tests/test_store.py</t>
        </is>
      </c>
      <c r="C775" t="inlineStr">
        <is>
          <t>tests-05</t>
        </is>
      </c>
      <c r="D775" t="n">
        <v>2088</v>
      </c>
      <c r="E775" t="inlineStr">
        <is>
          <t>assert store._db_path == Path.home() / ".archon/search"</t>
        </is>
      </c>
    </row>
    <row r="776">
      <c r="A776" t="inlineStr">
        <is>
          <t>archon-search</t>
        </is>
      </c>
      <c r="B776" t="inlineStr">
        <is>
          <t>/Users/manczg/Documents/development/archon-search/tests/test_store.py</t>
        </is>
      </c>
      <c r="C776" t="inlineStr">
        <is>
          <t>tests-05</t>
        </is>
      </c>
      <c r="D776" t="n">
        <v>2094</v>
      </c>
      <c r="E776" t="inlineStr">
        <is>
          <t>assert store._db_path == Path("/tmp/test_db")</t>
        </is>
      </c>
    </row>
    <row r="777">
      <c r="A777" t="inlineStr">
        <is>
          <t>archon-search</t>
        </is>
      </c>
      <c r="B777" t="inlineStr">
        <is>
          <t>/Users/manczg/Documents/development/archon-search/tests/test_store.py</t>
        </is>
      </c>
      <c r="C777" t="inlineStr">
        <is>
          <t>tests-05</t>
        </is>
      </c>
      <c r="D777" t="n">
        <v>2100</v>
      </c>
      <c r="E777" t="inlineStr">
        <is>
          <t>assert store._db_path == Path.home() / ".archon/search"</t>
        </is>
      </c>
    </row>
    <row r="778">
      <c r="A778" t="inlineStr">
        <is>
          <t>archon-search</t>
        </is>
      </c>
      <c r="B778" t="inlineStr">
        <is>
          <t>/Users/manczg/Documents/development/archon-search/tests/test_store.py</t>
        </is>
      </c>
      <c r="C778" t="inlineStr">
        <is>
          <t>tests-05</t>
        </is>
      </c>
      <c r="D778" t="n">
        <v>2158</v>
      </c>
      <c r="E778" t="inlineStr">
        <is>
          <t>SearchStore._validate_collection("mytest\n")</t>
        </is>
      </c>
    </row>
    <row r="779">
      <c r="A779" t="inlineStr">
        <is>
          <t>archon-search</t>
        </is>
      </c>
      <c r="B779" t="inlineStr">
        <is>
          <t>/Users/manczg/Documents/development/archon-search/tests/test_store.py</t>
        </is>
      </c>
      <c r="C779" t="inlineStr">
        <is>
          <t>tests-05</t>
        </is>
      </c>
      <c r="D779" t="n">
        <v>2241</v>
      </c>
      <c r="E779" t="inlineStr">
        <is>
          <t>store._db = mock_db</t>
        </is>
      </c>
    </row>
    <row r="780">
      <c r="A780" t="inlineStr">
        <is>
          <t>archon-search</t>
        </is>
      </c>
      <c r="B780" t="inlineStr">
        <is>
          <t>/Users/manczg/Documents/development/archon-search/tests/test_store.py</t>
        </is>
      </c>
      <c r="C780" t="inlineStr">
        <is>
          <t>tests-05</t>
        </is>
      </c>
      <c r="D780" t="n">
        <v>2263</v>
      </c>
      <c r="E780" t="inlineStr">
        <is>
          <t>meta = store._row_to_meta(row)</t>
        </is>
      </c>
    </row>
    <row r="781">
      <c r="A781" t="inlineStr">
        <is>
          <t>archon-search</t>
        </is>
      </c>
      <c r="B781" t="inlineStr">
        <is>
          <t>/Users/manczg/Documents/development/archon-search/tests/test_store.py</t>
        </is>
      </c>
      <c r="C781" t="inlineStr">
        <is>
          <t>tests-05</t>
        </is>
      </c>
      <c r="D781" t="n">
        <v>2275</v>
      </c>
      <c r="E781" t="inlineStr">
        <is>
          <t>store._db = MagicMock()</t>
        </is>
      </c>
    </row>
    <row r="782">
      <c r="A782" t="inlineStr">
        <is>
          <t>archon-search</t>
        </is>
      </c>
      <c r="B782" t="inlineStr">
        <is>
          <t>/Users/manczg/Documents/development/archon-search/tests/test_store.py</t>
        </is>
      </c>
      <c r="C782" t="inlineStr">
        <is>
          <t>tests-05</t>
        </is>
      </c>
      <c r="D782" t="n">
        <v>2340</v>
      </c>
      <c r="E782" t="inlineStr">
        <is>
          <t>store._db = mock_db</t>
        </is>
      </c>
    </row>
    <row r="783">
      <c r="A783" t="inlineStr">
        <is>
          <t>archon-search</t>
        </is>
      </c>
      <c r="B783" t="inlineStr">
        <is>
          <t>/Users/manczg/Documents/development/archon-search/tests/test_store.py</t>
        </is>
      </c>
      <c r="C783" t="inlineStr">
        <is>
          <t>tests-05</t>
        </is>
      </c>
      <c r="D783" t="n">
        <v>2401</v>
      </c>
      <c r="E783" t="inlineStr">
        <is>
          <t>store._db = mock_db</t>
        </is>
      </c>
    </row>
    <row r="784">
      <c r="A784" t="inlineStr">
        <is>
          <t>archon-search</t>
        </is>
      </c>
      <c r="B784" t="inlineStr">
        <is>
          <t>/Users/manczg/Documents/development/archon-search/tests/test_store.py</t>
        </is>
      </c>
      <c r="C784" t="inlineStr">
        <is>
          <t>tests-05</t>
        </is>
      </c>
      <c r="D784" t="n">
        <v>2460</v>
      </c>
      <c r="E784" t="inlineStr">
        <is>
          <t>store._db = mock_db</t>
        </is>
      </c>
    </row>
    <row r="785">
      <c r="A785" t="inlineStr">
        <is>
          <t>archon-search</t>
        </is>
      </c>
      <c r="B785" t="inlineStr">
        <is>
          <t>/Users/manczg/Documents/development/archon-search/tests/test_store.py</t>
        </is>
      </c>
      <c r="C785" t="inlineStr">
        <is>
          <t>tests-05</t>
        </is>
      </c>
      <c r="D785" t="n">
        <v>2516</v>
      </c>
      <c r="E785" t="inlineStr">
        <is>
          <t>store._db = mock_db</t>
        </is>
      </c>
    </row>
    <row r="786">
      <c r="A786" t="inlineStr">
        <is>
          <t>archon-search</t>
        </is>
      </c>
      <c r="B786" t="inlineStr">
        <is>
          <t>/Users/manczg/Documents/development/archon-search/tests/test_store.py</t>
        </is>
      </c>
      <c r="C786" t="inlineStr">
        <is>
          <t>tests-05</t>
        </is>
      </c>
      <c r="D786" t="n">
        <v>2559</v>
      </c>
      <c r="E786" t="inlineStr">
        <is>
          <t>store._db = mock_db</t>
        </is>
      </c>
    </row>
    <row r="787">
      <c r="A787" t="inlineStr">
        <is>
          <t>archon-search</t>
        </is>
      </c>
      <c r="B787" t="inlineStr">
        <is>
          <t>/Users/manczg/Documents/development/archon-search/tests/test_store.py</t>
        </is>
      </c>
      <c r="C787" t="inlineStr">
        <is>
          <t>tests-05</t>
        </is>
      </c>
      <c r="D787" t="n">
        <v>2612</v>
      </c>
      <c r="E787" t="inlineStr">
        <is>
          <t>store._db = mock_db</t>
        </is>
      </c>
    </row>
    <row r="788">
      <c r="A788" t="inlineStr">
        <is>
          <t>archon-search</t>
        </is>
      </c>
      <c r="B788" t="inlineStr">
        <is>
          <t>/Users/manczg/Documents/development/archon-search/tests/test_store.py</t>
        </is>
      </c>
      <c r="C788" t="inlineStr">
        <is>
          <t>tests-05</t>
        </is>
      </c>
      <c r="D788" t="n">
        <v>2662</v>
      </c>
      <c r="E788" t="inlineStr">
        <is>
          <t>store._db = mock_db</t>
        </is>
      </c>
    </row>
    <row r="789">
      <c r="A789" t="inlineStr">
        <is>
          <t>archon-search</t>
        </is>
      </c>
      <c r="B789" t="inlineStr">
        <is>
          <t>/Users/manczg/Documents/development/archon-search/tests/test_store.py</t>
        </is>
      </c>
      <c r="C789" t="inlineStr">
        <is>
          <t>tests-05</t>
        </is>
      </c>
      <c r="D789" t="n">
        <v>2828</v>
      </c>
      <c r="E789" t="inlineStr">
        <is>
          <t>db = store._require_connected()</t>
        </is>
      </c>
    </row>
    <row r="790">
      <c r="A790" t="inlineStr">
        <is>
          <t>archon-search</t>
        </is>
      </c>
      <c r="B790" t="inlineStr">
        <is>
          <t>/Users/manczg/Documents/development/archon-search/tests/test_store.py</t>
        </is>
      </c>
      <c r="C790" t="inlineStr">
        <is>
          <t>tests-05</t>
        </is>
      </c>
      <c r="D790" t="n">
        <v>3035</v>
      </c>
      <c r="E790" t="inlineStr">
        <is>
          <t>db = connected_store._require_connected()</t>
        </is>
      </c>
    </row>
    <row r="791">
      <c r="A791" t="inlineStr">
        <is>
          <t>archon-search</t>
        </is>
      </c>
      <c r="B791" t="inlineStr">
        <is>
          <t>/Users/manczg/Documents/development/archon-search/tests/test_store.py</t>
        </is>
      </c>
      <c r="C791" t="inlineStr">
        <is>
          <t>tests-05</t>
        </is>
      </c>
      <c r="D791" t="n">
        <v>3089</v>
      </c>
      <c r="E791" t="inlineStr">
        <is>
          <t>store._db = mock_db</t>
        </is>
      </c>
    </row>
    <row r="792">
      <c r="A792" t="inlineStr">
        <is>
          <t>archon-search</t>
        </is>
      </c>
      <c r="B792" t="inlineStr">
        <is>
          <t>/Users/manczg/Documents/development/archon-search/tests/test_store.py</t>
        </is>
      </c>
      <c r="C792" t="inlineStr">
        <is>
          <t>tests-05</t>
        </is>
      </c>
      <c r="D792" t="n">
        <v>3134</v>
      </c>
      <c r="E792" t="inlineStr">
        <is>
          <t>store._db = mock_db</t>
        </is>
      </c>
    </row>
    <row r="793">
      <c r="A793" t="inlineStr">
        <is>
          <t>archon-search</t>
        </is>
      </c>
      <c r="B793" t="inlineStr">
        <is>
          <t>/Users/manczg/Documents/development/archon-search/tests/test_store.py</t>
        </is>
      </c>
      <c r="C793" t="inlineStr">
        <is>
          <t>tests-05</t>
        </is>
      </c>
      <c r="D793" t="n">
        <v>3177</v>
      </c>
      <c r="E793" t="inlineStr">
        <is>
          <t>store._db = mock_db</t>
        </is>
      </c>
    </row>
    <row r="794">
      <c r="A794" t="inlineStr">
        <is>
          <t>archon-search</t>
        </is>
      </c>
      <c r="B794" t="inlineStr">
        <is>
          <t>/Users/manczg/Documents/development/archon-search/tests/test_store.py</t>
        </is>
      </c>
      <c r="C794" t="inlineStr">
        <is>
          <t>tests-05</t>
        </is>
      </c>
      <c r="D794" t="n">
        <v>3214</v>
      </c>
      <c r="E794" t="inlineStr">
        <is>
          <t>store._db = mock_db</t>
        </is>
      </c>
    </row>
    <row r="795">
      <c r="A795" t="inlineStr">
        <is>
          <t>archon-search</t>
        </is>
      </c>
      <c r="B795" t="inlineStr">
        <is>
          <t>/Users/manczg/Documents/development/archon-search/tests/test_store.py</t>
        </is>
      </c>
      <c r="C795" t="inlineStr">
        <is>
          <t>tests-05</t>
        </is>
      </c>
      <c r="D795" t="n">
        <v>3251</v>
      </c>
      <c r="E795" t="inlineStr">
        <is>
          <t>store._db = mock_db</t>
        </is>
      </c>
    </row>
    <row r="796">
      <c r="A796" t="inlineStr">
        <is>
          <t>archon-search</t>
        </is>
      </c>
      <c r="B796" t="inlineStr">
        <is>
          <t>/Users/manczg/Documents/development/archon-search/tests/test_store.py</t>
        </is>
      </c>
      <c r="C796" t="inlineStr">
        <is>
          <t>tests-05</t>
        </is>
      </c>
      <c r="D796" t="n">
        <v>3321</v>
      </c>
      <c r="E796" t="inlineStr">
        <is>
          <t>store._db = mock_db</t>
        </is>
      </c>
    </row>
    <row r="797">
      <c r="A797" t="inlineStr">
        <is>
          <t>archon-search</t>
        </is>
      </c>
      <c r="B797" t="inlineStr">
        <is>
          <t>/Users/manczg/Documents/development/archon-search/tests/test_store.py</t>
        </is>
      </c>
      <c r="C797" t="inlineStr">
        <is>
          <t>tests-05</t>
        </is>
      </c>
      <c r="D797" t="n">
        <v>3369</v>
      </c>
      <c r="E797" t="inlineStr">
        <is>
          <t>store._db = mock_db</t>
        </is>
      </c>
    </row>
    <row r="798">
      <c r="A798" t="inlineStr">
        <is>
          <t>archon-search</t>
        </is>
      </c>
      <c r="B798" t="inlineStr">
        <is>
          <t>/Users/manczg/Documents/development/archon-search/tests/test_store.py</t>
        </is>
      </c>
      <c r="C798" t="inlineStr">
        <is>
          <t>tests-05</t>
        </is>
      </c>
      <c r="D798" t="n">
        <v>3540</v>
      </c>
      <c r="E798" t="inlineStr">
        <is>
          <t>with patch("archon_search.store._compute_fetch", wraps=lambda top_k, has_glob: max(top_k * 3, 20)) as mock_cf:</t>
        </is>
      </c>
    </row>
    <row r="799">
      <c r="A799" t="inlineStr">
        <is>
          <t>archon-search</t>
        </is>
      </c>
      <c r="B799" t="inlineStr">
        <is>
          <t>/Users/manczg/Documents/development/archon-search/tests/test_store.py</t>
        </is>
      </c>
      <c r="C799" t="inlineStr">
        <is>
          <t>tests-05</t>
        </is>
      </c>
      <c r="D799" t="n">
        <v>3546</v>
      </c>
      <c r="E799" t="inlineStr">
        <is>
          <t>with patch("archon_search.store._compute_fetch", wraps=lambda top_k, has_glob: max(top_k * 3, 20)) as mock_cf2:</t>
        </is>
      </c>
    </row>
    <row r="800">
      <c r="A800" t="inlineStr">
        <is>
          <t>archon-search</t>
        </is>
      </c>
      <c r="B800" t="inlineStr">
        <is>
          <t>/Users/manczg/Documents/development/archon-search/tests/test_store.py</t>
        </is>
      </c>
      <c r="C800" t="inlineStr">
        <is>
          <t>tests-05</t>
        </is>
      </c>
      <c r="D800" t="n">
        <v>4148</v>
      </c>
      <c r="E800" t="inlineStr">
        <is>
          <t>with patch("archon_search.store._compute_fetch", wraps=lambda top_k, has_glob: max(top_k * (5 if has_glob else 3), 20)) as mock_cf:</t>
        </is>
      </c>
    </row>
    <row r="801">
      <c r="A801" t="inlineStr">
        <is>
          <t>archon-search</t>
        </is>
      </c>
      <c r="B801" t="inlineStr">
        <is>
          <t>/Users/manczg/Documents/development/archon-search/tests/test_store.py</t>
        </is>
      </c>
      <c r="C801" t="inlineStr">
        <is>
          <t>tests-05</t>
        </is>
      </c>
      <c r="D801" t="n">
        <v>4627</v>
      </c>
      <c r="E801" t="inlineStr">
        <is>
          <t>meta = SearchStore._row_to_meta(row)</t>
        </is>
      </c>
    </row>
    <row r="802">
      <c r="A802" t="inlineStr">
        <is>
          <t>archon-search</t>
        </is>
      </c>
      <c r="B802" t="inlineStr">
        <is>
          <t>/Users/manczg/Documents/development/archon-search/tests/test_store.py</t>
        </is>
      </c>
      <c r="C802" t="inlineStr">
        <is>
          <t>tests-05</t>
        </is>
      </c>
      <c r="D802" t="n">
        <v>4638</v>
      </c>
      <c r="E802" t="inlineStr">
        <is>
          <t>meta = SearchStore._row_to_meta(row)</t>
        </is>
      </c>
    </row>
    <row r="803">
      <c r="A803" t="inlineStr">
        <is>
          <t>archon-search</t>
        </is>
      </c>
      <c r="B803" t="inlineStr">
        <is>
          <t>/Users/manczg/Documents/development/archon-search/tests/test_store.py</t>
        </is>
      </c>
      <c r="C803" t="inlineStr">
        <is>
          <t>tests-05</t>
        </is>
      </c>
      <c r="D803" t="n">
        <v>4648</v>
      </c>
      <c r="E803" t="inlineStr">
        <is>
          <t>meta = SearchStore._row_to_meta(row)</t>
        </is>
      </c>
    </row>
    <row r="804">
      <c r="A804" t="inlineStr">
        <is>
          <t>archon-search</t>
        </is>
      </c>
      <c r="B804" t="inlineStr">
        <is>
          <t>/Users/manczg/Documents/development/archon-search/tests/test_store.py</t>
        </is>
      </c>
      <c r="C804" t="inlineStr">
        <is>
          <t>tests-05</t>
        </is>
      </c>
      <c r="D804" t="n">
        <v>4658</v>
      </c>
      <c r="E804" t="inlineStr">
        <is>
          <t>meta = SearchStore._row_to_meta(row)</t>
        </is>
      </c>
    </row>
    <row r="805">
      <c r="A805" t="inlineStr">
        <is>
          <t>archon-search</t>
        </is>
      </c>
      <c r="B805" t="inlineStr">
        <is>
          <t>/Users/manczg/Documents/development/archon-search/tests/test_store.py</t>
        </is>
      </c>
      <c r="C805" t="inlineStr">
        <is>
          <t>tests-05</t>
        </is>
      </c>
      <c r="D805" t="n">
        <v>4679</v>
      </c>
      <c r="E805" t="inlineStr">
        <is>
          <t>meta = SearchStore._row_to_meta(row)</t>
        </is>
      </c>
    </row>
    <row r="806">
      <c r="A806" t="inlineStr">
        <is>
          <t>archon-search</t>
        </is>
      </c>
      <c r="B806" t="inlineStr">
        <is>
          <t>/Users/manczg/Documents/development/archon-search/tests/test_store.py</t>
        </is>
      </c>
      <c r="C806" t="inlineStr">
        <is>
          <t>tests-05</t>
        </is>
      </c>
      <c r="D806" t="n">
        <v>4700</v>
      </c>
      <c r="E806" t="inlineStr">
        <is>
          <t>db = store._require_connected()</t>
        </is>
      </c>
    </row>
    <row r="807">
      <c r="A807" t="inlineStr">
        <is>
          <t>archon-search</t>
        </is>
      </c>
      <c r="B807" t="inlineStr">
        <is>
          <t>/Users/manczg/Documents/development/archon-search/tests/test_store.py</t>
        </is>
      </c>
      <c r="C807" t="inlineStr">
        <is>
          <t>tests-05</t>
        </is>
      </c>
      <c r="D807" t="n">
        <v>4702</v>
      </c>
      <c r="E807" t="inlineStr">
        <is>
          <t>await db.create_table("_archon_collection_meta", schema=SearchStore._meta_schema())</t>
        </is>
      </c>
    </row>
    <row r="808">
      <c r="A808" t="inlineStr">
        <is>
          <t>archon-search</t>
        </is>
      </c>
      <c r="B808" t="inlineStr">
        <is>
          <t>/Users/manczg/Documents/development/archon-search/tests/test_store.py</t>
        </is>
      </c>
      <c r="C808" t="inlineStr">
        <is>
          <t>tests-05</t>
        </is>
      </c>
      <c r="D808" t="n">
        <v>4733</v>
      </c>
      <c r="E808" t="inlineStr">
        <is>
          <t>db = store._require_connected()</t>
        </is>
      </c>
    </row>
    <row r="809">
      <c r="A809" t="inlineStr">
        <is>
          <t>archon-search</t>
        </is>
      </c>
      <c r="B809" t="inlineStr">
        <is>
          <t>/Users/manczg/Documents/development/archon-search/tests/test_store.py</t>
        </is>
      </c>
      <c r="C809" t="inlineStr">
        <is>
          <t>tests-05</t>
        </is>
      </c>
      <c r="D809" t="n">
        <v>4735</v>
      </c>
      <c r="E809" t="inlineStr">
        <is>
          <t>[f for f in SearchStore._meta_schema() if f.name != "description_embedding_json"]</t>
        </is>
      </c>
    </row>
    <row r="810">
      <c r="A810" t="inlineStr">
        <is>
          <t>archon-search</t>
        </is>
      </c>
      <c r="B810" t="inlineStr">
        <is>
          <t>/Users/manczg/Documents/development/archon-search/tests/test_store.py</t>
        </is>
      </c>
      <c r="C810" t="inlineStr">
        <is>
          <t>tests-05</t>
        </is>
      </c>
      <c r="D810" t="n">
        <v>4767</v>
      </c>
      <c r="E810" t="inlineStr">
        <is>
          <t>db = store._require_connected()</t>
        </is>
      </c>
    </row>
    <row r="811">
      <c r="A811" t="inlineStr">
        <is>
          <t>archon-search</t>
        </is>
      </c>
      <c r="B811" t="inlineStr">
        <is>
          <t>/Users/manczg/Documents/development/archon-search/tests/test_store.py</t>
        </is>
      </c>
      <c r="C811" t="inlineStr">
        <is>
          <t>tests-05</t>
        </is>
      </c>
      <c r="D811" t="n">
        <v>4770</v>
      </c>
      <c r="E811" t="inlineStr">
        <is>
          <t>[f for f in SearchStore._meta_schema() if f.name != "description_embedding_json"]</t>
        </is>
      </c>
    </row>
    <row r="812">
      <c r="A812" t="inlineStr">
        <is>
          <t>archon-search</t>
        </is>
      </c>
      <c r="B812" t="inlineStr">
        <is>
          <t>/Users/manczg/Documents/development/archon-search/tests/test_store.py</t>
        </is>
      </c>
      <c r="C812" t="inlineStr">
        <is>
          <t>tests-05</t>
        </is>
      </c>
      <c r="D812" t="n">
        <v>4819</v>
      </c>
      <c r="E812" t="inlineStr">
        <is>
          <t>db = store._require_connected()</t>
        </is>
      </c>
    </row>
    <row r="813">
      <c r="A813" t="inlineStr">
        <is>
          <t>archon-search</t>
        </is>
      </c>
      <c r="B813" t="inlineStr">
        <is>
          <t>/Users/manczg/Documents/development/archon-search/tests/test_store.py</t>
        </is>
      </c>
      <c r="C813" t="inlineStr">
        <is>
          <t>tests-05</t>
        </is>
      </c>
      <c r="D813" t="n">
        <v>4866</v>
      </c>
      <c r="E813" t="inlineStr">
        <is>
          <t>db = store._require_connected()</t>
        </is>
      </c>
    </row>
    <row r="814">
      <c r="A814" t="inlineStr">
        <is>
          <t>archon-search</t>
        </is>
      </c>
      <c r="B814" t="inlineStr">
        <is>
          <t>/Users/manczg/Documents/development/archon-search/tests/test_store.py</t>
        </is>
      </c>
      <c r="C814" t="inlineStr">
        <is>
          <t>tests-05</t>
        </is>
      </c>
      <c r="D814" t="n">
        <v>4867</v>
      </c>
      <c r="E814" t="inlineStr">
        <is>
          <t>result = await store._do_read_meta_unlocked(db, "some-col")</t>
        </is>
      </c>
    </row>
    <row r="815">
      <c r="A815" t="inlineStr">
        <is>
          <t>archon-search</t>
        </is>
      </c>
      <c r="B815" t="inlineStr">
        <is>
          <t>/Users/manczg/Documents/development/archon-search/tests/test_store.py</t>
        </is>
      </c>
      <c r="C815" t="inlineStr">
        <is>
          <t>tests-05</t>
        </is>
      </c>
      <c r="D815" t="n">
        <v>4888</v>
      </c>
      <c r="E815" t="inlineStr">
        <is>
          <t>db = connected_store._require_connected()</t>
        </is>
      </c>
    </row>
    <row r="816">
      <c r="A816" t="inlineStr">
        <is>
          <t>archon-search</t>
        </is>
      </c>
      <c r="B816" t="inlineStr">
        <is>
          <t>/Users/manczg/Documents/development/archon-search/tests/test_store.py</t>
        </is>
      </c>
      <c r="C816" t="inlineStr">
        <is>
          <t>tests-05</t>
        </is>
      </c>
      <c r="D816" t="n">
        <v>4889</v>
      </c>
      <c r="E816" t="inlineStr">
        <is>
          <t>result = await connected_store._do_read_meta_unlocked(db, "read-unlocked-col")</t>
        </is>
      </c>
    </row>
    <row r="817">
      <c r="A817" t="inlineStr">
        <is>
          <t>archon-search</t>
        </is>
      </c>
      <c r="B817" t="inlineStr">
        <is>
          <t>/Users/manczg/Documents/development/archon-search/tests/test_store.py</t>
        </is>
      </c>
      <c r="C817" t="inlineStr">
        <is>
          <t>tests-05</t>
        </is>
      </c>
      <c r="D817" t="n">
        <v>4912</v>
      </c>
      <c r="E817" t="inlineStr">
        <is>
          <t>db = connected_store._require_connected()</t>
        </is>
      </c>
    </row>
    <row r="818">
      <c r="A818" t="inlineStr">
        <is>
          <t>archon-search</t>
        </is>
      </c>
      <c r="B818" t="inlineStr">
        <is>
          <t>/Users/manczg/Documents/development/archon-search/tests/test_store.py</t>
        </is>
      </c>
      <c r="C818" t="inlineStr">
        <is>
          <t>tests-05</t>
        </is>
      </c>
      <c r="D818" t="n">
        <v>4913</v>
      </c>
      <c r="E818" t="inlineStr">
        <is>
          <t>await connected_store._do_write_meta_unlocked(db, "write-unlocked-col", meta)</t>
        </is>
      </c>
    </row>
    <row r="819">
      <c r="A819" t="inlineStr">
        <is>
          <t>archon-search</t>
        </is>
      </c>
      <c r="B819" t="inlineStr">
        <is>
          <t>/Users/manczg/Documents/development/archon-search/tests/test_store.py</t>
        </is>
      </c>
      <c r="C819" t="inlineStr">
        <is>
          <t>tests-05</t>
        </is>
      </c>
      <c r="D819" t="n">
        <v>4931</v>
      </c>
      <c r="E819" t="inlineStr">
        <is>
          <t>db = connected_store._require_connected()</t>
        </is>
      </c>
    </row>
    <row r="820">
      <c r="A820" t="inlineStr">
        <is>
          <t>archon-search</t>
        </is>
      </c>
      <c r="B820" t="inlineStr">
        <is>
          <t>/Users/manczg/Documents/development/archon-search/tests/test_store.py</t>
        </is>
      </c>
      <c r="C820" t="inlineStr">
        <is>
          <t>tests-05</t>
        </is>
      </c>
      <c r="D820" t="n">
        <v>4933</v>
      </c>
      <c r="E820" t="inlineStr">
        <is>
          <t>await connected_store._do_write_meta_unlocked(db, "upsert-unlocked-col", meta2)</t>
        </is>
      </c>
    </row>
    <row r="821">
      <c r="A821" t="inlineStr">
        <is>
          <t>archon-search</t>
        </is>
      </c>
      <c r="B821" t="inlineStr">
        <is>
          <t>/Users/manczg/Documents/development/archon-search/tests/test_store.py</t>
        </is>
      </c>
      <c r="C821" t="inlineStr">
        <is>
          <t>tests-05</t>
        </is>
      </c>
      <c r="D821" t="n">
        <v>4950</v>
      </c>
      <c r="E821" t="inlineStr">
        <is>
          <t>db = store._require_connected()</t>
        </is>
      </c>
    </row>
    <row r="822">
      <c r="A822" t="inlineStr">
        <is>
          <t>archon-search</t>
        </is>
      </c>
      <c r="B822" t="inlineStr">
        <is>
          <t>/Users/manczg/Documents/development/archon-search/tests/test_store.py</t>
        </is>
      </c>
      <c r="C822" t="inlineStr">
        <is>
          <t>tests-05</t>
        </is>
      </c>
      <c r="D822" t="n">
        <v>4957</v>
      </c>
      <c r="E822" t="inlineStr">
        <is>
          <t>await store._do_write_meta_unlocked(db, "auto-create-col", meta)</t>
        </is>
      </c>
    </row>
    <row r="823">
      <c r="A823" t="inlineStr">
        <is>
          <t>archon-search</t>
        </is>
      </c>
      <c r="B823" t="inlineStr">
        <is>
          <t>/Users/manczg/Documents/development/archon-search/tests/test_store.py</t>
        </is>
      </c>
      <c r="C823" t="inlineStr">
        <is>
          <t>tests-05</t>
        </is>
      </c>
      <c r="D823" t="n">
        <v>4981</v>
      </c>
      <c r="E823" t="inlineStr">
        <is>
          <t>db = connected_store._require_connected()</t>
        </is>
      </c>
    </row>
    <row r="824">
      <c r="A824" t="inlineStr">
        <is>
          <t>archon-search</t>
        </is>
      </c>
      <c r="B824" t="inlineStr">
        <is>
          <t>/Users/manczg/Documents/development/archon-search/tests/test_store.py</t>
        </is>
      </c>
      <c r="C824" t="inlineStr">
        <is>
          <t>tests-05</t>
        </is>
      </c>
      <c r="D824" t="n">
        <v>4982</v>
      </c>
      <c r="E824" t="inlineStr">
        <is>
          <t>await connected_store._do_write_meta_unlocked(db, "b5-unlocked-col", meta)</t>
        </is>
      </c>
    </row>
    <row r="825">
      <c r="A825" t="inlineStr">
        <is>
          <t>archon-search</t>
        </is>
      </c>
      <c r="B825" t="inlineStr">
        <is>
          <t>/Users/manczg/Documents/development/archon-search/tests/test_store.py</t>
        </is>
      </c>
      <c r="C825" t="inlineStr">
        <is>
          <t>tests-05</t>
        </is>
      </c>
      <c r="D825" t="n">
        <v>5006</v>
      </c>
      <c r="E825" t="inlineStr">
        <is>
          <t>db = connected_store._require_connected()</t>
        </is>
      </c>
    </row>
    <row r="826">
      <c r="A826" t="inlineStr">
        <is>
          <t>archon-search</t>
        </is>
      </c>
      <c r="B826" t="inlineStr">
        <is>
          <t>/Users/manczg/Documents/development/archon-search/tests/test_store.py</t>
        </is>
      </c>
      <c r="C826" t="inlineStr">
        <is>
          <t>tests-05</t>
        </is>
      </c>
      <c r="D826" t="n">
        <v>5010</v>
      </c>
      <c r="E826" t="inlineStr">
        <is>
          <t>await connected_store._do_write_meta_unlocked(db, col, meta_alpha)</t>
        </is>
      </c>
    </row>
    <row r="827">
      <c r="A827" t="inlineStr">
        <is>
          <t>archon-search</t>
        </is>
      </c>
      <c r="B827" t="inlineStr">
        <is>
          <t>/Users/manczg/Documents/development/archon-search/tests/test_store.py</t>
        </is>
      </c>
      <c r="C827" t="inlineStr">
        <is>
          <t>tests-05</t>
        </is>
      </c>
      <c r="D827" t="n">
        <v>5011</v>
      </c>
      <c r="E827" t="inlineStr">
        <is>
          <t>await connected_store._do_write_meta_unlocked(db, col, meta_beta)</t>
        </is>
      </c>
    </row>
    <row r="828">
      <c r="A828" t="inlineStr">
        <is>
          <t>archon-search</t>
        </is>
      </c>
      <c r="B828" t="inlineStr">
        <is>
          <t>/Users/manczg/Documents/development/archon-search/tests/test_store.py</t>
        </is>
      </c>
      <c r="C828" t="inlineStr">
        <is>
          <t>tests-05</t>
        </is>
      </c>
      <c r="D828" t="n">
        <v>5015</v>
      </c>
      <c r="E828" t="inlineStr">
        <is>
          <t>await connected_store._do_write_meta_unlocked(db, col, updated_alpha)</t>
        </is>
      </c>
    </row>
    <row r="829">
      <c r="A829" t="inlineStr">
        <is>
          <t>archon-search</t>
        </is>
      </c>
      <c r="B829" t="inlineStr">
        <is>
          <t>/Users/manczg/Documents/development/archon-search/tests/test_store.py</t>
        </is>
      </c>
      <c r="C829" t="inlineStr">
        <is>
          <t>tests-05</t>
        </is>
      </c>
      <c r="D829" t="n">
        <v>5061</v>
      </c>
      <c r="E829" t="inlineStr">
        <is>
          <t>db = store._require_connected()</t>
        </is>
      </c>
    </row>
    <row r="830">
      <c r="A830" t="inlineStr">
        <is>
          <t>archon-search</t>
        </is>
      </c>
      <c r="B830" t="inlineStr">
        <is>
          <t>/Users/manczg/Documents/development/archon-search/tests/test_store.py</t>
        </is>
      </c>
      <c r="C830" t="inlineStr">
        <is>
          <t>tests-05</t>
        </is>
      </c>
      <c r="D830" t="n">
        <v>5062</v>
      </c>
      <c r="E830" t="inlineStr">
        <is>
          <t>result = await store._do_fetch_doc_vectors_unlocked(db, "nonexistent-col", _doc_id())</t>
        </is>
      </c>
    </row>
    <row r="831">
      <c r="A831" t="inlineStr">
        <is>
          <t>archon-search</t>
        </is>
      </c>
      <c r="B831" t="inlineStr">
        <is>
          <t>/Users/manczg/Documents/development/archon-search/tests/test_store.py</t>
        </is>
      </c>
      <c r="C831" t="inlineStr">
        <is>
          <t>tests-05</t>
        </is>
      </c>
      <c r="D831" t="n">
        <v>5108</v>
      </c>
      <c r="E831" t="inlineStr">
        <is>
          <t>db = connected_store._require_connected()</t>
        </is>
      </c>
    </row>
    <row r="832">
      <c r="A832" t="inlineStr">
        <is>
          <t>archon-search</t>
        </is>
      </c>
      <c r="B832" t="inlineStr">
        <is>
          <t>/Users/manczg/Documents/development/archon-search/tests/test_store.py</t>
        </is>
      </c>
      <c r="C832" t="inlineStr">
        <is>
          <t>tests-05</t>
        </is>
      </c>
      <c r="D832" t="n">
        <v>5109</v>
      </c>
      <c r="E832" t="inlineStr">
        <is>
          <t>result = await connected_store._do_fetch_doc_vectors_unlocked(db, col_name, doc_a)</t>
        </is>
      </c>
    </row>
    <row r="833">
      <c r="A833" t="inlineStr">
        <is>
          <t>archon-search</t>
        </is>
      </c>
      <c r="B833" t="inlineStr">
        <is>
          <t>/Users/manczg/Documents/development/archon-search/tests/test_store.py</t>
        </is>
      </c>
      <c r="C833" t="inlineStr">
        <is>
          <t>tests-05</t>
        </is>
      </c>
      <c r="D833" t="n">
        <v>5125</v>
      </c>
      <c r="E833" t="inlineStr">
        <is>
          <t>db = connected_store._require_connected()</t>
        </is>
      </c>
    </row>
    <row r="834">
      <c r="A834" t="inlineStr">
        <is>
          <t>archon-search</t>
        </is>
      </c>
      <c r="B834" t="inlineStr">
        <is>
          <t>/Users/manczg/Documents/development/archon-search/tests/test_store.py</t>
        </is>
      </c>
      <c r="C834" t="inlineStr">
        <is>
          <t>tests-05</t>
        </is>
      </c>
      <c r="D834" t="n">
        <v>5127</v>
      </c>
      <c r="E834" t="inlineStr">
        <is>
          <t>result = await connected_store._do_fetch_doc_vectors_unlocked(db, col_name, missing_doc)</t>
        </is>
      </c>
    </row>
    <row r="835">
      <c r="A835" t="inlineStr">
        <is>
          <t>archon-search</t>
        </is>
      </c>
      <c r="B835" t="inlineStr">
        <is>
          <t>/Users/manczg/Documents/development/archon-search/tests/test_store.py</t>
        </is>
      </c>
      <c r="C835" t="inlineStr">
        <is>
          <t>tests-05</t>
        </is>
      </c>
      <c r="D835" t="n">
        <v>5149</v>
      </c>
      <c r="E835" t="inlineStr">
        <is>
          <t>db = store._require_connected()</t>
        </is>
      </c>
    </row>
    <row r="836">
      <c r="A836" t="inlineStr">
        <is>
          <t>archon-search</t>
        </is>
      </c>
      <c r="B836" t="inlineStr">
        <is>
          <t>/Users/manczg/Documents/development/archon-search/tests/test_store.py</t>
        </is>
      </c>
      <c r="C836" t="inlineStr">
        <is>
          <t>tests-05</t>
        </is>
      </c>
      <c r="D836" t="n">
        <v>5151</v>
      </c>
      <c r="E836" t="inlineStr">
        <is>
          <t>result_col_a = await store._do_fetch_doc_vectors_unlocked(db, col_a, doc_a)</t>
        </is>
      </c>
    </row>
    <row r="837">
      <c r="A837" t="inlineStr">
        <is>
          <t>archon-search</t>
        </is>
      </c>
      <c r="B837" t="inlineStr">
        <is>
          <t>/Users/manczg/Documents/development/archon-search/tests/test_store.py</t>
        </is>
      </c>
      <c r="C837" t="inlineStr">
        <is>
          <t>tests-05</t>
        </is>
      </c>
      <c r="D837" t="n">
        <v>5152</v>
      </c>
      <c r="E837" t="inlineStr">
        <is>
          <t>result_col_b_for_doc_a = await store._do_fetch_doc_vectors_unlocked(db, col_b, doc_a)</t>
        </is>
      </c>
    </row>
    <row r="838">
      <c r="A838" t="inlineStr">
        <is>
          <t>archon-search</t>
        </is>
      </c>
      <c r="B838" t="inlineStr">
        <is>
          <t>/Users/manczg/Documents/development/archon-search/tests/test_store.py</t>
        </is>
      </c>
      <c r="C838" t="inlineStr">
        <is>
          <t>tests-05</t>
        </is>
      </c>
      <c r="D838" t="n">
        <v>5168</v>
      </c>
      <c r="E838" t="inlineStr">
        <is>
          <t>db = store._require_connected()</t>
        </is>
      </c>
    </row>
    <row r="839">
      <c r="A839" t="inlineStr">
        <is>
          <t>archon-search</t>
        </is>
      </c>
      <c r="B839" t="inlineStr">
        <is>
          <t>/Users/manczg/Documents/development/archon-search/tests/test_store.py</t>
        </is>
      </c>
      <c r="C839" t="inlineStr">
        <is>
          <t>tests-05</t>
        </is>
      </c>
      <c r="D839" t="n">
        <v>5170</v>
      </c>
      <c r="E839" t="inlineStr">
        <is>
          <t>await store._do_fetch_doc_vectors_unlocked(db, "some-col", "not-a-valid-hex-id")</t>
        </is>
      </c>
    </row>
    <row r="840">
      <c r="A840" t="inlineStr">
        <is>
          <t>archon-search</t>
        </is>
      </c>
      <c r="B840" t="inlineStr">
        <is>
          <t>/Users/manczg/Documents/development/archon-search/tests/test_store.py</t>
        </is>
      </c>
      <c r="C840" t="inlineStr">
        <is>
          <t>tests-05</t>
        </is>
      </c>
      <c r="D840" t="n">
        <v>5183</v>
      </c>
      <c r="E840" t="inlineStr">
        <is>
          <t>db = store._require_connected()</t>
        </is>
      </c>
    </row>
    <row r="841">
      <c r="A841" t="inlineStr">
        <is>
          <t>archon-search</t>
        </is>
      </c>
      <c r="B841" t="inlineStr">
        <is>
          <t>/Users/manczg/Documents/development/archon-search/tests/test_store.py</t>
        </is>
      </c>
      <c r="C841" t="inlineStr">
        <is>
          <t>tests-05</t>
        </is>
      </c>
      <c r="D841" t="n">
        <v>5186</v>
      </c>
      <c r="E841" t="inlineStr">
        <is>
          <t>await store._do_fetch_doc_vectors_unlocked(db, "_reserved-col", _doc_id())</t>
        </is>
      </c>
    </row>
    <row r="842">
      <c r="A842" t="inlineStr">
        <is>
          <t>archon-search</t>
        </is>
      </c>
      <c r="B842" t="inlineStr">
        <is>
          <t>/Users/manczg/Documents/development/archon-search/tests/test_store.py</t>
        </is>
      </c>
      <c r="C842" t="inlineStr">
        <is>
          <t>tests-05</t>
        </is>
      </c>
      <c r="D842" t="n">
        <v>5301</v>
      </c>
      <c r="E842" t="inlineStr">
        <is>
          <t>db = store._require_connected()</t>
        </is>
      </c>
    </row>
    <row r="843">
      <c r="A843" t="inlineStr">
        <is>
          <t>archon-search</t>
        </is>
      </c>
      <c r="B843" t="inlineStr">
        <is>
          <t>/Users/manczg/Documents/development/archon-search/tests/test_store.py</t>
        </is>
      </c>
      <c r="C843" t="inlineStr">
        <is>
          <t>tests-05</t>
        </is>
      </c>
      <c r="D843" t="n">
        <v>5304</v>
      </c>
      <c r="E843" t="inlineStr">
        <is>
          <t>signal = await store._do_update_meta_on_add(</t>
        </is>
      </c>
    </row>
    <row r="844">
      <c r="A844" t="inlineStr">
        <is>
          <t>archon-search</t>
        </is>
      </c>
      <c r="B844" t="inlineStr">
        <is>
          <t>/Users/manczg/Documents/development/archon-search/tests/test_store.py</t>
        </is>
      </c>
      <c r="C844" t="inlineStr">
        <is>
          <t>tests-05</t>
        </is>
      </c>
      <c r="D844" t="n">
        <v>5326</v>
      </c>
      <c r="E844" t="inlineStr">
        <is>
          <t>db = store._require_connected()</t>
        </is>
      </c>
    </row>
    <row r="845">
      <c r="A845" t="inlineStr">
        <is>
          <t>archon-search</t>
        </is>
      </c>
      <c r="B845" t="inlineStr">
        <is>
          <t>/Users/manczg/Documents/development/archon-search/tests/test_store.py</t>
        </is>
      </c>
      <c r="C845" t="inlineStr">
        <is>
          <t>tests-05</t>
        </is>
      </c>
      <c r="D845" t="n">
        <v>5333</v>
      </c>
      <c r="E845" t="inlineStr">
        <is>
          <t>await store._do_update_meta_on_add(</t>
        </is>
      </c>
    </row>
    <row r="846">
      <c r="A846" t="inlineStr">
        <is>
          <t>archon-search</t>
        </is>
      </c>
      <c r="B846" t="inlineStr">
        <is>
          <t>/Users/manczg/Documents/development/archon-search/tests/test_store.py</t>
        </is>
      </c>
      <c r="C846" t="inlineStr">
        <is>
          <t>tests-05</t>
        </is>
      </c>
      <c r="D846" t="n">
        <v>5353</v>
      </c>
      <c r="E846" t="inlineStr">
        <is>
          <t>db = store._require_connected()</t>
        </is>
      </c>
    </row>
    <row r="847">
      <c r="A847" t="inlineStr">
        <is>
          <t>archon-search</t>
        </is>
      </c>
      <c r="B847" t="inlineStr">
        <is>
          <t>/Users/manczg/Documents/development/archon-search/tests/test_store.py</t>
        </is>
      </c>
      <c r="C847" t="inlineStr">
        <is>
          <t>tests-05</t>
        </is>
      </c>
      <c r="D847" t="n">
        <v>5360</v>
      </c>
      <c r="E847" t="inlineStr">
        <is>
          <t>signal = await store._do_update_meta_on_add(</t>
        </is>
      </c>
    </row>
    <row r="848">
      <c r="A848" t="inlineStr">
        <is>
          <t>archon-search</t>
        </is>
      </c>
      <c r="B848" t="inlineStr">
        <is>
          <t>/Users/manczg/Documents/development/archon-search/tests/test_store.py</t>
        </is>
      </c>
      <c r="C848" t="inlineStr">
        <is>
          <t>tests-05</t>
        </is>
      </c>
      <c r="D848" t="n">
        <v>5381</v>
      </c>
      <c r="E848" t="inlineStr">
        <is>
          <t>db = store._require_connected()</t>
        </is>
      </c>
    </row>
    <row r="849">
      <c r="A849" t="inlineStr">
        <is>
          <t>archon-search</t>
        </is>
      </c>
      <c r="B849" t="inlineStr">
        <is>
          <t>/Users/manczg/Documents/development/archon-search/tests/test_store.py</t>
        </is>
      </c>
      <c r="C849" t="inlineStr">
        <is>
          <t>tests-05</t>
        </is>
      </c>
      <c r="D849" t="n">
        <v>5389</v>
      </c>
      <c r="E849" t="inlineStr">
        <is>
          <t>await store._do_update_meta_on_add(</t>
        </is>
      </c>
    </row>
    <row r="850">
      <c r="A850" t="inlineStr">
        <is>
          <t>archon-search</t>
        </is>
      </c>
      <c r="B850" t="inlineStr">
        <is>
          <t>/Users/manczg/Documents/development/archon-search/tests/test_store.py</t>
        </is>
      </c>
      <c r="C850" t="inlineStr">
        <is>
          <t>tests-05</t>
        </is>
      </c>
      <c r="D850" t="n">
        <v>5410</v>
      </c>
      <c r="E850" t="inlineStr">
        <is>
          <t>db = store._require_connected()</t>
        </is>
      </c>
    </row>
    <row r="851">
      <c r="A851" t="inlineStr">
        <is>
          <t>archon-search</t>
        </is>
      </c>
      <c r="B851" t="inlineStr">
        <is>
          <t>/Users/manczg/Documents/development/archon-search/tests/test_store.py</t>
        </is>
      </c>
      <c r="C851" t="inlineStr">
        <is>
          <t>tests-05</t>
        </is>
      </c>
      <c r="D851" t="n">
        <v>5418</v>
      </c>
      <c r="E851" t="inlineStr">
        <is>
          <t>signal = await store._do_update_meta_on_add(</t>
        </is>
      </c>
    </row>
    <row r="852">
      <c r="A852" t="inlineStr">
        <is>
          <t>archon-search</t>
        </is>
      </c>
      <c r="B852" t="inlineStr">
        <is>
          <t>/Users/manczg/Documents/development/archon-search/tests/test_store.py</t>
        </is>
      </c>
      <c r="C852" t="inlineStr">
        <is>
          <t>tests-05</t>
        </is>
      </c>
      <c r="D852" t="n">
        <v>5436</v>
      </c>
      <c r="E852" t="inlineStr">
        <is>
          <t>db = store._require_connected()</t>
        </is>
      </c>
    </row>
    <row r="853">
      <c r="A853" t="inlineStr">
        <is>
          <t>archon-search</t>
        </is>
      </c>
      <c r="B853" t="inlineStr">
        <is>
          <t>/Users/manczg/Documents/development/archon-search/tests/test_store.py</t>
        </is>
      </c>
      <c r="C853" t="inlineStr">
        <is>
          <t>tests-05</t>
        </is>
      </c>
      <c r="D853" t="n">
        <v>5443</v>
      </c>
      <c r="E853" t="inlineStr">
        <is>
          <t>signal = await store._do_update_meta_on_add(</t>
        </is>
      </c>
    </row>
    <row r="854">
      <c r="A854" t="inlineStr">
        <is>
          <t>archon-search</t>
        </is>
      </c>
      <c r="B854" t="inlineStr">
        <is>
          <t>/Users/manczg/Documents/development/archon-search/tests/test_store.py</t>
        </is>
      </c>
      <c r="C854" t="inlineStr">
        <is>
          <t>tests-05</t>
        </is>
      </c>
      <c r="D854" t="n">
        <v>5461</v>
      </c>
      <c r="E854" t="inlineStr">
        <is>
          <t>db = store._require_connected()</t>
        </is>
      </c>
    </row>
    <row r="855">
      <c r="A855" t="inlineStr">
        <is>
          <t>archon-search</t>
        </is>
      </c>
      <c r="B855" t="inlineStr">
        <is>
          <t>/Users/manczg/Documents/development/archon-search/tests/test_store.py</t>
        </is>
      </c>
      <c r="C855" t="inlineStr">
        <is>
          <t>tests-05</t>
        </is>
      </c>
      <c r="D855" t="n">
        <v>5468</v>
      </c>
      <c r="E855" t="inlineStr">
        <is>
          <t>signal = await store._do_update_meta_on_add(</t>
        </is>
      </c>
    </row>
    <row r="856">
      <c r="A856" t="inlineStr">
        <is>
          <t>archon-search</t>
        </is>
      </c>
      <c r="B856" t="inlineStr">
        <is>
          <t>/Users/manczg/Documents/development/archon-search/tests/test_store.py</t>
        </is>
      </c>
      <c r="C856" t="inlineStr">
        <is>
          <t>tests-05</t>
        </is>
      </c>
      <c r="D856" t="n">
        <v>5489</v>
      </c>
      <c r="E856" t="inlineStr">
        <is>
          <t>db = store._require_connected()</t>
        </is>
      </c>
    </row>
    <row r="857">
      <c r="A857" t="inlineStr">
        <is>
          <t>archon-search</t>
        </is>
      </c>
      <c r="B857" t="inlineStr">
        <is>
          <t>/Users/manczg/Documents/development/archon-search/tests/test_store.py</t>
        </is>
      </c>
      <c r="C857" t="inlineStr">
        <is>
          <t>tests-05</t>
        </is>
      </c>
      <c r="D857" t="n">
        <v>5497</v>
      </c>
      <c r="E857" t="inlineStr">
        <is>
          <t>await store._do_update_meta_on_add(</t>
        </is>
      </c>
    </row>
    <row r="858">
      <c r="A858" t="inlineStr">
        <is>
          <t>archon-search</t>
        </is>
      </c>
      <c r="B858" t="inlineStr">
        <is>
          <t>/Users/manczg/Documents/development/archon-search/tests/test_store.py</t>
        </is>
      </c>
      <c r="C858" t="inlineStr">
        <is>
          <t>tests-05</t>
        </is>
      </c>
      <c r="D858" t="n">
        <v>5517</v>
      </c>
      <c r="E858" t="inlineStr">
        <is>
          <t>db = store._require_connected()</t>
        </is>
      </c>
    </row>
    <row r="859">
      <c r="A859" t="inlineStr">
        <is>
          <t>archon-search</t>
        </is>
      </c>
      <c r="B859" t="inlineStr">
        <is>
          <t>/Users/manczg/Documents/development/archon-search/tests/test_store.py</t>
        </is>
      </c>
      <c r="C859" t="inlineStr">
        <is>
          <t>tests-05</t>
        </is>
      </c>
      <c r="D859" t="n">
        <v>5519</v>
      </c>
      <c r="E859" t="inlineStr">
        <is>
          <t>signal = await store._do_update_meta_on_add(</t>
        </is>
      </c>
    </row>
    <row r="860">
      <c r="A860" t="inlineStr">
        <is>
          <t>archon-search</t>
        </is>
      </c>
      <c r="B860" t="inlineStr">
        <is>
          <t>/Users/manczg/Documents/development/archon-search/tests/test_store.py</t>
        </is>
      </c>
      <c r="C860" t="inlineStr">
        <is>
          <t>tests-05</t>
        </is>
      </c>
      <c r="D860" t="n">
        <v>5787</v>
      </c>
      <c r="E860" t="inlineStr">
        <is>
          <t>db = store._require_connected()</t>
        </is>
      </c>
    </row>
    <row r="861">
      <c r="A861" t="inlineStr">
        <is>
          <t>archon-search</t>
        </is>
      </c>
      <c r="B861" t="inlineStr">
        <is>
          <t>/Users/manczg/Documents/development/archon-search/tests/test_store.py</t>
        </is>
      </c>
      <c r="C861" t="inlineStr">
        <is>
          <t>tests-05</t>
        </is>
      </c>
      <c r="D861" t="n">
        <v>5794</v>
      </c>
      <c r="E861" t="inlineStr">
        <is>
          <t>await store._do_subtract_meta_on_delete(db, col, [[1.0, 1.0], [2.0, 2.0]])</t>
        </is>
      </c>
    </row>
    <row r="862">
      <c r="A862" t="inlineStr">
        <is>
          <t>archon-search</t>
        </is>
      </c>
      <c r="B862" t="inlineStr">
        <is>
          <t>/Users/manczg/Documents/development/archon-search/tests/test_store.py</t>
        </is>
      </c>
      <c r="C862" t="inlineStr">
        <is>
          <t>tests-05</t>
        </is>
      </c>
      <c r="D862" t="n">
        <v>5809</v>
      </c>
      <c r="E862" t="inlineStr">
        <is>
          <t>db = store._require_connected()</t>
        </is>
      </c>
    </row>
    <row r="863">
      <c r="A863" t="inlineStr">
        <is>
          <t>archon-search</t>
        </is>
      </c>
      <c r="B863" t="inlineStr">
        <is>
          <t>/Users/manczg/Documents/development/archon-search/tests/test_store.py</t>
        </is>
      </c>
      <c r="C863" t="inlineStr">
        <is>
          <t>tests-05</t>
        </is>
      </c>
      <c r="D863" t="n">
        <v>5816</v>
      </c>
      <c r="E863" t="inlineStr">
        <is>
          <t>await store._do_subtract_meta_on_delete(db, col, [[1.0, 1.0], [3.0, 3.0]])</t>
        </is>
      </c>
    </row>
    <row r="864">
      <c r="A864" t="inlineStr">
        <is>
          <t>archon-search</t>
        </is>
      </c>
      <c r="B864" t="inlineStr">
        <is>
          <t>/Users/manczg/Documents/development/archon-search/tests/test_store.py</t>
        </is>
      </c>
      <c r="C864" t="inlineStr">
        <is>
          <t>tests-05</t>
        </is>
      </c>
      <c r="D864" t="n">
        <v>5834</v>
      </c>
      <c r="E864" t="inlineStr">
        <is>
          <t>db = store._require_connected()</t>
        </is>
      </c>
    </row>
    <row r="865">
      <c r="A865" t="inlineStr">
        <is>
          <t>archon-search</t>
        </is>
      </c>
      <c r="B865" t="inlineStr">
        <is>
          <t>/Users/manczg/Documents/development/archon-search/tests/test_store.py</t>
        </is>
      </c>
      <c r="C865" t="inlineStr">
        <is>
          <t>tests-05</t>
        </is>
      </c>
      <c r="D865" t="n">
        <v>5841</v>
      </c>
      <c r="E865" t="inlineStr">
        <is>
          <t>await store._do_subtract_meta_on_delete(db, col, [])</t>
        </is>
      </c>
    </row>
    <row r="866">
      <c r="A866" t="inlineStr">
        <is>
          <t>archon-search</t>
        </is>
      </c>
      <c r="B866" t="inlineStr">
        <is>
          <t>/Users/manczg/Documents/development/archon-search/tests/test_store.py</t>
        </is>
      </c>
      <c r="C866" t="inlineStr">
        <is>
          <t>tests-05</t>
        </is>
      </c>
      <c r="D866" t="n">
        <v>5857</v>
      </c>
      <c r="E866" t="inlineStr">
        <is>
          <t>db = store._require_connected()</t>
        </is>
      </c>
    </row>
    <row r="867">
      <c r="A867" t="inlineStr">
        <is>
          <t>archon-search</t>
        </is>
      </c>
      <c r="B867" t="inlineStr">
        <is>
          <t>/Users/manczg/Documents/development/archon-search/tests/test_store.py</t>
        </is>
      </c>
      <c r="C867" t="inlineStr">
        <is>
          <t>tests-05</t>
        </is>
      </c>
      <c r="D867" t="n">
        <v>5866</v>
      </c>
      <c r="E867" t="inlineStr">
        <is>
          <t>await store._do_subtract_meta_on_delete(db, col, [[1.0]])</t>
        </is>
      </c>
    </row>
    <row r="868">
      <c r="A868" t="inlineStr">
        <is>
          <t>archon-search</t>
        </is>
      </c>
      <c r="B868" t="inlineStr">
        <is>
          <t>/Users/manczg/Documents/development/archon-search/tests/test_store.py</t>
        </is>
      </c>
      <c r="C868" t="inlineStr">
        <is>
          <t>tests-05</t>
        </is>
      </c>
      <c r="D868" t="n">
        <v>5881</v>
      </c>
      <c r="E868" t="inlineStr">
        <is>
          <t>db = store._require_connected()</t>
        </is>
      </c>
    </row>
    <row r="869">
      <c r="A869" t="inlineStr">
        <is>
          <t>archon-search</t>
        </is>
      </c>
      <c r="B869" t="inlineStr">
        <is>
          <t>/Users/manczg/Documents/development/archon-search/tests/test_store.py</t>
        </is>
      </c>
      <c r="C869" t="inlineStr">
        <is>
          <t>tests-05</t>
        </is>
      </c>
      <c r="D869" t="n">
        <v>5888</v>
      </c>
      <c r="E869" t="inlineStr">
        <is>
          <t>await store._do_subtract_meta_on_delete(db, col, [[1.0]])</t>
        </is>
      </c>
    </row>
    <row r="870">
      <c r="A870" t="inlineStr">
        <is>
          <t>archon-search</t>
        </is>
      </c>
      <c r="B870" t="inlineStr">
        <is>
          <t>/Users/manczg/Documents/development/archon-search/tests/test_store.py</t>
        </is>
      </c>
      <c r="C870" t="inlineStr">
        <is>
          <t>tests-05</t>
        </is>
      </c>
      <c r="D870" t="n">
        <v>5904</v>
      </c>
      <c r="E870" t="inlineStr">
        <is>
          <t>db = store._require_connected()</t>
        </is>
      </c>
    </row>
    <row r="871">
      <c r="A871" t="inlineStr">
        <is>
          <t>archon-search</t>
        </is>
      </c>
      <c r="B871" t="inlineStr">
        <is>
          <t>/Users/manczg/Documents/development/archon-search/tests/test_store.py</t>
        </is>
      </c>
      <c r="C871" t="inlineStr">
        <is>
          <t>tests-05</t>
        </is>
      </c>
      <c r="D871" t="n">
        <v>5911</v>
      </c>
      <c r="E871" t="inlineStr">
        <is>
          <t>await store._do_subtract_meta_on_delete(db, col, [[1.0, 1.0], [2.0, 2.0]])</t>
        </is>
      </c>
    </row>
    <row r="872">
      <c r="A872" t="inlineStr">
        <is>
          <t>archon-search</t>
        </is>
      </c>
      <c r="B872" t="inlineStr">
        <is>
          <t>/Users/manczg/Documents/development/archon-search/tests/test_store.py</t>
        </is>
      </c>
      <c r="C872" t="inlineStr">
        <is>
          <t>tests-05</t>
        </is>
      </c>
      <c r="D872" t="n">
        <v>5924</v>
      </c>
      <c r="E872" t="inlineStr">
        <is>
          <t>db = store._require_connected()</t>
        </is>
      </c>
    </row>
    <row r="873">
      <c r="A873" t="inlineStr">
        <is>
          <t>archon-search</t>
        </is>
      </c>
      <c r="B873" t="inlineStr">
        <is>
          <t>/Users/manczg/Documents/development/archon-search/tests/test_store.py</t>
        </is>
      </c>
      <c r="C873" t="inlineStr">
        <is>
          <t>tests-05</t>
        </is>
      </c>
      <c r="D873" t="n">
        <v>5927</v>
      </c>
      <c r="E873" t="inlineStr">
        <is>
          <t>await store._do_subtract_meta_on_delete(db, col, [[1.0, 2.0]])</t>
        </is>
      </c>
    </row>
    <row r="874">
      <c r="A874" t="inlineStr">
        <is>
          <t>archon-search</t>
        </is>
      </c>
      <c r="B874" t="inlineStr">
        <is>
          <t>/Users/manczg/Documents/development/archon-search/tests/test_store.py</t>
        </is>
      </c>
      <c r="C874" t="inlineStr">
        <is>
          <t>tests-05</t>
        </is>
      </c>
      <c r="D874" t="n">
        <v>5941</v>
      </c>
      <c r="E874" t="inlineStr">
        <is>
          <t>db = store._require_connected()</t>
        </is>
      </c>
    </row>
    <row r="875">
      <c r="A875" t="inlineStr">
        <is>
          <t>archon-search</t>
        </is>
      </c>
      <c r="B875" t="inlineStr">
        <is>
          <t>/Users/manczg/Documents/development/archon-search/tests/test_store.py</t>
        </is>
      </c>
      <c r="C875" t="inlineStr">
        <is>
          <t>tests-05</t>
        </is>
      </c>
      <c r="D875" t="n">
        <v>5948</v>
      </c>
      <c r="E875" t="inlineStr">
        <is>
          <t>await store._do_subtract_meta_on_delete(db, col, [[1.0], [2.0], [3.0]])</t>
        </is>
      </c>
    </row>
    <row r="876">
      <c r="A876" t="inlineStr">
        <is>
          <t>archon-search</t>
        </is>
      </c>
      <c r="B876" t="inlineStr">
        <is>
          <t>/Users/manczg/Documents/development/archon-search/tests/test_store.py</t>
        </is>
      </c>
      <c r="C876" t="inlineStr">
        <is>
          <t>tests-05</t>
        </is>
      </c>
      <c r="D876" t="n">
        <v>5962</v>
      </c>
      <c r="E876" t="inlineStr">
        <is>
          <t>db = store._require_connected()</t>
        </is>
      </c>
    </row>
    <row r="877">
      <c r="A877" t="inlineStr">
        <is>
          <t>archon-search</t>
        </is>
      </c>
      <c r="B877" t="inlineStr">
        <is>
          <t>/Users/manczg/Documents/development/archon-search/tests/test_store.py</t>
        </is>
      </c>
      <c r="C877" t="inlineStr">
        <is>
          <t>tests-05</t>
        </is>
      </c>
      <c r="D877" t="n">
        <v>5970</v>
      </c>
      <c r="E877" t="inlineStr">
        <is>
          <t>await store._do_subtract_meta_on_delete(db, col, [[1.0], [2.0]])</t>
        </is>
      </c>
    </row>
    <row r="878">
      <c r="A878" t="inlineStr">
        <is>
          <t>archon-search</t>
        </is>
      </c>
      <c r="B878" t="inlineStr">
        <is>
          <t>/Users/manczg/Documents/development/archon-search/tests/test_store.py</t>
        </is>
      </c>
      <c r="C878" t="inlineStr">
        <is>
          <t>tests-05</t>
        </is>
      </c>
      <c r="D878" t="n">
        <v>6335</v>
      </c>
      <c r="E878" t="inlineStr">
        <is>
          <t>store._do_update_meta_on_add = fake_update  # type: ignore[assignment]</t>
        </is>
      </c>
    </row>
    <row r="879">
      <c r="A879" t="inlineStr">
        <is>
          <t>archon-search</t>
        </is>
      </c>
      <c r="B879" t="inlineStr">
        <is>
          <t>/Users/manczg/Documents/development/archon-search/tests/test_store.py</t>
        </is>
      </c>
      <c r="C879" t="inlineStr">
        <is>
          <t>tests-05</t>
        </is>
      </c>
      <c r="D879" t="n">
        <v>6713</v>
      </c>
      <c r="E879" t="inlineStr">
        <is>
          <t>db = store._require_connected()  # type: ignore[attr-defined]</t>
        </is>
      </c>
    </row>
    <row r="880">
      <c r="A880" t="inlineStr">
        <is>
          <t>archon-search</t>
        </is>
      </c>
      <c r="B880" t="inlineStr">
        <is>
          <t>/Users/manczg/Documents/development/archon-search/tests/test_store.py</t>
        </is>
      </c>
      <c r="C880" t="inlineStr">
        <is>
          <t>tests-05</t>
        </is>
      </c>
      <c r="D880" t="n">
        <v>6746</v>
      </c>
      <c r="E880" t="inlineStr">
        <is>
          <t>db = store._require_connected()  # type: ignore[attr-defined]</t>
        </is>
      </c>
    </row>
    <row r="881">
      <c r="A881" t="inlineStr">
        <is>
          <t>archon-search</t>
        </is>
      </c>
      <c r="B881" t="inlineStr">
        <is>
          <t>/Users/manczg/Documents/development/archon-search/tests/test_store.py</t>
        </is>
      </c>
      <c r="C881" t="inlineStr">
        <is>
          <t>tests-05</t>
        </is>
      </c>
      <c r="D881" t="n">
        <v>6780</v>
      </c>
      <c r="E881" t="inlineStr">
        <is>
          <t>db = store._require_connected()  # type: ignore[attr-defined]</t>
        </is>
      </c>
    </row>
    <row r="882">
      <c r="A882" t="inlineStr">
        <is>
          <t>archon-search</t>
        </is>
      </c>
      <c r="B882" t="inlineStr">
        <is>
          <t>/Users/manczg/Documents/development/archon-search/tests/test_store.py</t>
        </is>
      </c>
      <c r="C882" t="inlineStr">
        <is>
          <t>tests-05</t>
        </is>
      </c>
      <c r="D882" t="n">
        <v>6950</v>
      </c>
      <c r="E882" t="inlineStr">
        <is>
          <t>schema = SearchStore._meta_schema()</t>
        </is>
      </c>
    </row>
    <row r="883">
      <c r="A883" t="inlineStr">
        <is>
          <t>archon-search</t>
        </is>
      </c>
      <c r="B883" t="inlineStr">
        <is>
          <t>/Users/manczg/Documents/development/archon-search/tests/test_store.py</t>
        </is>
      </c>
      <c r="C883" t="inlineStr">
        <is>
          <t>tests-05</t>
        </is>
      </c>
      <c r="D883" t="n">
        <v>6969</v>
      </c>
      <c r="E883" t="inlineStr">
        <is>
          <t>meta = SearchStore._row_to_meta(row)</t>
        </is>
      </c>
    </row>
    <row r="884">
      <c r="A884" t="inlineStr">
        <is>
          <t>archon-search</t>
        </is>
      </c>
      <c r="B884" t="inlineStr">
        <is>
          <t>/Users/manczg/Documents/development/archon-search/tests/test_store.py</t>
        </is>
      </c>
      <c r="C884" t="inlineStr">
        <is>
          <t>tests-05</t>
        </is>
      </c>
      <c r="D884" t="n">
        <v>6989</v>
      </c>
      <c r="E884" t="inlineStr">
        <is>
          <t>db = store._require_connected()</t>
        </is>
      </c>
    </row>
    <row r="885">
      <c r="A885" t="inlineStr">
        <is>
          <t>archon-search</t>
        </is>
      </c>
      <c r="B885" t="inlineStr">
        <is>
          <t>/Users/manczg/Documents/development/archon-search/tests/test_store.py</t>
        </is>
      </c>
      <c r="C885" t="inlineStr">
        <is>
          <t>tests-05</t>
        </is>
      </c>
      <c r="D885" t="n">
        <v>6992</v>
      </c>
      <c r="E885" t="inlineStr">
        <is>
          <t>[f for f in SearchStore._meta_schema() if f.name != "schema_version"]</t>
        </is>
      </c>
    </row>
    <row r="886">
      <c r="A886" t="inlineStr">
        <is>
          <t>archon-search</t>
        </is>
      </c>
      <c r="B886" t="inlineStr">
        <is>
          <t>/Users/manczg/Documents/development/archon-search/tests/test_store.py</t>
        </is>
      </c>
      <c r="C886" t="inlineStr">
        <is>
          <t>tests-05</t>
        </is>
      </c>
      <c r="D886" t="n">
        <v>6997</v>
      </c>
      <c r="E886" t="inlineStr">
        <is>
          <t>await store._run_startup_migrations()</t>
        </is>
      </c>
    </row>
    <row r="887">
      <c r="A887" t="inlineStr">
        <is>
          <t>archon-search</t>
        </is>
      </c>
      <c r="B887" t="inlineStr">
        <is>
          <t>/Users/manczg/Documents/development/archon-search/tests/test_store.py</t>
        </is>
      </c>
      <c r="C887" t="inlineStr">
        <is>
          <t>tests-05</t>
        </is>
      </c>
      <c r="D887" t="n">
        <v>7002</v>
      </c>
      <c r="E887" t="inlineStr">
        <is>
          <t>await store._run_startup_migrations()</t>
        </is>
      </c>
    </row>
    <row r="888">
      <c r="A888" t="inlineStr">
        <is>
          <t>archon-search</t>
        </is>
      </c>
      <c r="B888" t="inlineStr">
        <is>
          <t>/Users/manczg/Documents/development/archon-search/tests/test_store.py</t>
        </is>
      </c>
      <c r="C888" t="inlineStr">
        <is>
          <t>tests-05</t>
        </is>
      </c>
      <c r="D888" t="n">
        <v>7034</v>
      </c>
      <c r="E888" t="inlineStr">
        <is>
          <t>db = store._require_connected()</t>
        </is>
      </c>
    </row>
    <row r="889">
      <c r="A889" t="inlineStr">
        <is>
          <t>archon-search</t>
        </is>
      </c>
      <c r="B889" t="inlineStr">
        <is>
          <t>/Users/manczg/Documents/development/archon-search/tests/test_store.py</t>
        </is>
      </c>
      <c r="C889" t="inlineStr">
        <is>
          <t>tests-05</t>
        </is>
      </c>
      <c r="D889" t="n">
        <v>7039</v>
      </c>
      <c r="E889" t="inlineStr">
        <is>
          <t>await store._run_startup_migrations()</t>
        </is>
      </c>
    </row>
    <row r="890">
      <c r="A890" t="inlineStr">
        <is>
          <t>archon-search</t>
        </is>
      </c>
      <c r="B890" t="inlineStr">
        <is>
          <t>/Users/manczg/Documents/development/archon-search/tests/test_store.py</t>
        </is>
      </c>
      <c r="C890" t="inlineStr">
        <is>
          <t>tests-05</t>
        </is>
      </c>
      <c r="D890" t="n">
        <v>7057</v>
      </c>
      <c r="E890" t="inlineStr">
        <is>
          <t>meta = SearchStore._row_to_meta(row)</t>
        </is>
      </c>
    </row>
    <row r="891">
      <c r="A891" t="inlineStr">
        <is>
          <t>archon-search</t>
        </is>
      </c>
      <c r="B891" t="inlineStr">
        <is>
          <t>/Users/manczg/Documents/development/archon-search/tests/test_store.py</t>
        </is>
      </c>
      <c r="C891" t="inlineStr">
        <is>
          <t>tests-05</t>
        </is>
      </c>
      <c r="D891" t="n">
        <v>7242</v>
      </c>
      <c r="E891" t="inlineStr">
        <is>
          <t>specs = SearchStore._all_migrations()</t>
        </is>
      </c>
    </row>
    <row r="892">
      <c r="A892" t="inlineStr">
        <is>
          <t>archon-search</t>
        </is>
      </c>
      <c r="B892" t="inlineStr">
        <is>
          <t>/Users/manczg/Documents/development/archon-search/tests/test_store.py</t>
        </is>
      </c>
      <c r="C892" t="inlineStr">
        <is>
          <t>tests-05</t>
        </is>
      </c>
      <c r="D892" t="n">
        <v>7289</v>
      </c>
      <c r="E892" t="inlineStr">
        <is>
          <t>store._locks = {}</t>
        </is>
      </c>
    </row>
    <row r="893">
      <c r="A893" t="inlineStr">
        <is>
          <t>archon-search</t>
        </is>
      </c>
      <c r="B893" t="inlineStr">
        <is>
          <t>/Users/manczg/Documents/development/archon-search/tests/test_store.py</t>
        </is>
      </c>
      <c r="C893" t="inlineStr">
        <is>
          <t>tests-05</t>
        </is>
      </c>
      <c r="D893" t="n">
        <v>7326</v>
      </c>
      <c r="E893" t="inlineStr">
        <is>
          <t>store._locks = {}</t>
        </is>
      </c>
    </row>
    <row r="894">
      <c r="A894" t="inlineStr">
        <is>
          <t>archon-search</t>
        </is>
      </c>
      <c r="B894" t="inlineStr">
        <is>
          <t>/Users/manczg/Documents/development/archon-search/tests/test_store.py</t>
        </is>
      </c>
      <c r="C894" t="inlineStr">
        <is>
          <t>tests-05</t>
        </is>
      </c>
      <c r="D894" t="n">
        <v>7357</v>
      </c>
      <c r="E894" t="inlineStr">
        <is>
          <t>store._locks = {}</t>
        </is>
      </c>
    </row>
    <row r="895">
      <c r="A895" t="inlineStr">
        <is>
          <t>archon-search</t>
        </is>
      </c>
      <c r="B895" t="inlineStr">
        <is>
          <t>/Users/manczg/Documents/development/archon-search/tests/test_store.py</t>
        </is>
      </c>
      <c r="C895" t="inlineStr">
        <is>
          <t>tests-05</t>
        </is>
      </c>
      <c r="D895" t="n">
        <v>7376</v>
      </c>
      <c r="E895" t="inlineStr">
        <is>
          <t>store._locks = {}</t>
        </is>
      </c>
    </row>
    <row r="896">
      <c r="A896" t="inlineStr">
        <is>
          <t>archon-search</t>
        </is>
      </c>
      <c r="B896" t="inlineStr">
        <is>
          <t>/Users/manczg/Documents/development/archon-search/tests/test_store.py</t>
        </is>
      </c>
      <c r="C896" t="inlineStr">
        <is>
          <t>tests-05</t>
        </is>
      </c>
      <c r="D896" t="n">
        <v>7404</v>
      </c>
      <c r="E896" t="inlineStr">
        <is>
          <t>store._locks = {}</t>
        </is>
      </c>
    </row>
    <row r="897">
      <c r="A897" t="inlineStr">
        <is>
          <t>archon-search</t>
        </is>
      </c>
      <c r="B897" t="inlineStr">
        <is>
          <t>/Users/manczg/Documents/development/archon-search/tests/test_store.py</t>
        </is>
      </c>
      <c r="C897" t="inlineStr">
        <is>
          <t>tests-05</t>
        </is>
      </c>
      <c r="D897" t="n">
        <v>7449</v>
      </c>
      <c r="E897" t="inlineStr">
        <is>
          <t>db = store._require_connected()</t>
        </is>
      </c>
    </row>
    <row r="898">
      <c r="A898" t="inlineStr">
        <is>
          <t>archon-search</t>
        </is>
      </c>
      <c r="B898" t="inlineStr">
        <is>
          <t>/Users/manczg/Documents/development/archon-search/tests/test_store.py</t>
        </is>
      </c>
      <c r="C898" t="inlineStr">
        <is>
          <t>tests-05</t>
        </is>
      </c>
      <c r="D898" t="n">
        <v>7452</v>
      </c>
      <c r="E898" t="inlineStr">
        <is>
          <t>[f for f in SearchStore._meta_schema() if f.name not in ("schema_version", "default_ttl_seconds")]</t>
        </is>
      </c>
    </row>
    <row r="899">
      <c r="A899" t="inlineStr">
        <is>
          <t>archon-search</t>
        </is>
      </c>
      <c r="B899" t="inlineStr">
        <is>
          <t>/Users/manczg/Documents/development/archon-search/tests/test_store.py</t>
        </is>
      </c>
      <c r="C899" t="inlineStr">
        <is>
          <t>tests-05</t>
        </is>
      </c>
      <c r="D899" t="n">
        <v>7457</v>
      </c>
      <c r="E899" t="inlineStr">
        <is>
          <t>await store._run_startup_migrations()</t>
        </is>
      </c>
    </row>
    <row r="900">
      <c r="A900" t="inlineStr">
        <is>
          <t>archon-search</t>
        </is>
      </c>
      <c r="B900" t="inlineStr">
        <is>
          <t>/Users/manczg/Documents/development/archon-search/tests/test_store.py</t>
        </is>
      </c>
      <c r="C900" t="inlineStr">
        <is>
          <t>tests-05</t>
        </is>
      </c>
      <c r="D900" t="n">
        <v>7489</v>
      </c>
      <c r="E900" t="inlineStr">
        <is>
          <t>store._migrate_schema_version = make_recorder("_migrate_schema_version")</t>
        </is>
      </c>
    </row>
    <row r="901">
      <c r="A901" t="inlineStr">
        <is>
          <t>archon-search</t>
        </is>
      </c>
      <c r="B901" t="inlineStr">
        <is>
          <t>/Users/manczg/Documents/development/archon-search/tests/test_store.py</t>
        </is>
      </c>
      <c r="C901" t="inlineStr">
        <is>
          <t>tests-05</t>
        </is>
      </c>
      <c r="D901" t="n">
        <v>7490</v>
      </c>
      <c r="E901" t="inlineStr">
        <is>
          <t>store._migrate_community_rebuild_job_id = make_recorder("_migrate_community_rebuild_job_id")</t>
        </is>
      </c>
    </row>
    <row r="902">
      <c r="A902" t="inlineStr">
        <is>
          <t>archon-search</t>
        </is>
      </c>
      <c r="B902" t="inlineStr">
        <is>
          <t>/Users/manczg/Documents/development/archon-search/tests/test_store.py</t>
        </is>
      </c>
      <c r="C902" t="inlineStr">
        <is>
          <t>tests-05</t>
        </is>
      </c>
      <c r="D902" t="n">
        <v>7491</v>
      </c>
      <c r="E902" t="inlineStr">
        <is>
          <t>store._migrate_metadata_reindex_job_id = make_recorder("_migrate_metadata_reindex_job_id")</t>
        </is>
      </c>
    </row>
    <row r="903">
      <c r="A903" t="inlineStr">
        <is>
          <t>archon-search</t>
        </is>
      </c>
      <c r="B903" t="inlineStr">
        <is>
          <t>/Users/manczg/Documents/development/archon-search/tests/test_store.py</t>
        </is>
      </c>
      <c r="C903" t="inlineStr">
        <is>
          <t>tests-05</t>
        </is>
      </c>
      <c r="D903" t="n">
        <v>7494</v>
      </c>
      <c r="E903" t="inlineStr">
        <is>
          <t>await store._run_startup_migrations()</t>
        </is>
      </c>
    </row>
    <row r="904">
      <c r="A904" t="inlineStr">
        <is>
          <t>archon-search</t>
        </is>
      </c>
      <c r="B904" t="inlineStr">
        <is>
          <t>/Users/manczg/Documents/development/archon-search/tests/test_store.py</t>
        </is>
      </c>
      <c r="C904" t="inlineStr">
        <is>
          <t>tests-05</t>
        </is>
      </c>
      <c r="D904" t="n">
        <v>7547</v>
      </c>
      <c r="E904" t="inlineStr">
        <is>
          <t>store._collection_locks = {}</t>
        </is>
      </c>
    </row>
    <row r="905">
      <c r="A905" t="inlineStr">
        <is>
          <t>archon-search</t>
        </is>
      </c>
      <c r="B905" t="inlineStr">
        <is>
          <t>/Users/manczg/Documents/development/archon-search/tests/test_store.py</t>
        </is>
      </c>
      <c r="C905" t="inlineStr">
        <is>
          <t>tests-05</t>
        </is>
      </c>
      <c r="D905" t="n">
        <v>7548</v>
      </c>
      <c r="E905" t="inlineStr">
        <is>
          <t>store._validate_collection = MagicMock()</t>
        </is>
      </c>
    </row>
    <row r="906">
      <c r="A906" t="inlineStr">
        <is>
          <t>archon-search</t>
        </is>
      </c>
      <c r="B906" t="inlineStr">
        <is>
          <t>/Users/manczg/Documents/development/archon-search/tests/test_store.py</t>
        </is>
      </c>
      <c r="C906" t="inlineStr">
        <is>
          <t>tests-05</t>
        </is>
      </c>
      <c r="D906" t="n">
        <v>7566</v>
      </c>
      <c r="E906" t="inlineStr">
        <is>
          <t>store._require_connected = MagicMock(return_value=mock_db)</t>
        </is>
      </c>
    </row>
    <row r="907">
      <c r="A907" t="inlineStr">
        <is>
          <t>archon-search</t>
        </is>
      </c>
      <c r="B907" t="inlineStr">
        <is>
          <t>/Users/manczg/Documents/development/archon-search/tests/test_store.py</t>
        </is>
      </c>
      <c r="C907" t="inlineStr">
        <is>
          <t>tests-05</t>
        </is>
      </c>
      <c r="D907" t="n">
        <v>7600</v>
      </c>
      <c r="E907" t="inlineStr">
        <is>
          <t>store._collection_locks = {}</t>
        </is>
      </c>
    </row>
    <row r="908">
      <c r="A908" t="inlineStr">
        <is>
          <t>archon-search</t>
        </is>
      </c>
      <c r="B908" t="inlineStr">
        <is>
          <t>/Users/manczg/Documents/development/archon-search/tests/test_store.py</t>
        </is>
      </c>
      <c r="C908" t="inlineStr">
        <is>
          <t>tests-05</t>
        </is>
      </c>
      <c r="D908" t="n">
        <v>7601</v>
      </c>
      <c r="E908" t="inlineStr">
        <is>
          <t>store._validate_collection = MagicMock()</t>
        </is>
      </c>
    </row>
    <row r="909">
      <c r="A909" t="inlineStr">
        <is>
          <t>archon-search</t>
        </is>
      </c>
      <c r="B909" t="inlineStr">
        <is>
          <t>/Users/manczg/Documents/development/archon-search/tests/test_store.py</t>
        </is>
      </c>
      <c r="C909" t="inlineStr">
        <is>
          <t>tests-05</t>
        </is>
      </c>
      <c r="D909" t="n">
        <v>7617</v>
      </c>
      <c r="E909" t="inlineStr">
        <is>
          <t>store._require_connected = MagicMock(return_value=mock_db)</t>
        </is>
      </c>
    </row>
    <row r="910">
      <c r="A910" t="inlineStr">
        <is>
          <t>archon-search</t>
        </is>
      </c>
      <c r="B910" t="inlineStr">
        <is>
          <t>/Users/manczg/Documents/development/archon-search/tests/test_store.py</t>
        </is>
      </c>
      <c r="C910" t="inlineStr">
        <is>
          <t>tests-05</t>
        </is>
      </c>
      <c r="D910" t="n">
        <v>7649</v>
      </c>
      <c r="E910" t="inlineStr">
        <is>
          <t>store._collection_locks = {}</t>
        </is>
      </c>
    </row>
    <row r="911">
      <c r="A911" t="inlineStr">
        <is>
          <t>archon-search</t>
        </is>
      </c>
      <c r="B911" t="inlineStr">
        <is>
          <t>/Users/manczg/Documents/development/archon-search/tests/test_store.py</t>
        </is>
      </c>
      <c r="C911" t="inlineStr">
        <is>
          <t>tests-05</t>
        </is>
      </c>
      <c r="D911" t="n">
        <v>7650</v>
      </c>
      <c r="E911" t="inlineStr">
        <is>
          <t>store._validate_collection = MagicMock()</t>
        </is>
      </c>
    </row>
    <row r="912">
      <c r="A912" t="inlineStr">
        <is>
          <t>archon-search</t>
        </is>
      </c>
      <c r="B912" t="inlineStr">
        <is>
          <t>/Users/manczg/Documents/development/archon-search/tests/test_store.py</t>
        </is>
      </c>
      <c r="C912" t="inlineStr">
        <is>
          <t>tests-05</t>
        </is>
      </c>
      <c r="D912" t="n">
        <v>7675</v>
      </c>
      <c r="E912" t="inlineStr">
        <is>
          <t>store._collection_locks = {}</t>
        </is>
      </c>
    </row>
    <row r="913">
      <c r="A913" t="inlineStr">
        <is>
          <t>archon-search</t>
        </is>
      </c>
      <c r="B913" t="inlineStr">
        <is>
          <t>/Users/manczg/Documents/development/archon-search/tests/test_store.py</t>
        </is>
      </c>
      <c r="C913" t="inlineStr">
        <is>
          <t>tests-05</t>
        </is>
      </c>
      <c r="D913" t="n">
        <v>7676</v>
      </c>
      <c r="E913" t="inlineStr">
        <is>
          <t>store._validate_collection = MagicMock()</t>
        </is>
      </c>
    </row>
    <row r="914">
      <c r="A914" t="inlineStr">
        <is>
          <t>archon-search</t>
        </is>
      </c>
      <c r="B914" t="inlineStr">
        <is>
          <t>/Users/manczg/Documents/development/archon-search/tests/test_store.py</t>
        </is>
      </c>
      <c r="C914" t="inlineStr">
        <is>
          <t>tests-05</t>
        </is>
      </c>
      <c r="D914" t="n">
        <v>7692</v>
      </c>
      <c r="E914" t="inlineStr">
        <is>
          <t>store._require_connected = MagicMock(return_value=mock_db)</t>
        </is>
      </c>
    </row>
    <row r="915">
      <c r="A915" t="inlineStr">
        <is>
          <t>archon-search</t>
        </is>
      </c>
      <c r="B915" t="inlineStr">
        <is>
          <t>/Users/manczg/Documents/development/archon-search/tests/test_store.py</t>
        </is>
      </c>
      <c r="C915" t="inlineStr">
        <is>
          <t>tests-05</t>
        </is>
      </c>
      <c r="D915" t="n">
        <v>7722</v>
      </c>
      <c r="E915" t="inlineStr">
        <is>
          <t>store._collection_locks = {}</t>
        </is>
      </c>
    </row>
    <row r="916">
      <c r="A916" t="inlineStr">
        <is>
          <t>archon-search</t>
        </is>
      </c>
      <c r="B916" t="inlineStr">
        <is>
          <t>/Users/manczg/Documents/development/archon-search/tests/test_store.py</t>
        </is>
      </c>
      <c r="C916" t="inlineStr">
        <is>
          <t>tests-05</t>
        </is>
      </c>
      <c r="D916" t="n">
        <v>7723</v>
      </c>
      <c r="E916" t="inlineStr">
        <is>
          <t>store._validate_collection = MagicMock()</t>
        </is>
      </c>
    </row>
    <row r="917">
      <c r="A917" t="inlineStr">
        <is>
          <t>archon-search</t>
        </is>
      </c>
      <c r="B917" t="inlineStr">
        <is>
          <t>/Users/manczg/Documents/development/archon-search/tests/test_store.py</t>
        </is>
      </c>
      <c r="C917" t="inlineStr">
        <is>
          <t>tests-05</t>
        </is>
      </c>
      <c r="D917" t="n">
        <v>7747</v>
      </c>
      <c r="E917" t="inlineStr">
        <is>
          <t>store._require_connected = MagicMock(return_value=mock_db)</t>
        </is>
      </c>
    </row>
    <row r="918">
      <c r="A918" t="inlineStr">
        <is>
          <t>archon-search</t>
        </is>
      </c>
      <c r="B918" t="inlineStr">
        <is>
          <t>/Users/manczg/Documents/development/archon-search/tests/test_store.py</t>
        </is>
      </c>
      <c r="C918" t="inlineStr">
        <is>
          <t>tests-05</t>
        </is>
      </c>
      <c r="D918" t="n">
        <v>7793</v>
      </c>
      <c r="E918" t="inlineStr">
        <is>
          <t>store._collection_locks = {}</t>
        </is>
      </c>
    </row>
    <row r="919">
      <c r="A919" t="inlineStr">
        <is>
          <t>archon-search</t>
        </is>
      </c>
      <c r="B919" t="inlineStr">
        <is>
          <t>/Users/manczg/Documents/development/archon-search/tests/test_store.py</t>
        </is>
      </c>
      <c r="C919" t="inlineStr">
        <is>
          <t>tests-05</t>
        </is>
      </c>
      <c r="D919" t="n">
        <v>7794</v>
      </c>
      <c r="E919" t="inlineStr">
        <is>
          <t>store._validate_collection = MagicMock()</t>
        </is>
      </c>
    </row>
    <row r="920">
      <c r="A920" t="inlineStr">
        <is>
          <t>archon-search</t>
        </is>
      </c>
      <c r="B920" t="inlineStr">
        <is>
          <t>/Users/manczg/Documents/development/archon-search/tests/test_store.py</t>
        </is>
      </c>
      <c r="C920" t="inlineStr">
        <is>
          <t>tests-05</t>
        </is>
      </c>
      <c r="D920" t="n">
        <v>7819</v>
      </c>
      <c r="E920" t="inlineStr">
        <is>
          <t>store._require_connected = MagicMock(return_value=mock_db)</t>
        </is>
      </c>
    </row>
    <row r="921">
      <c r="A921" t="inlineStr">
        <is>
          <t>archon-search</t>
        </is>
      </c>
      <c r="B921" t="inlineStr">
        <is>
          <t>/Users/manczg/Documents/development/archon-search/tests/test_store.py</t>
        </is>
      </c>
      <c r="C921" t="inlineStr">
        <is>
          <t>tests-05</t>
        </is>
      </c>
      <c r="D921" t="n">
        <v>7848</v>
      </c>
      <c r="E921" t="inlineStr">
        <is>
          <t>store._collection_locks = {}</t>
        </is>
      </c>
    </row>
    <row r="922">
      <c r="A922" t="inlineStr">
        <is>
          <t>archon-search</t>
        </is>
      </c>
      <c r="B922" t="inlineStr">
        <is>
          <t>/Users/manczg/Documents/development/archon-search/tests/test_store.py</t>
        </is>
      </c>
      <c r="C922" t="inlineStr">
        <is>
          <t>tests-05</t>
        </is>
      </c>
      <c r="D922" t="n">
        <v>7849</v>
      </c>
      <c r="E922" t="inlineStr">
        <is>
          <t>store._validate_collection = MagicMock()</t>
        </is>
      </c>
    </row>
    <row r="923">
      <c r="A923" t="inlineStr">
        <is>
          <t>archon-search</t>
        </is>
      </c>
      <c r="B923" t="inlineStr">
        <is>
          <t>/Users/manczg/Documents/development/archon-search/tests/test_store.py</t>
        </is>
      </c>
      <c r="C923" t="inlineStr">
        <is>
          <t>tests-05</t>
        </is>
      </c>
      <c r="D923" t="n">
        <v>7869</v>
      </c>
      <c r="E923" t="inlineStr">
        <is>
          <t>store._require_connected = MagicMock(return_value=mock_db)</t>
        </is>
      </c>
    </row>
    <row r="924">
      <c r="A924" t="inlineStr">
        <is>
          <t>archon-search</t>
        </is>
      </c>
      <c r="B924" t="inlineStr">
        <is>
          <t>/Users/manczg/Documents/development/archon-search/tests/test_store.py</t>
        </is>
      </c>
      <c r="C924" t="inlineStr">
        <is>
          <t>tests-05</t>
        </is>
      </c>
      <c r="D924" t="n">
        <v>7897</v>
      </c>
      <c r="E924" t="inlineStr">
        <is>
          <t>store._collection_locks = {}</t>
        </is>
      </c>
    </row>
    <row r="925">
      <c r="A925" t="inlineStr">
        <is>
          <t>archon-search</t>
        </is>
      </c>
      <c r="B925" t="inlineStr">
        <is>
          <t>/Users/manczg/Documents/development/archon-search/tests/test_store.py</t>
        </is>
      </c>
      <c r="C925" t="inlineStr">
        <is>
          <t>tests-05</t>
        </is>
      </c>
      <c r="D925" t="n">
        <v>7898</v>
      </c>
      <c r="E925" t="inlineStr">
        <is>
          <t>store._validate_collection = MagicMock()</t>
        </is>
      </c>
    </row>
    <row r="926">
      <c r="A926" t="inlineStr">
        <is>
          <t>archon-search</t>
        </is>
      </c>
      <c r="B926" t="inlineStr">
        <is>
          <t>/Users/manczg/Documents/development/archon-search/tests/test_store.py</t>
        </is>
      </c>
      <c r="C926" t="inlineStr">
        <is>
          <t>tests-05</t>
        </is>
      </c>
      <c r="D926" t="n">
        <v>7925</v>
      </c>
      <c r="E926" t="inlineStr">
        <is>
          <t>store._require_connected = MagicMock(return_value=mock_db)</t>
        </is>
      </c>
    </row>
    <row r="927">
      <c r="A927" t="inlineStr">
        <is>
          <t>archon-search</t>
        </is>
      </c>
      <c r="B927" t="inlineStr">
        <is>
          <t>/Users/manczg/Documents/development/archon-search/tests/test_store.py</t>
        </is>
      </c>
      <c r="C927" t="inlineStr">
        <is>
          <t>tests-05</t>
        </is>
      </c>
      <c r="D927" t="n">
        <v>7997</v>
      </c>
      <c r="E927" t="inlineStr">
        <is>
          <t>db = store._require_connected()</t>
        </is>
      </c>
    </row>
    <row r="928">
      <c r="A928" t="inlineStr">
        <is>
          <t>archon-search</t>
        </is>
      </c>
      <c r="B928" t="inlineStr">
        <is>
          <t>/Users/manczg/Documents/development/archon-search/tests/test_store.py</t>
        </is>
      </c>
      <c r="C928" t="inlineStr">
        <is>
          <t>tests-09</t>
        </is>
      </c>
      <c r="D928" t="n">
        <v>196</v>
      </c>
      <c r="E928" t="inlineStr">
        <is>
          <t>def test_store_double_disconnect_safe(tmp_path: Path) -&gt; None:</t>
        </is>
      </c>
    </row>
    <row r="929">
      <c r="A929" t="inlineStr">
        <is>
          <t>archon-search</t>
        </is>
      </c>
      <c r="B929" t="inlineStr">
        <is>
          <t>/Users/manczg/Documents/development/archon-search/tests/test_store.py</t>
        </is>
      </c>
      <c r="C929" t="inlineStr">
        <is>
          <t>tests-09</t>
        </is>
      </c>
      <c r="D929" t="n">
        <v>236</v>
      </c>
      <c r="E929" t="inlineStr">
        <is>
          <t>async def test_store_ensure_collection_idempotent(</t>
        </is>
      </c>
    </row>
    <row r="930">
      <c r="A930" t="inlineStr">
        <is>
          <t>archon-search</t>
        </is>
      </c>
      <c r="B930" t="inlineStr">
        <is>
          <t>/Users/manczg/Documents/development/archon-search/tests/test_store.py</t>
        </is>
      </c>
      <c r="C930" t="inlineStr">
        <is>
          <t>tests-09</t>
        </is>
      </c>
      <c r="D930" t="n">
        <v>444</v>
      </c>
      <c r="E930" t="inlineStr">
        <is>
          <t>async def test_store_rebuild_fts_index_idempotent(</t>
        </is>
      </c>
    </row>
    <row r="931">
      <c r="A931" t="inlineStr">
        <is>
          <t>archon-search</t>
        </is>
      </c>
      <c r="B931" t="inlineStr">
        <is>
          <t>/Users/manczg/Documents/development/archon-search/tests/test_store.py</t>
        </is>
      </c>
      <c r="C931" t="inlineStr">
        <is>
          <t>tests-09</t>
        </is>
      </c>
      <c r="D931" t="n">
        <v>973</v>
      </c>
      <c r="E931" t="inlineStr">
        <is>
          <t>async def test_migrate_namespace_no_meta_table(tmp_path: Path) -&gt; None:</t>
        </is>
      </c>
    </row>
    <row r="932">
      <c r="A932" t="inlineStr">
        <is>
          <t>archon-search</t>
        </is>
      </c>
      <c r="B932" t="inlineStr">
        <is>
          <t>/Users/manczg/Documents/development/archon-search/tests/test_store.py</t>
        </is>
      </c>
      <c r="C932" t="inlineStr">
        <is>
          <t>tests-09</t>
        </is>
      </c>
      <c r="D932" t="n">
        <v>1049</v>
      </c>
      <c r="E932" t="inlineStr">
        <is>
          <t>async def test_migrate_namespace_already_migrated(tmp_path: Path) -&gt; None:</t>
        </is>
      </c>
    </row>
    <row r="933">
      <c r="A933" t="inlineStr">
        <is>
          <t>archon-search</t>
        </is>
      </c>
      <c r="B933" t="inlineStr">
        <is>
          <t>/Users/manczg/Documents/development/archon-search/tests/test_store.py</t>
        </is>
      </c>
      <c r="C933" t="inlineStr">
        <is>
          <t>tests-09</t>
        </is>
      </c>
      <c r="D933" t="n">
        <v>1134</v>
      </c>
      <c r="E933" t="inlineStr">
        <is>
          <t>async def test_migrate_namespace_concurrent_race(tmp_path: Path) -&gt; None:</t>
        </is>
      </c>
    </row>
    <row r="934">
      <c r="A934" t="inlineStr">
        <is>
          <t>archon-search</t>
        </is>
      </c>
      <c r="B934" t="inlineStr">
        <is>
          <t>/Users/manczg/Documents/development/archon-search/tests/test_store.py</t>
        </is>
      </c>
      <c r="C934" t="inlineStr">
        <is>
          <t>tests-09</t>
        </is>
      </c>
      <c r="D934" t="n">
        <v>1222</v>
      </c>
      <c r="E934" t="inlineStr">
        <is>
          <t>async def test_migrate_centroid_sum_no_meta_table_noop(tmp_path: Path) -&gt; None:</t>
        </is>
      </c>
    </row>
    <row r="935">
      <c r="A935" t="inlineStr">
        <is>
          <t>archon-search</t>
        </is>
      </c>
      <c r="B935" t="inlineStr">
        <is>
          <t>/Users/manczg/Documents/development/archon-search/tests/test_store.py</t>
        </is>
      </c>
      <c r="C935" t="inlineStr">
        <is>
          <t>tests-09</t>
        </is>
      </c>
      <c r="D935" t="n">
        <v>1583</v>
      </c>
      <c r="E935" t="inlineStr">
        <is>
          <t>async def test_migrate_per_collection_model_no_meta_table_noop(tmp_path: Path) -&gt; None:</t>
        </is>
      </c>
    </row>
    <row r="936">
      <c r="A936" t="inlineStr">
        <is>
          <t>archon-search</t>
        </is>
      </c>
      <c r="B936" t="inlineStr">
        <is>
          <t>/Users/manczg/Documents/development/archon-search/tests/test_store.py</t>
        </is>
      </c>
      <c r="C936" t="inlineStr">
        <is>
          <t>tests-09</t>
        </is>
      </c>
      <c r="D936" t="n">
        <v>2894</v>
      </c>
      <c r="E936" t="inlineStr">
        <is>
          <t>async def test_delete_collection_meta_noop_when_table_absent(tmp_path: Path) -&gt; None:</t>
        </is>
      </c>
    </row>
    <row r="937">
      <c r="A937" t="inlineStr">
        <is>
          <t>archon-search</t>
        </is>
      </c>
      <c r="B937" t="inlineStr">
        <is>
          <t>/Users/manczg/Documents/development/archon-search/tests/test_store.py</t>
        </is>
      </c>
      <c r="C937" t="inlineStr">
        <is>
          <t>tests-09</t>
        </is>
      </c>
      <c r="D937" t="n">
        <v>2905</v>
      </c>
      <c r="E937" t="inlineStr">
        <is>
          <t>async def test_delete_collection_meta_noop_when_row_missing(connected_store: SearchStore) -&gt; None:</t>
        </is>
      </c>
    </row>
    <row r="938">
      <c r="A938" t="inlineStr">
        <is>
          <t>archon-search</t>
        </is>
      </c>
      <c r="B938" t="inlineStr">
        <is>
          <t>/Users/manczg/Documents/development/archon-search/tests/test_store.py</t>
        </is>
      </c>
      <c r="C938" t="inlineStr">
        <is>
          <t>tests-09</t>
        </is>
      </c>
      <c r="D938" t="n">
        <v>2947</v>
      </c>
      <c r="E938" t="inlineStr">
        <is>
          <t>async def test_update_collection_meta_valid_namespace_passes(connected_store: SearchStore) -&gt; None:</t>
        </is>
      </c>
    </row>
    <row r="939">
      <c r="A939" t="inlineStr">
        <is>
          <t>archon-search</t>
        </is>
      </c>
      <c r="B939" t="inlineStr">
        <is>
          <t>/Users/manczg/Documents/development/archon-search/tests/test_store.py</t>
        </is>
      </c>
      <c r="C939" t="inlineStr">
        <is>
          <t>tests-09</t>
        </is>
      </c>
      <c r="D939" t="n">
        <v>4716</v>
      </c>
      <c r="E939" t="inlineStr">
        <is>
          <t>async def test_migrate_description_embedding_concurrent_calls(tmp_path: Path) -&gt; None:</t>
        </is>
      </c>
    </row>
    <row r="940">
      <c r="A940" t="inlineStr">
        <is>
          <t>archon-search</t>
        </is>
      </c>
      <c r="B940" t="inlineStr">
        <is>
          <t>/Users/manczg/Documents/development/archon-search/tests/test_store.py</t>
        </is>
      </c>
      <c r="C940" t="inlineStr">
        <is>
          <t>tests-09</t>
        </is>
      </c>
      <c r="D940" t="n">
        <v>6142</v>
      </c>
      <c r="E940" t="inlineStr">
        <is>
          <t>async def test_delete_document_no_full_scan_spy(tmp_path) -&gt; None:</t>
        </is>
      </c>
    </row>
    <row r="941">
      <c r="A941" t="inlineStr">
        <is>
          <t>archon-search</t>
        </is>
      </c>
      <c r="B941" t="inlineStr">
        <is>
          <t>/Users/manczg/Documents/development/archon-search/tests/test_store.py</t>
        </is>
      </c>
      <c r="C941" t="inlineStr">
        <is>
          <t>tests-09</t>
        </is>
      </c>
      <c r="D941" t="n">
        <v>6934</v>
      </c>
      <c r="E941" t="inlineStr">
        <is>
          <t>async def test_list_chunks_raw_nonexistent_collection_yields_nothing(</t>
        </is>
      </c>
    </row>
    <row r="942">
      <c r="A942" t="inlineStr">
        <is>
          <t>archon-search</t>
        </is>
      </c>
      <c r="B942" t="inlineStr">
        <is>
          <t>/Users/manczg/Documents/development/archon-search/tests/test_sync.py</t>
        </is>
      </c>
      <c r="C942" t="inlineStr">
        <is>
          <t>safety-07</t>
        </is>
      </c>
      <c r="D942" t="n">
        <v>1010</v>
      </c>
      <c r="E942" t="inlineStr">
        <is>
          <t>from archon_search.sync import SearchCollectionSync  # noqa: PLC0415</t>
        </is>
      </c>
    </row>
    <row r="943">
      <c r="A943" t="inlineStr">
        <is>
          <t>archon-search</t>
        </is>
      </c>
      <c r="B943" t="inlineStr">
        <is>
          <t>/Users/manczg/Documents/development/archon-search/tests/test_sync.py</t>
        </is>
      </c>
      <c r="C943" t="inlineStr">
        <is>
          <t>safety-07</t>
        </is>
      </c>
      <c r="D943" t="n">
        <v>1022</v>
      </c>
      <c r="E943" t="inlineStr">
        <is>
          <t>from archon_search.progress import CollectionProgress, IndexingStateStore, IndexingStatus  # noqa: PLC0415</t>
        </is>
      </c>
    </row>
    <row r="944">
      <c r="A944" t="inlineStr">
        <is>
          <t>archon-search</t>
        </is>
      </c>
      <c r="B944" t="inlineStr">
        <is>
          <t>/Users/manczg/Documents/development/archon-search/tests/test_sync.py</t>
        </is>
      </c>
      <c r="C944" t="inlineStr">
        <is>
          <t>safety-07</t>
        </is>
      </c>
      <c r="D944" t="n">
        <v>1023</v>
      </c>
      <c r="E944" t="inlineStr">
        <is>
          <t>from archon_search.sync import SearchCollectionSync  # noqa: PLC0415</t>
        </is>
      </c>
    </row>
    <row r="945">
      <c r="A945" t="inlineStr">
        <is>
          <t>archon-search</t>
        </is>
      </c>
      <c r="B945" t="inlineStr">
        <is>
          <t>/Users/manczg/Documents/development/archon-search/tests/test_sync.py</t>
        </is>
      </c>
      <c r="C945" t="inlineStr">
        <is>
          <t>safety-07</t>
        </is>
      </c>
      <c r="D945" t="n">
        <v>1035</v>
      </c>
      <c r="E945" t="inlineStr">
        <is>
          <t>from archon_search.sync import manifest_remove_entry  # noqa: PLC0415</t>
        </is>
      </c>
    </row>
    <row r="946">
      <c r="A946" t="inlineStr">
        <is>
          <t>archon-search</t>
        </is>
      </c>
      <c r="B946" t="inlineStr">
        <is>
          <t>/Users/manczg/Documents/development/archon-search/tests/test_sync.py</t>
        </is>
      </c>
      <c r="C946" t="inlineStr">
        <is>
          <t>safety-07</t>
        </is>
      </c>
      <c r="D946" t="n">
        <v>1046</v>
      </c>
      <c r="E946" t="inlineStr">
        <is>
          <t>from archon_search.sync import manifest_remove_entry  # noqa: PLC0415</t>
        </is>
      </c>
    </row>
    <row r="947">
      <c r="A947" t="inlineStr">
        <is>
          <t>archon-search</t>
        </is>
      </c>
      <c r="B947" t="inlineStr">
        <is>
          <t>/Users/manczg/Documents/development/archon-search/tests/test_sync.py</t>
        </is>
      </c>
      <c r="C947" t="inlineStr">
        <is>
          <t>safety-07</t>
        </is>
      </c>
      <c r="D947" t="n">
        <v>1053</v>
      </c>
      <c r="E947" t="inlineStr">
        <is>
          <t>from archon_search.sync import manifest_remove_entry  # noqa: PLC0415</t>
        </is>
      </c>
    </row>
    <row r="948">
      <c r="A948" t="inlineStr">
        <is>
          <t>archon-search</t>
        </is>
      </c>
      <c r="B948" t="inlineStr">
        <is>
          <t>/Users/manczg/Documents/development/archon-search/tests/test_sync.py</t>
        </is>
      </c>
      <c r="C948" t="inlineStr">
        <is>
          <t>safety-07</t>
        </is>
      </c>
      <c r="D948" t="n">
        <v>2963</v>
      </c>
      <c r="E948" t="inlineStr">
        <is>
          <t>def spy_reset_in_progress(self, predicate):  # noqa: ANN001</t>
        </is>
      </c>
    </row>
    <row r="949">
      <c r="A949" t="inlineStr">
        <is>
          <t>archon-search</t>
        </is>
      </c>
      <c r="B949" t="inlineStr">
        <is>
          <t>/Users/manczg/Documents/development/archon-search/tests/test_sync.py</t>
        </is>
      </c>
      <c r="C949" t="inlineStr">
        <is>
          <t>safety-07</t>
        </is>
      </c>
      <c r="D949" t="n">
        <v>3059</v>
      </c>
      <c r="E949" t="inlineStr">
        <is>
          <t>def spy_write(self, state):  # noqa: ANN001</t>
        </is>
      </c>
    </row>
    <row r="950">
      <c r="A950" t="inlineStr">
        <is>
          <t>archon-search</t>
        </is>
      </c>
      <c r="B950" t="inlineStr">
        <is>
          <t>/Users/manczg/Documents/development/archon-search/tests/test_sync.py</t>
        </is>
      </c>
      <c r="C950" t="inlineStr">
        <is>
          <t>safety-07</t>
        </is>
      </c>
      <c r="D950" t="n">
        <v>3098</v>
      </c>
      <c r="E950" t="inlineStr">
        <is>
          <t>def boom(self, predicate):  # noqa: ANN001</t>
        </is>
      </c>
    </row>
    <row r="951">
      <c r="A951" t="inlineStr">
        <is>
          <t>archon-search</t>
        </is>
      </c>
      <c r="B951" t="inlineStr">
        <is>
          <t>/Users/manczg/Documents/development/archon-search/tests/test_sync.py</t>
        </is>
      </c>
      <c r="C951" t="inlineStr">
        <is>
          <t>smells-01</t>
        </is>
      </c>
      <c r="D951" t="n">
        <v>1</v>
      </c>
      <c r="E951" t="inlineStr">
        <is>
          <t>file-level: 5742 lines</t>
        </is>
      </c>
    </row>
    <row r="952">
      <c r="A952" t="inlineStr">
        <is>
          <t>archon-search</t>
        </is>
      </c>
      <c r="B952" t="inlineStr">
        <is>
          <t>/Users/manczg/Documents/development/archon-search/tests/test_sync.py</t>
        </is>
      </c>
      <c r="C952" t="inlineStr">
        <is>
          <t>smells-02</t>
        </is>
      </c>
      <c r="D952" t="n">
        <v>781</v>
      </c>
      <c r="E952" t="inlineStr">
        <is>
          <t>def chunk(</t>
        </is>
      </c>
    </row>
    <row r="953">
      <c r="A953" t="inlineStr">
        <is>
          <t>archon-search</t>
        </is>
      </c>
      <c r="B953" t="inlineStr">
        <is>
          <t>/Users/manczg/Documents/development/archon-search/tests/test_sync.py</t>
        </is>
      </c>
      <c r="C953" t="inlineStr">
        <is>
          <t>smells-02</t>
        </is>
      </c>
      <c r="D953" t="n">
        <v>1070</v>
      </c>
      <c r="E953" t="inlineStr">
        <is>
          <t>def _make_syncer_with_state(self, tmp_path, existing_collections=None, manifest=None, file_count=5, ingest_results=None):</t>
        </is>
      </c>
    </row>
    <row r="954">
      <c r="A954" t="inlineStr">
        <is>
          <t>archon-search</t>
        </is>
      </c>
      <c r="B954" t="inlineStr">
        <is>
          <t>/Users/manczg/Documents/development/archon-search/tests/test_sync.py</t>
        </is>
      </c>
      <c r="C954" t="inlineStr">
        <is>
          <t>smells-02</t>
        </is>
      </c>
      <c r="D954" t="n">
        <v>3251</v>
      </c>
      <c r="E954" t="inlineStr">
        <is>
          <t>def _make_syncer(self, tmp_path, embedding_model="", chunk_size=0, auto_reindex=False):</t>
        </is>
      </c>
    </row>
    <row r="955">
      <c r="A955" t="inlineStr">
        <is>
          <t>archon-search</t>
        </is>
      </c>
      <c r="B955" t="inlineStr">
        <is>
          <t>/Users/manczg/Documents/development/archon-search/tests/test_sync.py</t>
        </is>
      </c>
      <c r="C955" t="inlineStr">
        <is>
          <t>smells-02</t>
        </is>
      </c>
      <c r="D955" t="n">
        <v>3603</v>
      </c>
      <c r="E955" t="inlineStr">
        <is>
          <t>def _make_done_state(tmp_path, collection_name, file_mtimes, embedding_model="", chunk_size=512):</t>
        </is>
      </c>
    </row>
    <row r="956">
      <c r="A956" t="inlineStr">
        <is>
          <t>archon-search</t>
        </is>
      </c>
      <c r="B956" t="inlineStr">
        <is>
          <t>/Users/manczg/Documents/development/archon-search/tests/test_sync.py</t>
        </is>
      </c>
      <c r="C956" t="inlineStr">
        <is>
          <t>smells-02</t>
        </is>
      </c>
      <c r="D956" t="n">
        <v>4953</v>
      </c>
      <c r="E956" t="inlineStr">
        <is>
          <t>async def slow_apply(name, source_path, new_files, changed_files, deleted_paths, file_mtimes, **kwargs):</t>
        </is>
      </c>
    </row>
    <row r="957">
      <c r="A957" t="inlineStr">
        <is>
          <t>archon-search</t>
        </is>
      </c>
      <c r="B957" t="inlineStr">
        <is>
          <t>/Users/manczg/Documents/development/archon-search/tests/test_sync.py</t>
        </is>
      </c>
      <c r="C957" t="inlineStr">
        <is>
          <t>smells-08</t>
        </is>
      </c>
      <c r="D957" t="n">
        <v>62</v>
      </c>
      <c r="E957" t="inlineStr">
        <is>
          <t>def make_mock_pipeline(tmp_path, existing_collections=None, manifest=None):</t>
        </is>
      </c>
    </row>
    <row r="958">
      <c r="A958" t="inlineStr">
        <is>
          <t>archon-search</t>
        </is>
      </c>
      <c r="B958" t="inlineStr">
        <is>
          <t>/Users/manczg/Documents/development/archon-search/tests/test_sync.py</t>
        </is>
      </c>
      <c r="C958" t="inlineStr">
        <is>
          <t>smells-08</t>
        </is>
      </c>
      <c r="D958" t="n">
        <v>1070</v>
      </c>
      <c r="E958" t="inlineStr">
        <is>
          <t>def _make_syncer_with_state(self, tmp_path, existing_collections=None, manifest=None, file_count=5, ingest_results=None):</t>
        </is>
      </c>
    </row>
    <row r="959">
      <c r="A959" t="inlineStr">
        <is>
          <t>archon-search</t>
        </is>
      </c>
      <c r="B959" t="inlineStr">
        <is>
          <t>/Users/manczg/Documents/development/archon-search/tests/test_sync.py</t>
        </is>
      </c>
      <c r="C959" t="inlineStr">
        <is>
          <t>smells-08</t>
        </is>
      </c>
      <c r="D959" t="n">
        <v>3588</v>
      </c>
      <c r="E959" t="inlineStr">
        <is>
          <t>def _make_mock_pipeline_with_ingest_file(tmp_path, existing_collections=None, manifest=None):</t>
        </is>
      </c>
    </row>
    <row r="960">
      <c r="A960" t="inlineStr">
        <is>
          <t>archon-search</t>
        </is>
      </c>
      <c r="B960" t="inlineStr">
        <is>
          <t>/Users/manczg/Documents/development/archon-search/tests/test_sync.py</t>
        </is>
      </c>
      <c r="C960" t="inlineStr">
        <is>
          <t>smells-08</t>
        </is>
      </c>
      <c r="D960" t="n">
        <v>4959</v>
      </c>
      <c r="E960" t="inlineStr">
        <is>
          <t>return None</t>
        </is>
      </c>
    </row>
    <row r="961">
      <c r="A961" t="inlineStr">
        <is>
          <t>archon-search</t>
        </is>
      </c>
      <c r="B961" t="inlineStr">
        <is>
          <t>/Users/manczg/Documents/development/archon-search/tests/test_sync.py</t>
        </is>
      </c>
      <c r="C961" t="inlineStr">
        <is>
          <t>smells-08</t>
        </is>
      </c>
      <c r="D961" t="n">
        <v>5079</v>
      </c>
      <c r="E961" t="inlineStr">
        <is>
          <t>def _make_pipeline_for_sync_centroid(tmp_path, meta=None, threshold=10_000):</t>
        </is>
      </c>
    </row>
    <row r="962">
      <c r="A962" t="inlineStr">
        <is>
          <t>archon-search</t>
        </is>
      </c>
      <c r="B962" t="inlineStr">
        <is>
          <t>/Users/manczg/Documents/development/archon-search/tests/test_sync.py</t>
        </is>
      </c>
      <c r="C962" t="inlineStr">
        <is>
          <t>tests-04</t>
        </is>
      </c>
      <c r="D962" t="n">
        <v>801</v>
      </c>
      <c r="E962" t="inlineStr">
        <is>
          <t>indexed_at=datetime.now(timezone.utc).isoformat(),</t>
        </is>
      </c>
    </row>
    <row r="963">
      <c r="A963" t="inlineStr">
        <is>
          <t>archon-search</t>
        </is>
      </c>
      <c r="B963" t="inlineStr">
        <is>
          <t>/Users/manczg/Documents/development/archon-search/tests/test_sync.py</t>
        </is>
      </c>
      <c r="C963" t="inlineStr">
        <is>
          <t>tests-05</t>
        </is>
      </c>
      <c r="D963" t="n">
        <v>64</v>
      </c>
      <c r="E963" t="inlineStr">
        <is>
          <t>pipeline.store._db_path = tmp_path / "db"</t>
        </is>
      </c>
    </row>
    <row r="964">
      <c r="A964" t="inlineStr">
        <is>
          <t>archon-search</t>
        </is>
      </c>
      <c r="B964" t="inlineStr">
        <is>
          <t>/Users/manczg/Documents/development/archon-search/tests/test_sync.py</t>
        </is>
      </c>
      <c r="C964" t="inlineStr">
        <is>
          <t>tests-05</t>
        </is>
      </c>
      <c r="D964" t="n">
        <v>166</v>
      </c>
      <c r="E964" t="inlineStr">
        <is>
          <t>with patch.object(syncer, "_check_collection_changes") as mock_check:</t>
        </is>
      </c>
    </row>
    <row r="965">
      <c r="A965" t="inlineStr">
        <is>
          <t>archon-search</t>
        </is>
      </c>
      <c r="B965" t="inlineStr">
        <is>
          <t>/Users/manczg/Documents/development/archon-search/tests/test_sync.py</t>
        </is>
      </c>
      <c r="C965" t="inlineStr">
        <is>
          <t>tests-05</t>
        </is>
      </c>
      <c r="D965" t="n">
        <v>483</v>
      </c>
      <c r="E965" t="inlineStr">
        <is>
          <t>syncer._check_collection_changes = MagicMock(</t>
        </is>
      </c>
    </row>
    <row r="966">
      <c r="A966" t="inlineStr">
        <is>
          <t>archon-search</t>
        </is>
      </c>
      <c r="B966" t="inlineStr">
        <is>
          <t>/Users/manczg/Documents/development/archon-search/tests/test_sync.py</t>
        </is>
      </c>
      <c r="C966" t="inlineStr">
        <is>
          <t>tests-05</t>
        </is>
      </c>
      <c r="D966" t="n">
        <v>487</v>
      </c>
      <c r="E966" t="inlineStr">
        <is>
          <t>syncer._apply_collection_changes = AsyncMock(return_value="ingest failed: disk full")</t>
        </is>
      </c>
    </row>
    <row r="967">
      <c r="A967" t="inlineStr">
        <is>
          <t>archon-search</t>
        </is>
      </c>
      <c r="B967" t="inlineStr">
        <is>
          <t>/Users/manczg/Documents/development/archon-search/tests/test_sync.py</t>
        </is>
      </c>
      <c r="C967" t="inlineStr">
        <is>
          <t>tests-05</t>
        </is>
      </c>
      <c r="D967" t="n">
        <v>524</v>
      </c>
      <c r="E967" t="inlineStr">
        <is>
          <t>syncer._check_collection_changes = MagicMock(</t>
        </is>
      </c>
    </row>
    <row r="968">
      <c r="A968" t="inlineStr">
        <is>
          <t>archon-search</t>
        </is>
      </c>
      <c r="B968" t="inlineStr">
        <is>
          <t>/Users/manczg/Documents/development/archon-search/tests/test_sync.py</t>
        </is>
      </c>
      <c r="C968" t="inlineStr">
        <is>
          <t>tests-05</t>
        </is>
      </c>
      <c r="D968" t="n">
        <v>528</v>
      </c>
      <c r="E968" t="inlineStr">
        <is>
          <t>syncer._apply_collection_changes = AsyncMock(return_value=None)</t>
        </is>
      </c>
    </row>
    <row r="969">
      <c r="A969" t="inlineStr">
        <is>
          <t>archon-search</t>
        </is>
      </c>
      <c r="B969" t="inlineStr">
        <is>
          <t>/Users/manczg/Documents/development/archon-search/tests/test_sync.py</t>
        </is>
      </c>
      <c r="C969" t="inlineStr">
        <is>
          <t>tests-05</t>
        </is>
      </c>
      <c r="D969" t="n">
        <v>635</v>
      </c>
      <c r="E969" t="inlineStr">
        <is>
          <t>assert syncer._load_file_mtimes("myproject") == {}, (</t>
        </is>
      </c>
    </row>
    <row r="970">
      <c r="A970" t="inlineStr">
        <is>
          <t>archon-search</t>
        </is>
      </c>
      <c r="B970" t="inlineStr">
        <is>
          <t>/Users/manczg/Documents/development/archon-search/tests/test_sync.py</t>
        </is>
      </c>
      <c r="C970" t="inlineStr">
        <is>
          <t>tests-05</t>
        </is>
      </c>
      <c r="D970" t="n">
        <v>879</v>
      </c>
      <c r="E970" t="inlineStr">
        <is>
          <t>lock1 = syncer._get_lock("col_a")</t>
        </is>
      </c>
    </row>
    <row r="971">
      <c r="A971" t="inlineStr">
        <is>
          <t>archon-search</t>
        </is>
      </c>
      <c r="B971" t="inlineStr">
        <is>
          <t>/Users/manczg/Documents/development/archon-search/tests/test_sync.py</t>
        </is>
      </c>
      <c r="C971" t="inlineStr">
        <is>
          <t>tests-05</t>
        </is>
      </c>
      <c r="D971" t="n">
        <v>880</v>
      </c>
      <c r="E971" t="inlineStr">
        <is>
          <t>lock2 = syncer._get_lock("col_a")</t>
        </is>
      </c>
    </row>
    <row r="972">
      <c r="A972" t="inlineStr">
        <is>
          <t>archon-search</t>
        </is>
      </c>
      <c r="B972" t="inlineStr">
        <is>
          <t>/Users/manczg/Documents/development/archon-search/tests/test_sync.py</t>
        </is>
      </c>
      <c r="C972" t="inlineStr">
        <is>
          <t>tests-05</t>
        </is>
      </c>
      <c r="D972" t="n">
        <v>891</v>
      </c>
      <c r="E972" t="inlineStr">
        <is>
          <t>lock_a = syncer._get_lock("col_a")</t>
        </is>
      </c>
    </row>
    <row r="973">
      <c r="A973" t="inlineStr">
        <is>
          <t>archon-search</t>
        </is>
      </c>
      <c r="B973" t="inlineStr">
        <is>
          <t>/Users/manczg/Documents/development/archon-search/tests/test_sync.py</t>
        </is>
      </c>
      <c r="C973" t="inlineStr">
        <is>
          <t>tests-05</t>
        </is>
      </c>
      <c r="D973" t="n">
        <v>892</v>
      </c>
      <c r="E973" t="inlineStr">
        <is>
          <t>lock_b = syncer._get_lock("col_b")</t>
        </is>
      </c>
    </row>
    <row r="974">
      <c r="A974" t="inlineStr">
        <is>
          <t>archon-search</t>
        </is>
      </c>
      <c r="B974" t="inlineStr">
        <is>
          <t>/Users/manczg/Documents/development/archon-search/tests/test_sync.py</t>
        </is>
      </c>
      <c r="C974" t="inlineStr">
        <is>
          <t>tests-05</t>
        </is>
      </c>
      <c r="D974" t="n">
        <v>910</v>
      </c>
      <c r="E974" t="inlineStr">
        <is>
          <t>lock = syncer._get_lock(name)</t>
        </is>
      </c>
    </row>
    <row r="975">
      <c r="A975" t="inlineStr">
        <is>
          <t>archon-search</t>
        </is>
      </c>
      <c r="B975" t="inlineStr">
        <is>
          <t>/Users/manczg/Documents/development/archon-search/tests/test_sync.py</t>
        </is>
      </c>
      <c r="C975" t="inlineStr">
        <is>
          <t>tests-05</t>
        </is>
      </c>
      <c r="D975" t="n">
        <v>1017</v>
      </c>
      <c r="E975" t="inlineStr">
        <is>
          <t>syncer._write_manifest(manifest_path, manifest)</t>
        </is>
      </c>
    </row>
    <row r="976">
      <c r="A976" t="inlineStr">
        <is>
          <t>archon-search</t>
        </is>
      </c>
      <c r="B976" t="inlineStr">
        <is>
          <t>/Users/manczg/Documents/development/archon-search/tests/test_sync.py</t>
        </is>
      </c>
      <c r="C976" t="inlineStr">
        <is>
          <t>tests-05</t>
        </is>
      </c>
      <c r="D976" t="n">
        <v>1030</v>
      </c>
      <c r="E976" t="inlineStr">
        <is>
          <t>syncer._safe_state_update("col", progress)</t>
        </is>
      </c>
    </row>
    <row r="977">
      <c r="A977" t="inlineStr">
        <is>
          <t>archon-search</t>
        </is>
      </c>
      <c r="B977" t="inlineStr">
        <is>
          <t>/Users/manczg/Documents/development/archon-search/tests/test_sync.py</t>
        </is>
      </c>
      <c r="C977" t="inlineStr">
        <is>
          <t>tests-05</t>
        </is>
      </c>
      <c r="D977" t="n">
        <v>2138</v>
      </c>
      <c r="E977" t="inlineStr">
        <is>
          <t>assert syncer._load_processed_paths("col") == []</t>
        </is>
      </c>
    </row>
    <row r="978">
      <c r="A978" t="inlineStr">
        <is>
          <t>archon-search</t>
        </is>
      </c>
      <c r="B978" t="inlineStr">
        <is>
          <t>/Users/manczg/Documents/development/archon-search/tests/test_sync.py</t>
        </is>
      </c>
      <c r="C978" t="inlineStr">
        <is>
          <t>tests-05</t>
        </is>
      </c>
      <c r="D978" t="n">
        <v>2149</v>
      </c>
      <c r="E978" t="inlineStr">
        <is>
          <t>assert syncer._load_processed_paths("col") == []</t>
        </is>
      </c>
    </row>
    <row r="979">
      <c r="A979" t="inlineStr">
        <is>
          <t>archon-search</t>
        </is>
      </c>
      <c r="B979" t="inlineStr">
        <is>
          <t>/Users/manczg/Documents/development/archon-search/tests/test_sync.py</t>
        </is>
      </c>
      <c r="C979" t="inlineStr">
        <is>
          <t>tests-05</t>
        </is>
      </c>
      <c r="D979" t="n">
        <v>2164</v>
      </c>
      <c r="E979" t="inlineStr">
        <is>
          <t>assert syncer._load_processed_paths("col") == []</t>
        </is>
      </c>
    </row>
    <row r="980">
      <c r="A980" t="inlineStr">
        <is>
          <t>archon-search</t>
        </is>
      </c>
      <c r="B980" t="inlineStr">
        <is>
          <t>/Users/manczg/Documents/development/archon-search/tests/test_sync.py</t>
        </is>
      </c>
      <c r="C980" t="inlineStr">
        <is>
          <t>tests-05</t>
        </is>
      </c>
      <c r="D980" t="n">
        <v>2811</v>
      </c>
      <c r="E980" t="inlineStr">
        <is>
          <t>original_safe_update = syncer._safe_state_update</t>
        </is>
      </c>
    </row>
    <row r="981">
      <c r="A981" t="inlineStr">
        <is>
          <t>archon-search</t>
        </is>
      </c>
      <c r="B981" t="inlineStr">
        <is>
          <t>/Users/manczg/Documents/development/archon-search/tests/test_sync.py</t>
        </is>
      </c>
      <c r="C981" t="inlineStr">
        <is>
          <t>tests-05</t>
        </is>
      </c>
      <c r="D981" t="n">
        <v>2819</v>
      </c>
      <c r="E981" t="inlineStr">
        <is>
          <t>with patch.object(syncer, "_safe_state_update", side_effect=capturing_safe_update):</t>
        </is>
      </c>
    </row>
    <row r="982">
      <c r="A982" t="inlineStr">
        <is>
          <t>archon-search</t>
        </is>
      </c>
      <c r="B982" t="inlineStr">
        <is>
          <t>/Users/manczg/Documents/development/archon-search/tests/test_sync.py</t>
        </is>
      </c>
      <c r="C982" t="inlineStr">
        <is>
          <t>tests-05</t>
        </is>
      </c>
      <c r="D982" t="n">
        <v>2879</v>
      </c>
      <c r="E982" t="inlineStr">
        <is>
          <t>result = syncer._iter_eligible_files(source)</t>
        </is>
      </c>
    </row>
    <row r="983">
      <c r="A983" t="inlineStr">
        <is>
          <t>archon-search</t>
        </is>
      </c>
      <c r="B983" t="inlineStr">
        <is>
          <t>/Users/manczg/Documents/development/archon-search/tests/test_sync.py</t>
        </is>
      </c>
      <c r="C983" t="inlineStr">
        <is>
          <t>tests-05</t>
        </is>
      </c>
      <c r="D983" t="n">
        <v>2899</v>
      </c>
      <c r="E983" t="inlineStr">
        <is>
          <t>result = syncer._iter_eligible_files(source)</t>
        </is>
      </c>
    </row>
    <row r="984">
      <c r="A984" t="inlineStr">
        <is>
          <t>archon-search</t>
        </is>
      </c>
      <c r="B984" t="inlineStr">
        <is>
          <t>/Users/manczg/Documents/development/archon-search/tests/test_sync.py</t>
        </is>
      </c>
      <c r="C984" t="inlineStr">
        <is>
          <t>tests-05</t>
        </is>
      </c>
      <c r="D984" t="n">
        <v>2929</v>
      </c>
      <c r="E984" t="inlineStr">
        <is>
          <t>syncer._reset_stale_in_progress()</t>
        </is>
      </c>
    </row>
    <row r="985">
      <c r="A985" t="inlineStr">
        <is>
          <t>archon-search</t>
        </is>
      </c>
      <c r="B985" t="inlineStr">
        <is>
          <t>/Users/manczg/Documents/development/archon-search/tests/test_sync.py</t>
        </is>
      </c>
      <c r="C985" t="inlineStr">
        <is>
          <t>tests-05</t>
        </is>
      </c>
      <c r="D985" t="n">
        <v>2971</v>
      </c>
      <c r="E985" t="inlineStr">
        <is>
          <t>syncer._reset_stale_in_progress()</t>
        </is>
      </c>
    </row>
    <row r="986">
      <c r="A986" t="inlineStr">
        <is>
          <t>archon-search</t>
        </is>
      </c>
      <c r="B986" t="inlineStr">
        <is>
          <t>/Users/manczg/Documents/development/archon-search/tests/test_sync.py</t>
        </is>
      </c>
      <c r="C986" t="inlineStr">
        <is>
          <t>tests-05</t>
        </is>
      </c>
      <c r="D986" t="n">
        <v>2985</v>
      </c>
      <c r="E986" t="inlineStr">
        <is>
          <t>source = inspect.getsource(SearchCollectionSync._reset_stale_in_progress)</t>
        </is>
      </c>
    </row>
    <row r="987">
      <c r="A987" t="inlineStr">
        <is>
          <t>archon-search</t>
        </is>
      </c>
      <c r="B987" t="inlineStr">
        <is>
          <t>/Users/manczg/Documents/development/archon-search/tests/test_sync.py</t>
        </is>
      </c>
      <c r="C987" t="inlineStr">
        <is>
          <t>tests-05</t>
        </is>
      </c>
      <c r="D987" t="n">
        <v>2993</v>
      </c>
      <c r="E987" t="inlineStr">
        <is>
          <t>assert "self._state_store.read()" not in source</t>
        </is>
      </c>
    </row>
    <row r="988">
      <c r="A988" t="inlineStr">
        <is>
          <t>archon-search</t>
        </is>
      </c>
      <c r="B988" t="inlineStr">
        <is>
          <t>/Users/manczg/Documents/development/archon-search/tests/test_sync.py</t>
        </is>
      </c>
      <c r="C988" t="inlineStr">
        <is>
          <t>tests-05</t>
        </is>
      </c>
      <c r="D988" t="n">
        <v>2994</v>
      </c>
      <c r="E988" t="inlineStr">
        <is>
          <t>assert "self._state_store.write(" not in source</t>
        </is>
      </c>
    </row>
    <row r="989">
      <c r="A989" t="inlineStr">
        <is>
          <t>archon-search</t>
        </is>
      </c>
      <c r="B989" t="inlineStr">
        <is>
          <t>/Users/manczg/Documents/development/archon-search/tests/test_sync.py</t>
        </is>
      </c>
      <c r="C989" t="inlineStr">
        <is>
          <t>tests-05</t>
        </is>
      </c>
      <c r="D989" t="n">
        <v>3002</v>
      </c>
      <c r="E989" t="inlineStr">
        <is>
          <t>impl that dropped the ``if self._state_store is None: return`` guard would</t>
        </is>
      </c>
    </row>
    <row r="990">
      <c r="A990" t="inlineStr">
        <is>
          <t>archon-search</t>
        </is>
      </c>
      <c r="B990" t="inlineStr">
        <is>
          <t>/Users/manczg/Documents/development/archon-search/tests/test_sync.py</t>
        </is>
      </c>
      <c r="C990" t="inlineStr">
        <is>
          <t>tests-05</t>
        </is>
      </c>
      <c r="D990" t="n">
        <v>3015</v>
      </c>
      <c r="E990" t="inlineStr">
        <is>
          <t>syncer._reset_stale_in_progress()</t>
        </is>
      </c>
    </row>
    <row r="991">
      <c r="A991" t="inlineStr">
        <is>
          <t>archon-search</t>
        </is>
      </c>
      <c r="B991" t="inlineStr">
        <is>
          <t>/Users/manczg/Documents/development/archon-search/tests/test_sync.py</t>
        </is>
      </c>
      <c r="C991" t="inlineStr">
        <is>
          <t>tests-05</t>
        </is>
      </c>
      <c r="D991" t="n">
        <v>3066</v>
      </c>
      <c r="E991" t="inlineStr">
        <is>
          <t>syncer._reset_stale_in_progress()</t>
        </is>
      </c>
    </row>
    <row r="992">
      <c r="A992" t="inlineStr">
        <is>
          <t>archon-search</t>
        </is>
      </c>
      <c r="B992" t="inlineStr">
        <is>
          <t>/Users/manczg/Documents/development/archon-search/tests/test_sync.py</t>
        </is>
      </c>
      <c r="C992" t="inlineStr">
        <is>
          <t>tests-05</t>
        </is>
      </c>
      <c r="D992" t="n">
        <v>3107</v>
      </c>
      <c r="E992" t="inlineStr">
        <is>
          <t>syncer._reset_stale_in_progress()</t>
        </is>
      </c>
    </row>
    <row r="993">
      <c r="A993" t="inlineStr">
        <is>
          <t>archon-search</t>
        </is>
      </c>
      <c r="B993" t="inlineStr">
        <is>
          <t>/Users/manczg/Documents/development/archon-search/tests/test_sync.py</t>
        </is>
      </c>
      <c r="C993" t="inlineStr">
        <is>
          <t>tests-05</t>
        </is>
      </c>
      <c r="D993" t="n">
        <v>3157</v>
      </c>
      <c r="E993" t="inlineStr">
        <is>
          <t>syncer._reset_stale_in_progress()</t>
        </is>
      </c>
    </row>
    <row r="994">
      <c r="A994" t="inlineStr">
        <is>
          <t>archon-search</t>
        </is>
      </c>
      <c r="B994" t="inlineStr">
        <is>
          <t>/Users/manczg/Documents/development/archon-search/tests/test_sync.py</t>
        </is>
      </c>
      <c r="C994" t="inlineStr">
        <is>
          <t>tests-05</t>
        </is>
      </c>
      <c r="D994" t="n">
        <v>3199</v>
      </c>
      <c r="E994" t="inlineStr">
        <is>
          <t>assert syncer._load_file_mtimes("my_col") == {}</t>
        </is>
      </c>
    </row>
    <row r="995">
      <c r="A995" t="inlineStr">
        <is>
          <t>archon-search</t>
        </is>
      </c>
      <c r="B995" t="inlineStr">
        <is>
          <t>/Users/manczg/Documents/development/archon-search/tests/test_sync.py</t>
        </is>
      </c>
      <c r="C995" t="inlineStr">
        <is>
          <t>tests-05</t>
        </is>
      </c>
      <c r="D995" t="n">
        <v>3209</v>
      </c>
      <c r="E995" t="inlineStr">
        <is>
          <t>assert syncer._load_file_mtimes("my_col") == {}</t>
        </is>
      </c>
    </row>
    <row r="996">
      <c r="A996" t="inlineStr">
        <is>
          <t>archon-search</t>
        </is>
      </c>
      <c r="B996" t="inlineStr">
        <is>
          <t>/Users/manczg/Documents/development/archon-search/tests/test_sync.py</t>
        </is>
      </c>
      <c r="C996" t="inlineStr">
        <is>
          <t>tests-05</t>
        </is>
      </c>
      <c r="D996" t="n">
        <v>3220</v>
      </c>
      <c r="E996" t="inlineStr">
        <is>
          <t>assert syncer._load_file_mtimes("missing_col") == {}</t>
        </is>
      </c>
    </row>
    <row r="997">
      <c r="A997" t="inlineStr">
        <is>
          <t>archon-search</t>
        </is>
      </c>
      <c r="B997" t="inlineStr">
        <is>
          <t>/Users/manczg/Documents/development/archon-search/tests/test_sync.py</t>
        </is>
      </c>
      <c r="C997" t="inlineStr">
        <is>
          <t>tests-05</t>
        </is>
      </c>
      <c r="D997" t="n">
        <v>3236</v>
      </c>
      <c r="E997" t="inlineStr">
        <is>
          <t>result = syncer._load_file_mtimes("col_a", state=state)</t>
        </is>
      </c>
    </row>
    <row r="998">
      <c r="A998" t="inlineStr">
        <is>
          <t>archon-search</t>
        </is>
      </c>
      <c r="B998" t="inlineStr">
        <is>
          <t>/Users/manczg/Documents/development/archon-search/tests/test_sync.py</t>
        </is>
      </c>
      <c r="C998" t="inlineStr">
        <is>
          <t>tests-05</t>
        </is>
      </c>
      <c r="D998" t="n">
        <v>3247</v>
      </c>
      <c r="E998" t="inlineStr">
        <is>
          <t>assert syncer._load_file_mtimes("nonexistent", state=state) == {}</t>
        </is>
      </c>
    </row>
    <row r="999">
      <c r="A999" t="inlineStr">
        <is>
          <t>archon-search</t>
        </is>
      </c>
      <c r="B999" t="inlineStr">
        <is>
          <t>/Users/manczg/Documents/development/archon-search/tests/test_sync.py</t>
        </is>
      </c>
      <c r="C999" t="inlineStr">
        <is>
          <t>tests-05</t>
        </is>
      </c>
      <c r="D999" t="n">
        <v>3273</v>
      </c>
      <c r="E999" t="inlineStr">
        <is>
          <t>new_files, changed_files, deleted, _ = syncer._check_collection_changes(</t>
        </is>
      </c>
    </row>
    <row r="1000">
      <c r="A1000" t="inlineStr">
        <is>
          <t>archon-search</t>
        </is>
      </c>
      <c r="B1000" t="inlineStr">
        <is>
          <t>/Users/manczg/Documents/development/archon-search/tests/test_sync.py</t>
        </is>
      </c>
      <c r="C1000" t="inlineStr">
        <is>
          <t>tests-05</t>
        </is>
      </c>
      <c r="D1000" t="n">
        <v>3291</v>
      </c>
      <c r="E1000" t="inlineStr">
        <is>
          <t>new_files, changed_files, deleted, _ = syncer._check_collection_changes(</t>
        </is>
      </c>
    </row>
    <row r="1001">
      <c r="A1001" t="inlineStr">
        <is>
          <t>archon-search</t>
        </is>
      </c>
      <c r="B1001" t="inlineStr">
        <is>
          <t>/Users/manczg/Documents/development/archon-search/tests/test_sync.py</t>
        </is>
      </c>
      <c r="C1001" t="inlineStr">
        <is>
          <t>tests-05</t>
        </is>
      </c>
      <c r="D1001" t="n">
        <v>3310</v>
      </c>
      <c r="E1001" t="inlineStr">
        <is>
          <t>new_files, changed_files, deleted, _ = syncer._check_collection_changes(</t>
        </is>
      </c>
    </row>
    <row r="1002">
      <c r="A1002" t="inlineStr">
        <is>
          <t>archon-search</t>
        </is>
      </c>
      <c r="B1002" t="inlineStr">
        <is>
          <t>/Users/manczg/Documents/development/archon-search/tests/test_sync.py</t>
        </is>
      </c>
      <c r="C1002" t="inlineStr">
        <is>
          <t>tests-05</t>
        </is>
      </c>
      <c r="D1002" t="n">
        <v>3326</v>
      </c>
      <c r="E1002" t="inlineStr">
        <is>
          <t>new_files, changed_files, deleted, _ = syncer._check_collection_changes(</t>
        </is>
      </c>
    </row>
    <row r="1003">
      <c r="A1003" t="inlineStr">
        <is>
          <t>archon-search</t>
        </is>
      </c>
      <c r="B1003" t="inlineStr">
        <is>
          <t>/Users/manczg/Documents/development/archon-search/tests/test_sync.py</t>
        </is>
      </c>
      <c r="C1003" t="inlineStr">
        <is>
          <t>tests-05</t>
        </is>
      </c>
      <c r="D1003" t="n">
        <v>3344</v>
      </c>
      <c r="E1003" t="inlineStr">
        <is>
          <t>new_files, changed_files, deleted, force = syncer._check_collection_changes(</t>
        </is>
      </c>
    </row>
    <row r="1004">
      <c r="A1004" t="inlineStr">
        <is>
          <t>archon-search</t>
        </is>
      </c>
      <c r="B1004" t="inlineStr">
        <is>
          <t>/Users/manczg/Documents/development/archon-search/tests/test_sync.py</t>
        </is>
      </c>
      <c r="C1004" t="inlineStr">
        <is>
          <t>tests-05</t>
        </is>
      </c>
      <c r="D1004" t="n">
        <v>3360</v>
      </c>
      <c r="E1004" t="inlineStr">
        <is>
          <t>new_files, changed_files, deleted, force = syncer._check_collection_changes(</t>
        </is>
      </c>
    </row>
    <row r="1005">
      <c r="A1005" t="inlineStr">
        <is>
          <t>archon-search</t>
        </is>
      </c>
      <c r="B1005" t="inlineStr">
        <is>
          <t>/Users/manczg/Documents/development/archon-search/tests/test_sync.py</t>
        </is>
      </c>
      <c r="C1005" t="inlineStr">
        <is>
          <t>tests-05</t>
        </is>
      </c>
      <c r="D1005" t="n">
        <v>3380</v>
      </c>
      <c r="E1005" t="inlineStr">
        <is>
          <t>new_files, changed_files, deleted, force = syncer._check_collection_changes(</t>
        </is>
      </c>
    </row>
    <row r="1006">
      <c r="A1006" t="inlineStr">
        <is>
          <t>archon-search</t>
        </is>
      </c>
      <c r="B1006" t="inlineStr">
        <is>
          <t>/Users/manczg/Documents/development/archon-search/tests/test_sync.py</t>
        </is>
      </c>
      <c r="C1006" t="inlineStr">
        <is>
          <t>tests-05</t>
        </is>
      </c>
      <c r="D1006" t="n">
        <v>3402</v>
      </c>
      <c r="E1006" t="inlineStr">
        <is>
          <t>new_files, changed_files, deleted, _ = syncer._check_collection_changes(</t>
        </is>
      </c>
    </row>
    <row r="1007">
      <c r="A1007" t="inlineStr">
        <is>
          <t>archon-search</t>
        </is>
      </c>
      <c r="B1007" t="inlineStr">
        <is>
          <t>/Users/manczg/Documents/development/archon-search/tests/test_sync.py</t>
        </is>
      </c>
      <c r="C1007" t="inlineStr">
        <is>
          <t>tests-05</t>
        </is>
      </c>
      <c r="D1007" t="n">
        <v>3420</v>
      </c>
      <c r="E1007" t="inlineStr">
        <is>
          <t>new_files, changed_files, deleted, _ = syncer._check_collection_changes(</t>
        </is>
      </c>
    </row>
    <row r="1008">
      <c r="A1008" t="inlineStr">
        <is>
          <t>archon-search</t>
        </is>
      </c>
      <c r="B1008" t="inlineStr">
        <is>
          <t>/Users/manczg/Documents/development/archon-search/tests/test_sync.py</t>
        </is>
      </c>
      <c r="C1008" t="inlineStr">
        <is>
          <t>tests-05</t>
        </is>
      </c>
      <c r="D1008" t="n">
        <v>3436</v>
      </c>
      <c r="E1008" t="inlineStr">
        <is>
          <t>assert syncer._chunk_size == 256</t>
        </is>
      </c>
    </row>
    <row r="1009">
      <c r="A1009" t="inlineStr">
        <is>
          <t>archon-search</t>
        </is>
      </c>
      <c r="B1009" t="inlineStr">
        <is>
          <t>/Users/manczg/Documents/development/archon-search/tests/test_sync.py</t>
        </is>
      </c>
      <c r="C1009" t="inlineStr">
        <is>
          <t>tests-05</t>
        </is>
      </c>
      <c r="D1009" t="n">
        <v>3437</v>
      </c>
      <c r="E1009" t="inlineStr">
        <is>
          <t>assert syncer._auto_reindex_on_chunk_size_change is True</t>
        </is>
      </c>
    </row>
    <row r="1010">
      <c r="A1010" t="inlineStr">
        <is>
          <t>archon-search</t>
        </is>
      </c>
      <c r="B1010" t="inlineStr">
        <is>
          <t>/Users/manczg/Documents/development/archon-search/tests/test_sync.py</t>
        </is>
      </c>
      <c r="C1010" t="inlineStr">
        <is>
          <t>tests-05</t>
        </is>
      </c>
      <c r="D1010" t="n">
        <v>3459</v>
      </c>
      <c r="E1010" t="inlineStr">
        <is>
          <t>new_files, changed_files, deleted, _ = syncer._check_collection_changes(</t>
        </is>
      </c>
    </row>
    <row r="1011">
      <c r="A1011" t="inlineStr">
        <is>
          <t>archon-search</t>
        </is>
      </c>
      <c r="B1011" t="inlineStr">
        <is>
          <t>/Users/manczg/Documents/development/archon-search/tests/test_sync.py</t>
        </is>
      </c>
      <c r="C1011" t="inlineStr">
        <is>
          <t>tests-05</t>
        </is>
      </c>
      <c r="D1011" t="n">
        <v>3480</v>
      </c>
      <c r="E1011" t="inlineStr">
        <is>
          <t>result = syncer._load_file_mtimes("my_col")</t>
        </is>
      </c>
    </row>
    <row r="1012">
      <c r="A1012" t="inlineStr">
        <is>
          <t>archon-search</t>
        </is>
      </c>
      <c r="B1012" t="inlineStr">
        <is>
          <t>/Users/manczg/Documents/development/archon-search/tests/test_sync.py</t>
        </is>
      </c>
      <c r="C1012" t="inlineStr">
        <is>
          <t>tests-05</t>
        </is>
      </c>
      <c r="D1012" t="n">
        <v>3495</v>
      </c>
      <c r="E1012" t="inlineStr">
        <is>
          <t>real_iter = syncer._iter_eligible_files</t>
        </is>
      </c>
    </row>
    <row r="1013">
      <c r="A1013" t="inlineStr">
        <is>
          <t>archon-search</t>
        </is>
      </c>
      <c r="B1013" t="inlineStr">
        <is>
          <t>/Users/manczg/Documents/development/archon-search/tests/test_sync.py</t>
        </is>
      </c>
      <c r="C1013" t="inlineStr">
        <is>
          <t>tests-05</t>
        </is>
      </c>
      <c r="D1013" t="n">
        <v>3509</v>
      </c>
      <c r="E1013" t="inlineStr">
        <is>
          <t>self._real = real</t>
        </is>
      </c>
    </row>
    <row r="1014">
      <c r="A1014" t="inlineStr">
        <is>
          <t>archon-search</t>
        </is>
      </c>
      <c r="B1014" t="inlineStr">
        <is>
          <t>/Users/manczg/Documents/development/archon-search/tests/test_sync.py</t>
        </is>
      </c>
      <c r="C1014" t="inlineStr">
        <is>
          <t>tests-05</t>
        </is>
      </c>
      <c r="D1014" t="n">
        <v>3515</v>
      </c>
      <c r="E1014" t="inlineStr">
        <is>
          <t>return self._real.resolve()</t>
        </is>
      </c>
    </row>
    <row r="1015">
      <c r="A1015" t="inlineStr">
        <is>
          <t>archon-search</t>
        </is>
      </c>
      <c r="B1015" t="inlineStr">
        <is>
          <t>/Users/manczg/Documents/development/archon-search/tests/test_sync.py</t>
        </is>
      </c>
      <c r="C1015" t="inlineStr">
        <is>
          <t>tests-05</t>
        </is>
      </c>
      <c r="D1015" t="n">
        <v>3518</v>
      </c>
      <c r="E1015" t="inlineStr">
        <is>
          <t>return str(self._real)</t>
        </is>
      </c>
    </row>
    <row r="1016">
      <c r="A1016" t="inlineStr">
        <is>
          <t>archon-search</t>
        </is>
      </c>
      <c r="B1016" t="inlineStr">
        <is>
          <t>/Users/manczg/Documents/development/archon-search/tests/test_sync.py</t>
        </is>
      </c>
      <c r="C1016" t="inlineStr">
        <is>
          <t>tests-05</t>
        </is>
      </c>
      <c r="D1016" t="n">
        <v>3521</v>
      </c>
      <c r="E1016" t="inlineStr">
        <is>
          <t>return str(self._real)</t>
        </is>
      </c>
    </row>
    <row r="1017">
      <c r="A1017" t="inlineStr">
        <is>
          <t>archon-search</t>
        </is>
      </c>
      <c r="B1017" t="inlineStr">
        <is>
          <t>/Users/manczg/Documents/development/archon-search/tests/test_sync.py</t>
        </is>
      </c>
      <c r="C1017" t="inlineStr">
        <is>
          <t>tests-05</t>
        </is>
      </c>
      <c r="D1017" t="n">
        <v>3526</v>
      </c>
      <c r="E1017" t="inlineStr">
        <is>
          <t>syncer._iter_eligible_files = patched_iter</t>
        </is>
      </c>
    </row>
    <row r="1018">
      <c r="A1018" t="inlineStr">
        <is>
          <t>archon-search</t>
        </is>
      </c>
      <c r="B1018" t="inlineStr">
        <is>
          <t>/Users/manczg/Documents/development/archon-search/tests/test_sync.py</t>
        </is>
      </c>
      <c r="C1018" t="inlineStr">
        <is>
          <t>tests-05</t>
        </is>
      </c>
      <c r="D1018" t="n">
        <v>3527</v>
      </c>
      <c r="E1018" t="inlineStr">
        <is>
          <t>new_files, changed_files, deleted, _ = syncer._check_collection_changes(</t>
        </is>
      </c>
    </row>
    <row r="1019">
      <c r="A1019" t="inlineStr">
        <is>
          <t>archon-search</t>
        </is>
      </c>
      <c r="B1019" t="inlineStr">
        <is>
          <t>/Users/manczg/Documents/development/archon-search/tests/test_sync.py</t>
        </is>
      </c>
      <c r="C1019" t="inlineStr">
        <is>
          <t>tests-05</t>
        </is>
      </c>
      <c r="D1019" t="n">
        <v>3547</v>
      </c>
      <c r="E1019" t="inlineStr">
        <is>
          <t>new_files, changed_files, deleted, _ = syncer._check_collection_changes(</t>
        </is>
      </c>
    </row>
    <row r="1020">
      <c r="A1020" t="inlineStr">
        <is>
          <t>archon-search</t>
        </is>
      </c>
      <c r="B1020" t="inlineStr">
        <is>
          <t>/Users/manczg/Documents/development/archon-search/tests/test_sync.py</t>
        </is>
      </c>
      <c r="C1020" t="inlineStr">
        <is>
          <t>tests-05</t>
        </is>
      </c>
      <c r="D1020" t="n">
        <v>3564</v>
      </c>
      <c r="E1020" t="inlineStr">
        <is>
          <t>result = syncer._load_file_mtimes("col")</t>
        </is>
      </c>
    </row>
    <row r="1021">
      <c r="A1021" t="inlineStr">
        <is>
          <t>archon-search</t>
        </is>
      </c>
      <c r="B1021" t="inlineStr">
        <is>
          <t>/Users/manczg/Documents/development/archon-search/tests/test_sync.py</t>
        </is>
      </c>
      <c r="C1021" t="inlineStr">
        <is>
          <t>tests-05</t>
        </is>
      </c>
      <c r="D1021" t="n">
        <v>3575</v>
      </c>
      <c r="E1021" t="inlineStr">
        <is>
          <t>new_files, changed_files, deleted, _ = syncer._check_collection_changes(</t>
        </is>
      </c>
    </row>
    <row r="1022">
      <c r="A1022" t="inlineStr">
        <is>
          <t>archon-search</t>
        </is>
      </c>
      <c r="B1022" t="inlineStr">
        <is>
          <t>/Users/manczg/Documents/development/archon-search/tests/test_sync.py</t>
        </is>
      </c>
      <c r="C1022" t="inlineStr">
        <is>
          <t>tests-05</t>
        </is>
      </c>
      <c r="D1022" t="n">
        <v>3920</v>
      </c>
      <c r="E1022" t="inlineStr">
        <is>
          <t>pipeline.store._config = cfg</t>
        </is>
      </c>
    </row>
    <row r="1023">
      <c r="A1023" t="inlineStr">
        <is>
          <t>archon-search</t>
        </is>
      </c>
      <c r="B1023" t="inlineStr">
        <is>
          <t>/Users/manczg/Documents/development/archon-search/tests/test_sync.py</t>
        </is>
      </c>
      <c r="C1023" t="inlineStr">
        <is>
          <t>tests-05</t>
        </is>
      </c>
      <c r="D1023" t="n">
        <v>4173</v>
      </c>
      <c r="E1023" t="inlineStr">
        <is>
          <t>original_update = syncer._safe_state_update</t>
        </is>
      </c>
    </row>
    <row r="1024">
      <c r="A1024" t="inlineStr">
        <is>
          <t>archon-search</t>
        </is>
      </c>
      <c r="B1024" t="inlineStr">
        <is>
          <t>/Users/manczg/Documents/development/archon-search/tests/test_sync.py</t>
        </is>
      </c>
      <c r="C1024" t="inlineStr">
        <is>
          <t>tests-05</t>
        </is>
      </c>
      <c r="D1024" t="n">
        <v>4180</v>
      </c>
      <c r="E1024" t="inlineStr">
        <is>
          <t>with patch.object(syncer, "_safe_state_update", side_effect=tracking_update):</t>
        </is>
      </c>
    </row>
    <row r="1025">
      <c r="A1025" t="inlineStr">
        <is>
          <t>archon-search</t>
        </is>
      </c>
      <c r="B1025" t="inlineStr">
        <is>
          <t>/Users/manczg/Documents/development/archon-search/tests/test_sync.py</t>
        </is>
      </c>
      <c r="C1025" t="inlineStr">
        <is>
          <t>tests-05</t>
        </is>
      </c>
      <c r="D1025" t="n">
        <v>4838</v>
      </c>
      <c r="E1025" t="inlineStr">
        <is>
          <t>with patch.object(syncer, "_check_collection_changes") as mock_check:</t>
        </is>
      </c>
    </row>
    <row r="1026">
      <c r="A1026" t="inlineStr">
        <is>
          <t>archon-search</t>
        </is>
      </c>
      <c r="B1026" t="inlineStr">
        <is>
          <t>/Users/manczg/Documents/development/archon-search/tests/test_sync.py</t>
        </is>
      </c>
      <c r="C1026" t="inlineStr">
        <is>
          <t>tests-05</t>
        </is>
      </c>
      <c r="D1026" t="n">
        <v>4862</v>
      </c>
      <c r="E1026" t="inlineStr">
        <is>
          <t>with patch.object(syncer, "_check_collection_changes", return_value=([], [], [], False)) as mock_check, \</t>
        </is>
      </c>
    </row>
    <row r="1027">
      <c r="A1027" t="inlineStr">
        <is>
          <t>archon-search</t>
        </is>
      </c>
      <c r="B1027" t="inlineStr">
        <is>
          <t>/Users/manczg/Documents/development/archon-search/tests/test_sync.py</t>
        </is>
      </c>
      <c r="C1027" t="inlineStr">
        <is>
          <t>tests-05</t>
        </is>
      </c>
      <c r="D1027" t="n">
        <v>4863</v>
      </c>
      <c r="E1027" t="inlineStr">
        <is>
          <t>patch.object(syncer, "_apply_collection_changes", new_callable=AsyncMock) as mock_apply:</t>
        </is>
      </c>
    </row>
    <row r="1028">
      <c r="A1028" t="inlineStr">
        <is>
          <t>archon-search</t>
        </is>
      </c>
      <c r="B1028" t="inlineStr">
        <is>
          <t>/Users/manczg/Documents/development/archon-search/tests/test_sync.py</t>
        </is>
      </c>
      <c r="C1028" t="inlineStr">
        <is>
          <t>tests-05</t>
        </is>
      </c>
      <c r="D1028" t="n">
        <v>4887</v>
      </c>
      <c r="E1028" t="inlineStr">
        <is>
          <t>with patch.object(syncer, "_check_collection_changes", return_value=([new_file], [], [], False)), \</t>
        </is>
      </c>
    </row>
    <row r="1029">
      <c r="A1029" t="inlineStr">
        <is>
          <t>archon-search</t>
        </is>
      </c>
      <c r="B1029" t="inlineStr">
        <is>
          <t>/Users/manczg/Documents/development/archon-search/tests/test_sync.py</t>
        </is>
      </c>
      <c r="C1029" t="inlineStr">
        <is>
          <t>tests-05</t>
        </is>
      </c>
      <c r="D1029" t="n">
        <v>4888</v>
      </c>
      <c r="E1029" t="inlineStr">
        <is>
          <t>patch.object(syncer, "_apply_collection_changes", new_callable=AsyncMock, return_value=None) as mock_apply:</t>
        </is>
      </c>
    </row>
    <row r="1030">
      <c r="A1030" t="inlineStr">
        <is>
          <t>archon-search</t>
        </is>
      </c>
      <c r="B1030" t="inlineStr">
        <is>
          <t>/Users/manczg/Documents/development/archon-search/tests/test_sync.py</t>
        </is>
      </c>
      <c r="C1030" t="inlineStr">
        <is>
          <t>tests-05</t>
        </is>
      </c>
      <c r="D1030" t="n">
        <v>4914</v>
      </c>
      <c r="E1030" t="inlineStr">
        <is>
          <t>with patch.object(syncer, "_check_collection_changes", return_value=([], [], [deleted], False)), \</t>
        </is>
      </c>
    </row>
    <row r="1031">
      <c r="A1031" t="inlineStr">
        <is>
          <t>archon-search</t>
        </is>
      </c>
      <c r="B1031" t="inlineStr">
        <is>
          <t>/Users/manczg/Documents/development/archon-search/tests/test_sync.py</t>
        </is>
      </c>
      <c r="C1031" t="inlineStr">
        <is>
          <t>tests-05</t>
        </is>
      </c>
      <c r="D1031" t="n">
        <v>4915</v>
      </c>
      <c r="E1031" t="inlineStr">
        <is>
          <t>patch.object(syncer, "_apply_collection_changes", new_callable=AsyncMock, return_value=None) as mock_apply:</t>
        </is>
      </c>
    </row>
    <row r="1032">
      <c r="A1032" t="inlineStr">
        <is>
          <t>archon-search</t>
        </is>
      </c>
      <c r="B1032" t="inlineStr">
        <is>
          <t>/Users/manczg/Documents/development/archon-search/tests/test_sync.py</t>
        </is>
      </c>
      <c r="C1032" t="inlineStr">
        <is>
          <t>tests-05</t>
        </is>
      </c>
      <c r="D1032" t="n">
        <v>4954</v>
      </c>
      <c r="E1032" t="inlineStr">
        <is>
          <t>async with syncer._get_lock(name):</t>
        </is>
      </c>
    </row>
    <row r="1033">
      <c r="A1033" t="inlineStr">
        <is>
          <t>archon-search</t>
        </is>
      </c>
      <c r="B1033" t="inlineStr">
        <is>
          <t>/Users/manczg/Documents/development/archon-search/tests/test_sync.py</t>
        </is>
      </c>
      <c r="C1033" t="inlineStr">
        <is>
          <t>tests-05</t>
        </is>
      </c>
      <c r="D1033" t="n">
        <v>4961</v>
      </c>
      <c r="E1033" t="inlineStr">
        <is>
          <t>with patch.object(syncer, "_check_collection_changes", return_value=([new_file], [], [], False)), \</t>
        </is>
      </c>
    </row>
    <row r="1034">
      <c r="A1034" t="inlineStr">
        <is>
          <t>archon-search</t>
        </is>
      </c>
      <c r="B1034" t="inlineStr">
        <is>
          <t>/Users/manczg/Documents/development/archon-search/tests/test_sync.py</t>
        </is>
      </c>
      <c r="C1034" t="inlineStr">
        <is>
          <t>tests-05</t>
        </is>
      </c>
      <c r="D1034" t="n">
        <v>4962</v>
      </c>
      <c r="E1034" t="inlineStr">
        <is>
          <t>patch.object(syncer, "_apply_collection_changes", side_effect=slow_apply):</t>
        </is>
      </c>
    </row>
    <row r="1035">
      <c r="A1035" t="inlineStr">
        <is>
          <t>archon-search</t>
        </is>
      </c>
      <c r="B1035" t="inlineStr">
        <is>
          <t>/Users/manczg/Documents/development/archon-search/tests/test_sync.py</t>
        </is>
      </c>
      <c r="C1035" t="inlineStr">
        <is>
          <t>tests-05</t>
        </is>
      </c>
      <c r="D1035" t="n">
        <v>4988</v>
      </c>
      <c r="E1035" t="inlineStr">
        <is>
          <t>with patch.object(syncer, "_check_collection_changes") as mock_check:</t>
        </is>
      </c>
    </row>
    <row r="1036">
      <c r="A1036" t="inlineStr">
        <is>
          <t>archon-search</t>
        </is>
      </c>
      <c r="B1036" t="inlineStr">
        <is>
          <t>/Users/manczg/Documents/development/archon-search/tests/test_sync.py</t>
        </is>
      </c>
      <c r="C1036" t="inlineStr">
        <is>
          <t>tests-05</t>
        </is>
      </c>
      <c r="D1036" t="n">
        <v>5012</v>
      </c>
      <c r="E1036" t="inlineStr">
        <is>
          <t>with patch.object(syncer, "_check_collection_changes", return_value=([Path("new.md")], [], [], False)), \</t>
        </is>
      </c>
    </row>
    <row r="1037">
      <c r="A1037" t="inlineStr">
        <is>
          <t>archon-search</t>
        </is>
      </c>
      <c r="B1037" t="inlineStr">
        <is>
          <t>/Users/manczg/Documents/development/archon-search/tests/test_sync.py</t>
        </is>
      </c>
      <c r="C1037" t="inlineStr">
        <is>
          <t>tests-05</t>
        </is>
      </c>
      <c r="D1037" t="n">
        <v>5013</v>
      </c>
      <c r="E1037" t="inlineStr">
        <is>
          <t>patch.object(syncer, "_apply_collection_changes", new_callable=AsyncMock, return_value="partial failure") as mock_apply, \</t>
        </is>
      </c>
    </row>
    <row r="1038">
      <c r="A1038" t="inlineStr">
        <is>
          <t>archon-search</t>
        </is>
      </c>
      <c r="B1038" t="inlineStr">
        <is>
          <t>/Users/manczg/Documents/development/archon-search/tests/test_sync.py</t>
        </is>
      </c>
      <c r="C1038" t="inlineStr">
        <is>
          <t>tests-05</t>
        </is>
      </c>
      <c r="D1038" t="n">
        <v>5038</v>
      </c>
      <c r="E1038" t="inlineStr">
        <is>
          <t>with patch.object(syncer, "_check_collection_changes", return_value=([], [changed], [], False)), \</t>
        </is>
      </c>
    </row>
    <row r="1039">
      <c r="A1039" t="inlineStr">
        <is>
          <t>archon-search</t>
        </is>
      </c>
      <c r="B1039" t="inlineStr">
        <is>
          <t>/Users/manczg/Documents/development/archon-search/tests/test_sync.py</t>
        </is>
      </c>
      <c r="C1039" t="inlineStr">
        <is>
          <t>tests-05</t>
        </is>
      </c>
      <c r="D1039" t="n">
        <v>5039</v>
      </c>
      <c r="E1039" t="inlineStr">
        <is>
          <t>patch.object(syncer, "_apply_collection_changes", new_callable=AsyncMock, return_value=None) as mock_apply:</t>
        </is>
      </c>
    </row>
    <row r="1040">
      <c r="A1040" t="inlineStr">
        <is>
          <t>archon-search</t>
        </is>
      </c>
      <c r="B1040" t="inlineStr">
        <is>
          <t>/Users/manczg/Documents/development/archon-search/tests/test_sync.py</t>
        </is>
      </c>
      <c r="C1040" t="inlineStr">
        <is>
          <t>tests-05</t>
        </is>
      </c>
      <c r="D1040" t="n">
        <v>5063</v>
      </c>
      <c r="E1040" t="inlineStr">
        <is>
          <t>with patch.object(syncer, "_check_collection_changes", return_value=([], [], [], False)) as mock_check, \</t>
        </is>
      </c>
    </row>
    <row r="1041">
      <c r="A1041" t="inlineStr">
        <is>
          <t>archon-search</t>
        </is>
      </c>
      <c r="B1041" t="inlineStr">
        <is>
          <t>/Users/manczg/Documents/development/archon-search/tests/test_sync.py</t>
        </is>
      </c>
      <c r="C1041" t="inlineStr">
        <is>
          <t>tests-05</t>
        </is>
      </c>
      <c r="D1041" t="n">
        <v>5064</v>
      </c>
      <c r="E1041" t="inlineStr">
        <is>
          <t>patch.object(syncer, "_apply_collection_changes", new_callable=AsyncMock):</t>
        </is>
      </c>
    </row>
    <row r="1042">
      <c r="A1042" t="inlineStr">
        <is>
          <t>archon-search</t>
        </is>
      </c>
      <c r="B1042" t="inlineStr">
        <is>
          <t>/Users/manczg/Documents/development/archon-search/tests/test_sync.py</t>
        </is>
      </c>
      <c r="C1042" t="inlineStr">
        <is>
          <t>tests-05</t>
        </is>
      </c>
      <c r="D1042" t="n">
        <v>5082</v>
      </c>
      <c r="E1042" t="inlineStr">
        <is>
          <t>Sets up store._config with centroid flags and get_collection_meta.</t>
        </is>
      </c>
    </row>
    <row r="1043">
      <c r="A1043" t="inlineStr">
        <is>
          <t>archon-search</t>
        </is>
      </c>
      <c r="B1043" t="inlineStr">
        <is>
          <t>/Users/manczg/Documents/development/archon-search/tests/test_sync.py</t>
        </is>
      </c>
      <c r="C1043" t="inlineStr">
        <is>
          <t>tests-05</t>
        </is>
      </c>
      <c r="D1043" t="n">
        <v>5090</v>
      </c>
      <c r="E1043" t="inlineStr">
        <is>
          <t>pipeline.store._config = cfg</t>
        </is>
      </c>
    </row>
    <row r="1044">
      <c r="A1044" t="inlineStr">
        <is>
          <t>archon-search</t>
        </is>
      </c>
      <c r="B1044" t="inlineStr">
        <is>
          <t>/Users/manczg/Documents/development/archon-search/tests/test_sync.py</t>
        </is>
      </c>
      <c r="C1044" t="inlineStr">
        <is>
          <t>tests-05</t>
        </is>
      </c>
      <c r="D1044" t="n">
        <v>5214</v>
      </c>
      <c r="E1044" t="inlineStr">
        <is>
          <t>new_f, changed_f, deleted, _ = syncer._check_collection_changes(</t>
        </is>
      </c>
    </row>
    <row r="1045">
      <c r="A1045" t="inlineStr">
        <is>
          <t>archon-search</t>
        </is>
      </c>
      <c r="B1045" t="inlineStr">
        <is>
          <t>/Users/manczg/Documents/development/archon-search/tests/test_sync.py</t>
        </is>
      </c>
      <c r="C1045" t="inlineStr">
        <is>
          <t>tests-05</t>
        </is>
      </c>
      <c r="D1045" t="n">
        <v>5248</v>
      </c>
      <c r="E1045" t="inlineStr">
        <is>
          <t>new_f, changed_f, deleted, _ = syncer._check_collection_changes(</t>
        </is>
      </c>
    </row>
    <row r="1046">
      <c r="A1046" t="inlineStr">
        <is>
          <t>archon-search</t>
        </is>
      </c>
      <c r="B1046" t="inlineStr">
        <is>
          <t>/Users/manczg/Documents/development/archon-search/tests/test_sync.py</t>
        </is>
      </c>
      <c r="C1046" t="inlineStr">
        <is>
          <t>tests-05</t>
        </is>
      </c>
      <c r="D1046" t="n">
        <v>5277</v>
      </c>
      <c r="E1046" t="inlineStr">
        <is>
          <t>new_f, changed_f, deleted, _ = syncer._check_collection_changes(</t>
        </is>
      </c>
    </row>
    <row r="1047">
      <c r="A1047" t="inlineStr">
        <is>
          <t>archon-search</t>
        </is>
      </c>
      <c r="B1047" t="inlineStr">
        <is>
          <t>/Users/manczg/Documents/development/archon-search/tests/test_sync.py</t>
        </is>
      </c>
      <c r="C1047" t="inlineStr">
        <is>
          <t>tests-05</t>
        </is>
      </c>
      <c r="D1047" t="n">
        <v>5305</v>
      </c>
      <c r="E1047" t="inlineStr">
        <is>
          <t>new_f, changed_f, deleted, _ = syncer._check_collection_changes(</t>
        </is>
      </c>
    </row>
    <row r="1048">
      <c r="A1048" t="inlineStr">
        <is>
          <t>archon-search</t>
        </is>
      </c>
      <c r="B1048" t="inlineStr">
        <is>
          <t>/Users/manczg/Documents/development/archon-search/tests/test_sync.py</t>
        </is>
      </c>
      <c r="C1048" t="inlineStr">
        <is>
          <t>tests-05</t>
        </is>
      </c>
      <c r="D1048" t="n">
        <v>5318</v>
      </c>
      <c r="E1048" t="inlineStr">
        <is>
          <t>"""After rename, 'self._embedding_model' must not appear in sync.py."""</t>
        </is>
      </c>
    </row>
    <row r="1049">
      <c r="A1049" t="inlineStr">
        <is>
          <t>archon-search</t>
        </is>
      </c>
      <c r="B1049" t="inlineStr">
        <is>
          <t>/Users/manczg/Documents/development/archon-search/tests/test_sync.py</t>
        </is>
      </c>
      <c r="C1049" t="inlineStr">
        <is>
          <t>tests-05</t>
        </is>
      </c>
      <c r="D1049" t="n">
        <v>5323</v>
      </c>
      <c r="E1049" t="inlineStr">
        <is>
          <t>assert "self._embedding_model" not in source, (</t>
        </is>
      </c>
    </row>
    <row r="1050">
      <c r="A1050" t="inlineStr">
        <is>
          <t>archon-search</t>
        </is>
      </c>
      <c r="B1050" t="inlineStr">
        <is>
          <t>/Users/manczg/Documents/development/archon-search/tests/test_sync.py</t>
        </is>
      </c>
      <c r="C1050" t="inlineStr">
        <is>
          <t>tests-05</t>
        </is>
      </c>
      <c r="D1050" t="n">
        <v>5324</v>
      </c>
      <c r="E1050" t="inlineStr">
        <is>
          <t>"Found 'self._embedding_model' in sync.py — rename to self._global_embedding_model"</t>
        </is>
      </c>
    </row>
    <row r="1051">
      <c r="A1051" t="inlineStr">
        <is>
          <t>archon-search</t>
        </is>
      </c>
      <c r="B1051" t="inlineStr">
        <is>
          <t>/Users/manczg/Documents/development/archon-search/tests/test_sync.py</t>
        </is>
      </c>
      <c r="C1051" t="inlineStr">
        <is>
          <t>tests-05</t>
        </is>
      </c>
      <c r="D1051" t="n">
        <v>5407</v>
      </c>
      <c r="E1051" t="inlineStr">
        <is>
          <t>result = await syncer._apply_collection_changes(</t>
        </is>
      </c>
    </row>
    <row r="1052">
      <c r="A1052" t="inlineStr">
        <is>
          <t>archon-search</t>
        </is>
      </c>
      <c r="B1052" t="inlineStr">
        <is>
          <t>/Users/manczg/Documents/development/archon-search/tests/test_sync.py</t>
        </is>
      </c>
      <c r="C1052" t="inlineStr">
        <is>
          <t>tests-05</t>
        </is>
      </c>
      <c r="D1052" t="n">
        <v>5450</v>
      </c>
      <c r="E1052" t="inlineStr">
        <is>
          <t>result = await syncer._apply_collection_changes(</t>
        </is>
      </c>
    </row>
    <row r="1053">
      <c r="A1053" t="inlineStr">
        <is>
          <t>archon-search</t>
        </is>
      </c>
      <c r="B1053" t="inlineStr">
        <is>
          <t>/Users/manczg/Documents/development/archon-search/tests/test_sync.py</t>
        </is>
      </c>
      <c r="C1053" t="inlineStr">
        <is>
          <t>tests-05</t>
        </is>
      </c>
      <c r="D1053" t="n">
        <v>5470</v>
      </c>
      <c r="E1053" t="inlineStr">
        <is>
          <t>"""After cleanup, 'self._global_embedding_model' must not appear in sync.py."""</t>
        </is>
      </c>
    </row>
    <row r="1054">
      <c r="A1054" t="inlineStr">
        <is>
          <t>archon-search</t>
        </is>
      </c>
      <c r="B1054" t="inlineStr">
        <is>
          <t>/Users/manczg/Documents/development/archon-search/tests/test_sync.py</t>
        </is>
      </c>
      <c r="C1054" t="inlineStr">
        <is>
          <t>tests-05</t>
        </is>
      </c>
      <c r="D1054" t="n">
        <v>5475</v>
      </c>
      <c r="E1054" t="inlineStr">
        <is>
          <t>assert "self._global_embedding_model" not in source, (</t>
        </is>
      </c>
    </row>
    <row r="1055">
      <c r="A1055" t="inlineStr">
        <is>
          <t>archon-search</t>
        </is>
      </c>
      <c r="B1055" t="inlineStr">
        <is>
          <t>/Users/manczg/Documents/development/archon-search/tests/test_sync.py</t>
        </is>
      </c>
      <c r="C1055" t="inlineStr">
        <is>
          <t>tests-05</t>
        </is>
      </c>
      <c r="D1055" t="n">
        <v>5476</v>
      </c>
      <c r="E1055" t="inlineStr">
        <is>
          <t>"Found 'self._global_embedding_model' in sync.py — should be removed after Task 9.2"</t>
        </is>
      </c>
    </row>
    <row r="1056">
      <c r="A1056" t="inlineStr">
        <is>
          <t>archon-search</t>
        </is>
      </c>
      <c r="B1056" t="inlineStr">
        <is>
          <t>/Users/manczg/Documents/development/archon-search/tests/test_sync.py</t>
        </is>
      </c>
      <c r="C1056" t="inlineStr">
        <is>
          <t>tests-05</t>
        </is>
      </c>
      <c r="D1056" t="n">
        <v>5516</v>
      </c>
      <c r="E1056" t="inlineStr">
        <is>
          <t>result = await syncer._ingest_collection(</t>
        </is>
      </c>
    </row>
    <row r="1057">
      <c r="A1057" t="inlineStr">
        <is>
          <t>archon-search</t>
        </is>
      </c>
      <c r="B1057" t="inlineStr">
        <is>
          <t>/Users/manczg/Documents/development/archon-search/tests/test_sync.py</t>
        </is>
      </c>
      <c r="C1057" t="inlineStr">
        <is>
          <t>tests-05</t>
        </is>
      </c>
      <c r="D1057" t="n">
        <v>5530</v>
      </c>
      <c r="E1057" t="inlineStr">
        <is>
          <t>result = await syncer._apply_collection_changes(</t>
        </is>
      </c>
    </row>
    <row r="1058">
      <c r="A1058" t="inlineStr">
        <is>
          <t>archon-search</t>
        </is>
      </c>
      <c r="B1058" t="inlineStr">
        <is>
          <t>/Users/manczg/Documents/development/archon-search/tests/test_sync.py</t>
        </is>
      </c>
      <c r="C1058" t="inlineStr">
        <is>
          <t>tests-05</t>
        </is>
      </c>
      <c r="D1058" t="n">
        <v>5545</v>
      </c>
      <c r="E1058" t="inlineStr">
        <is>
          <t>result = await syncer._apply_collection_changes(</t>
        </is>
      </c>
    </row>
    <row r="1059">
      <c r="A1059" t="inlineStr">
        <is>
          <t>archon-search</t>
        </is>
      </c>
      <c r="B1059" t="inlineStr">
        <is>
          <t>/Users/manczg/Documents/development/archon-search/tests/test_sync.py</t>
        </is>
      </c>
      <c r="C1059" t="inlineStr">
        <is>
          <t>tests-05</t>
        </is>
      </c>
      <c r="D1059" t="n">
        <v>5586</v>
      </c>
      <c r="E1059" t="inlineStr">
        <is>
          <t>await syncer._ingest_collection(</t>
        </is>
      </c>
    </row>
    <row r="1060">
      <c r="A1060" t="inlineStr">
        <is>
          <t>archon-search</t>
        </is>
      </c>
      <c r="B1060" t="inlineStr">
        <is>
          <t>/Users/manczg/Documents/development/archon-search/tests/test_sync.py</t>
        </is>
      </c>
      <c r="C1060" t="inlineStr">
        <is>
          <t>tests-05</t>
        </is>
      </c>
      <c r="D1060" t="n">
        <v>5591</v>
      </c>
      <c r="E1060" t="inlineStr">
        <is>
          <t>await syncer._apply_collection_changes(</t>
        </is>
      </c>
    </row>
    <row r="1061">
      <c r="A1061" t="inlineStr">
        <is>
          <t>archon-search</t>
        </is>
      </c>
      <c r="B1061" t="inlineStr">
        <is>
          <t>/Users/manczg/Documents/development/archon-search/tests/test_sync.py</t>
        </is>
      </c>
      <c r="C1061" t="inlineStr">
        <is>
          <t>tests-05</t>
        </is>
      </c>
      <c r="D1061" t="n">
        <v>5621</v>
      </c>
      <c r="E1061" t="inlineStr">
        <is>
          <t>await syncer._ingest_collection(</t>
        </is>
      </c>
    </row>
    <row r="1062">
      <c r="A1062" t="inlineStr">
        <is>
          <t>archon-search</t>
        </is>
      </c>
      <c r="B1062" t="inlineStr">
        <is>
          <t>/Users/manczg/Documents/development/archon-search/tests/test_sync.py</t>
        </is>
      </c>
      <c r="C1062" t="inlineStr">
        <is>
          <t>tests-05</t>
        </is>
      </c>
      <c r="D1062" t="n">
        <v>5652</v>
      </c>
      <c r="E1062" t="inlineStr">
        <is>
          <t>result = await syncer._apply_collection_changes(</t>
        </is>
      </c>
    </row>
    <row r="1063">
      <c r="A1063" t="inlineStr">
        <is>
          <t>archon-search</t>
        </is>
      </c>
      <c r="B1063" t="inlineStr">
        <is>
          <t>/Users/manczg/Documents/development/archon-search/tests/test_sync.py</t>
        </is>
      </c>
      <c r="C1063" t="inlineStr">
        <is>
          <t>tests-05</t>
        </is>
      </c>
      <c r="D1063" t="n">
        <v>5693</v>
      </c>
      <c r="E1063" t="inlineStr">
        <is>
          <t>result = await syncer._apply_collection_changes(</t>
        </is>
      </c>
    </row>
    <row r="1064">
      <c r="A1064" t="inlineStr">
        <is>
          <t>archon-search</t>
        </is>
      </c>
      <c r="B1064" t="inlineStr">
        <is>
          <t>/Users/manczg/Documents/development/archon-search/tests/test_sync.py</t>
        </is>
      </c>
      <c r="C1064" t="inlineStr">
        <is>
          <t>tests-05</t>
        </is>
      </c>
      <c r="D1064" t="n">
        <v>5710</v>
      </c>
      <c r="E1064" t="inlineStr">
        <is>
          <t>assert call_kwargs.kwargs.get("embedder") is pipeline._global_embedder</t>
        </is>
      </c>
    </row>
    <row r="1065">
      <c r="A1065" t="inlineStr">
        <is>
          <t>archon-search</t>
        </is>
      </c>
      <c r="B1065" t="inlineStr">
        <is>
          <t>/Users/manczg/Documents/development/archon-search/tests/test_sync.py</t>
        </is>
      </c>
      <c r="C1065" t="inlineStr">
        <is>
          <t>tests-05</t>
        </is>
      </c>
      <c r="D1065" t="n">
        <v>5726</v>
      </c>
      <c r="E1065" t="inlineStr">
        <is>
          <t>pipeline._global_embedder = sentinel_embedder</t>
        </is>
      </c>
    </row>
    <row r="1066">
      <c r="A1066" t="inlineStr">
        <is>
          <t>archon-search</t>
        </is>
      </c>
      <c r="B1066" t="inlineStr">
        <is>
          <t>/Users/manczg/Documents/development/archon-search/tests/test_sync.py</t>
        </is>
      </c>
      <c r="C1066" t="inlineStr">
        <is>
          <t>tests-05</t>
        </is>
      </c>
      <c r="D1066" t="n">
        <v>5731</v>
      </c>
      <c r="E1066" t="inlineStr">
        <is>
          <t>await syncer._ingest_collection(</t>
        </is>
      </c>
    </row>
    <row r="1067">
      <c r="A1067" t="inlineStr">
        <is>
          <t>archon-search</t>
        </is>
      </c>
      <c r="B1067" t="inlineStr">
        <is>
          <t>/Users/manczg/Documents/development/archon-search/tests/test_sync.py</t>
        </is>
      </c>
      <c r="C1067" t="inlineStr">
        <is>
          <t>tests-06</t>
        </is>
      </c>
      <c r="D1067" t="n">
        <v>3509</v>
      </c>
      <c r="E1067" t="inlineStr">
        <is>
          <t>self._real = real</t>
        </is>
      </c>
    </row>
    <row r="1068">
      <c r="A1068" t="inlineStr">
        <is>
          <t>archon-search</t>
        </is>
      </c>
      <c r="B1068" t="inlineStr">
        <is>
          <t>/Users/manczg/Documents/development/archon-search/tests/test_sync.py</t>
        </is>
      </c>
      <c r="C1068" t="inlineStr">
        <is>
          <t>tests-09</t>
        </is>
      </c>
      <c r="D1068" t="n">
        <v>1021</v>
      </c>
      <c r="E1068" t="inlineStr">
        <is>
          <t>def test_write_manifest_oserror_swallowed_by_safe_state_update(self, tmp_path: Path) -&gt; None:</t>
        </is>
      </c>
    </row>
    <row r="1069">
      <c r="A1069" t="inlineStr">
        <is>
          <t>archon-search</t>
        </is>
      </c>
      <c r="B1069" t="inlineStr">
        <is>
          <t>/Users/manczg/Documents/development/archon-search/tests/test_sync.py</t>
        </is>
      </c>
      <c r="C1069" t="inlineStr">
        <is>
          <t>tests-09</t>
        </is>
      </c>
      <c r="D1069" t="n">
        <v>1045</v>
      </c>
      <c r="E1069" t="inlineStr">
        <is>
          <t>def test_manifest_remove_entry_noop_if_missing(self, tmp_path: Path) -&gt; None:</t>
        </is>
      </c>
    </row>
    <row r="1070">
      <c r="A1070" t="inlineStr">
        <is>
          <t>archon-search</t>
        </is>
      </c>
      <c r="B1070" t="inlineStr">
        <is>
          <t>/Users/manczg/Documents/development/archon-search/tests/test_sync.py</t>
        </is>
      </c>
      <c r="C1070" t="inlineStr">
        <is>
          <t>tests-09</t>
        </is>
      </c>
      <c r="D1070" t="n">
        <v>1052</v>
      </c>
      <c r="E1070" t="inlineStr">
        <is>
          <t>def test_manifest_remove_entry_swallows_oserror(self, tmp_path: Path) -&gt; None:</t>
        </is>
      </c>
    </row>
    <row r="1071">
      <c r="A1071" t="inlineStr">
        <is>
          <t>moonset</t>
        </is>
      </c>
      <c r="B1071" t="inlineStr">
        <is>
          <t>/Users/manczg/Documents/development/moonset/moonset-app/MoonsetApp/Presentation/ViewModels/SleepTimerViewModel.swift</t>
        </is>
      </c>
      <c r="C1071" t="inlineStr">
        <is>
          <t>arch-05</t>
        </is>
      </c>
      <c r="D1071" t="n">
        <v>447</v>
      </c>
      <c r="E1071" t="inlineStr">
        <is>
          <t>errorMessage = error.localizedDescription</t>
        </is>
      </c>
    </row>
    <row r="1072">
      <c r="A1072" t="inlineStr">
        <is>
          <t>moonset</t>
        </is>
      </c>
      <c r="B1072" t="inlineStr">
        <is>
          <t>/Users/manczg/Documents/development/moonset/moonset-app/MoonsetApp/Presentation/ViewModels/SleepTimerViewModel.swift</t>
        </is>
      </c>
      <c r="C1072" t="inlineStr">
        <is>
          <t>arch-05</t>
        </is>
      </c>
      <c r="D1072" t="n">
        <v>490</v>
      </c>
      <c r="E1072" t="inlineStr">
        <is>
          <t>errorMessage = error.localizedDescription</t>
        </is>
      </c>
    </row>
    <row r="1073">
      <c r="A1073" t="inlineStr">
        <is>
          <t>moonset</t>
        </is>
      </c>
      <c r="B1073" t="inlineStr">
        <is>
          <t>/Users/manczg/Documents/development/moonset/moonset-app/MoonsetApp/Presentation/ViewModels/SleepTimerViewModel.swift</t>
        </is>
      </c>
      <c r="C1073" t="inlineStr">
        <is>
          <t>arch-05</t>
        </is>
      </c>
      <c r="D1073" t="n">
        <v>543</v>
      </c>
      <c r="E1073" t="inlineStr">
        <is>
          <t>errorMessage = error.localizedDescription</t>
        </is>
      </c>
    </row>
    <row r="1074">
      <c r="A1074" t="inlineStr">
        <is>
          <t>moonset</t>
        </is>
      </c>
      <c r="B1074" t="inlineStr">
        <is>
          <t>/Users/manczg/Documents/development/moonset/moonset-app/MoonsetApp/Presentation/ViewModels/SleepTimerViewModel.swift</t>
        </is>
      </c>
      <c r="C1074" t="inlineStr">
        <is>
          <t>arch-05</t>
        </is>
      </c>
      <c r="D1074" t="n">
        <v>918</v>
      </c>
      <c r="E1074" t="inlineStr">
        <is>
          <t>errorMessage = error.localizedDescription</t>
        </is>
      </c>
    </row>
    <row r="1075">
      <c r="A1075" t="inlineStr">
        <is>
          <t>moonset</t>
        </is>
      </c>
      <c r="B1075" t="inlineStr">
        <is>
          <t>/Users/manczg/Documents/development/moonset/moonset-app/MoonsetApp/Presentation/ViewModels/SleepTimerViewModel.swift</t>
        </is>
      </c>
      <c r="C1075" t="inlineStr">
        <is>
          <t>safety-03</t>
        </is>
      </c>
      <c r="D1075" t="n">
        <v>354</v>
      </c>
      <c r="E1075" t="inlineStr">
        <is>
          <t>Task { try? await musicPreferenceService?.savePreference(pref) }</t>
        </is>
      </c>
    </row>
    <row r="1076">
      <c r="A1076" t="inlineStr">
        <is>
          <t>moonset</t>
        </is>
      </c>
      <c r="B1076" t="inlineStr">
        <is>
          <t>/Users/manczg/Documents/development/moonset/moonset-app/MoonsetApp/Presentation/ViewModels/SleepTimerViewModel.swift</t>
        </is>
      </c>
      <c r="C1076" t="inlineStr">
        <is>
          <t>safety-03</t>
        </is>
      </c>
      <c r="D1076" t="n">
        <v>671</v>
      </c>
      <c r="E1076" t="inlineStr">
        <is>
          <t>Task {</t>
        </is>
      </c>
    </row>
    <row r="1077">
      <c r="A1077" t="inlineStr">
        <is>
          <t>moonset</t>
        </is>
      </c>
      <c r="B1077" t="inlineStr">
        <is>
          <t>/Users/manczg/Documents/development/moonset/moonset-app/MoonsetApp/Presentation/ViewModels/SleepTimerViewModel.swift</t>
        </is>
      </c>
      <c r="C1077" t="inlineStr">
        <is>
          <t>smells-01</t>
        </is>
      </c>
      <c r="D1077" t="n">
        <v>1</v>
      </c>
      <c r="E1077" t="inlineStr">
        <is>
          <t>file-level: 1003 lines</t>
        </is>
      </c>
    </row>
    <row r="1078">
      <c r="A1078" t="inlineStr">
        <is>
          <t>moonset</t>
        </is>
      </c>
      <c r="B1078" t="inlineStr">
        <is>
          <t>/Users/manczg/Documents/development/moonset/moonset-app/MoonsetApp/Presentation/ViewModels/SleepTimerViewModel.swift</t>
        </is>
      </c>
      <c r="C1078" t="inlineStr">
        <is>
          <t>smells-02</t>
        </is>
      </c>
      <c r="D1078" t="n">
        <v>212</v>
      </c>
      <c r="E1078" t="inlineStr">
        <is>
          <t>init(</t>
        </is>
      </c>
    </row>
    <row r="1079">
      <c r="A1079" t="inlineStr">
        <is>
          <t>moonset</t>
        </is>
      </c>
      <c r="B1079" t="inlineStr">
        <is>
          <t>/Users/manczg/Documents/development/moonset/moonset-app/MoonsetApp/Presentation/ViewModels/SleepTimerViewModel.swift</t>
        </is>
      </c>
      <c r="C1079" t="inlineStr">
        <is>
          <t>smells-08</t>
        </is>
      </c>
      <c r="D1079" t="n">
        <v>189</v>
      </c>
      <c r="E1079" t="inlineStr">
        <is>
          <t>availableMusicTracks.indices.contains(idx) else { return nil }</t>
        </is>
      </c>
    </row>
    <row r="1080">
      <c r="A1080" t="inlineStr">
        <is>
          <t>moonset</t>
        </is>
      </c>
      <c r="B1080" t="inlineStr">
        <is>
          <t>/Users/manczg/Documents/development/moonset/moonset-app/MoonsetApp/Presentation/ViewModels/SleepTimerViewModel.swift</t>
        </is>
      </c>
      <c r="C1080" t="inlineStr">
        <is>
          <t>smells-08</t>
        </is>
      </c>
      <c r="D1080" t="n">
        <v>217</v>
      </c>
      <c r="E1080" t="inlineStr">
        <is>
          <t>audioService: AudioServiceProtocol? = nil,</t>
        </is>
      </c>
    </row>
    <row r="1081">
      <c r="A1081" t="inlineStr">
        <is>
          <t>moonset</t>
        </is>
      </c>
      <c r="B1081" t="inlineStr">
        <is>
          <t>/Users/manczg/Documents/development/moonset/moonset-app/MoonsetApp/Presentation/ViewModels/SleepTimerViewModel.swift</t>
        </is>
      </c>
      <c r="C1081" t="inlineStr">
        <is>
          <t>smells-08</t>
        </is>
      </c>
      <c r="D1081" t="n">
        <v>218</v>
      </c>
      <c r="E1081" t="inlineStr">
        <is>
          <t>soundPreferenceService: SoundPreferenceServiceProtocol? = nil,</t>
        </is>
      </c>
    </row>
    <row r="1082">
      <c r="A1082" t="inlineStr">
        <is>
          <t>moonset</t>
        </is>
      </c>
      <c r="B1082" t="inlineStr">
        <is>
          <t>/Users/manczg/Documents/development/moonset/moonset-app/MoonsetApp/Presentation/ViewModels/SleepTimerViewModel.swift</t>
        </is>
      </c>
      <c r="C1082" t="inlineStr">
        <is>
          <t>smells-08</t>
        </is>
      </c>
      <c r="D1082" t="n">
        <v>219</v>
      </c>
      <c r="E1082" t="inlineStr">
        <is>
          <t>musicPreferenceService: MusicPreferenceServiceProtocol? = nil</t>
        </is>
      </c>
    </row>
    <row r="1083">
      <c r="A1083" t="inlineStr">
        <is>
          <t>moonset</t>
        </is>
      </c>
      <c r="B1083" t="inlineStr">
        <is>
          <t>/Users/manczg/Documents/development/moonset/moonset-app/MoonsetApp/Presentation/ViewModels/SleepTimerViewModel.swift</t>
        </is>
      </c>
      <c r="C1083" t="inlineStr">
        <is>
          <t>smells-12</t>
        </is>
      </c>
      <c r="D1083" t="n">
        <v>295</v>
      </c>
      <c r="E1083" t="inlineStr">
        <is>
          <t>} catch {</t>
        </is>
      </c>
    </row>
    <row r="1084">
      <c r="A1084" t="inlineStr">
        <is>
          <t>moonset</t>
        </is>
      </c>
      <c r="B1084" t="inlineStr">
        <is>
          <t>/Users/manczg/Documents/development/moonset/moonset-app/MoonsetApp/Presentation/ViewModels/SleepTimerViewModel.swift</t>
        </is>
      </c>
      <c r="C1084" t="inlineStr">
        <is>
          <t>smells-12</t>
        </is>
      </c>
      <c r="D1084" t="n">
        <v>339</v>
      </c>
      <c r="E1084" t="inlineStr">
        <is>
          <t>try? audioService?.play(tracks: all)</t>
        </is>
      </c>
    </row>
    <row r="1085">
      <c r="A1085" t="inlineStr">
        <is>
          <t>moonset</t>
        </is>
      </c>
      <c r="B1085" t="inlineStr">
        <is>
          <t>/Users/manczg/Documents/development/moonset/moonset-app/MoonsetApp/Presentation/ViewModels/SleepTimerViewModel.swift</t>
        </is>
      </c>
      <c r="C1085" t="inlineStr">
        <is>
          <t>smells-12</t>
        </is>
      </c>
      <c r="D1085" t="n">
        <v>380</v>
      </c>
      <c r="E1085" t="inlineStr">
        <is>
          <t>try? audioService?.play(tracks: resolvedSounds)</t>
        </is>
      </c>
    </row>
    <row r="1086">
      <c r="A1086" t="inlineStr">
        <is>
          <t>moonset</t>
        </is>
      </c>
      <c r="B1086" t="inlineStr">
        <is>
          <t>/Users/manczg/Documents/development/moonset/moonset-app/MoonsetApp/Presentation/ViewModels/SleepTimerViewModel.swift</t>
        </is>
      </c>
      <c r="C1086" t="inlineStr">
        <is>
          <t>smells-12</t>
        </is>
      </c>
      <c r="D1086" t="n">
        <v>399</v>
      </c>
      <c r="E1086" t="inlineStr">
        <is>
          <t>try? audioService?.play(tracks: resolvedMusic)</t>
        </is>
      </c>
    </row>
    <row r="1087">
      <c r="A1087" t="inlineStr">
        <is>
          <t>moonset</t>
        </is>
      </c>
      <c r="B1087" t="inlineStr">
        <is>
          <t>/Users/manczg/Documents/development/moonset/moonset-app/MoonsetApp/Presentation/ViewModels/SleepTimerViewModel.swift</t>
        </is>
      </c>
      <c r="C1087" t="inlineStr">
        <is>
          <t>smells-12</t>
        </is>
      </c>
      <c r="D1087" t="n">
        <v>441</v>
      </c>
      <c r="E1087" t="inlineStr">
        <is>
          <t>try? audioService?.play(tracks: all)</t>
        </is>
      </c>
    </row>
    <row r="1088">
      <c r="A1088" t="inlineStr">
        <is>
          <t>moonset</t>
        </is>
      </c>
      <c r="B1088" t="inlineStr">
        <is>
          <t>/Users/manczg/Documents/development/moonset/moonset-app/MoonsetApp/Presentation/ViewModels/SleepTimerViewModel.swift</t>
        </is>
      </c>
      <c r="C1088" t="inlineStr">
        <is>
          <t>smells-12</t>
        </is>
      </c>
      <c r="D1088" t="n">
        <v>526</v>
      </c>
      <c r="E1088" t="inlineStr">
        <is>
          <t>try? audioService?.play(tracks: all)</t>
        </is>
      </c>
    </row>
    <row r="1089">
      <c r="A1089" t="inlineStr">
        <is>
          <t>moonset</t>
        </is>
      </c>
      <c r="B1089" t="inlineStr">
        <is>
          <t>/Users/manczg/Documents/development/moonset/moonset-app/MoonsetApp/Presentation/ViewModels/SleepTimerViewModel.swift</t>
        </is>
      </c>
      <c r="C1089" t="inlineStr">
        <is>
          <t>smells-12</t>
        </is>
      </c>
      <c r="D1089" t="n">
        <v>590</v>
      </c>
      <c r="E1089" t="inlineStr">
        <is>
          <t>try? audioService?.play(tracks: all)</t>
        </is>
      </c>
    </row>
    <row r="1090">
      <c r="A1090" t="inlineStr">
        <is>
          <t>moonset</t>
        </is>
      </c>
      <c r="B1090" t="inlineStr">
        <is>
          <t>/Users/manczg/Documents/development/moonset/moonset-app/MoonsetApp/Presentation/ViewModels/SleepTimerViewModel.swift</t>
        </is>
      </c>
      <c r="C1090" t="inlineStr">
        <is>
          <t>smells-12</t>
        </is>
      </c>
      <c r="D1090" t="n">
        <v>597</v>
      </c>
      <c r="E1090" t="inlineStr">
        <is>
          <t>} catch {</t>
        </is>
      </c>
    </row>
    <row r="1091">
      <c r="A1091" t="inlineStr">
        <is>
          <t>moonset</t>
        </is>
      </c>
      <c r="B1091" t="inlineStr">
        <is>
          <t>/Users/manczg/Documents/development/moonset/moonset-app/MoonsetApp/Presentation/ViewModels/SleepTimerViewModel.swift</t>
        </is>
      </c>
      <c r="C1091" t="inlineStr">
        <is>
          <t>smells-12</t>
        </is>
      </c>
      <c r="D1091" t="n">
        <v>629</v>
      </c>
      <c r="E1091" t="inlineStr">
        <is>
          <t>} catch {</t>
        </is>
      </c>
    </row>
    <row r="1092">
      <c r="A1092" t="inlineStr">
        <is>
          <t>moonset</t>
        </is>
      </c>
      <c r="B1092" t="inlineStr">
        <is>
          <t>/Users/manczg/Documents/development/moonset/moonset-app/MoonsetApp/Presentation/ViewModels/SleepTimerViewModel.swift</t>
        </is>
      </c>
      <c r="C1092" t="inlineStr">
        <is>
          <t>smells-12</t>
        </is>
      </c>
      <c r="D1092" t="n">
        <v>672</v>
      </c>
      <c r="E1092" t="inlineStr">
        <is>
          <t>try? await soundPreferenceService?.savePreference(pref)</t>
        </is>
      </c>
    </row>
    <row r="1093">
      <c r="A1093" t="inlineStr">
        <is>
          <t>moonset</t>
        </is>
      </c>
      <c r="B1093" t="inlineStr">
        <is>
          <t>/Users/manczg/Documents/development/moonset/moonset-app/MoonsetApp/Presentation/ViewModels/SleepTimerViewModel.swift</t>
        </is>
      </c>
      <c r="C1093" t="inlineStr">
        <is>
          <t>smells-12</t>
        </is>
      </c>
      <c r="D1093" t="n">
        <v>776</v>
      </c>
      <c r="E1093" t="inlineStr">
        <is>
          <t>} catch {</t>
        </is>
      </c>
    </row>
    <row r="1094">
      <c r="A1094" t="inlineStr">
        <is>
          <t>moonset</t>
        </is>
      </c>
      <c r="B1094" t="inlineStr">
        <is>
          <t>/Users/manczg/Documents/development/moonset/moonset-app/MoonsetApp/Presentation/ViewModels/SleepTimerViewModel.swift</t>
        </is>
      </c>
      <c r="C1094" t="inlineStr">
        <is>
          <t>solid-06</t>
        </is>
      </c>
      <c r="D1094" t="n">
        <v>102</v>
      </c>
      <c r="E1094" t="inlineStr">
        <is>
          <t>@Published var isPickerPresented: Bool = false</t>
        </is>
      </c>
    </row>
    <row r="1095">
      <c r="A1095" t="inlineStr">
        <is>
          <t>moonset</t>
        </is>
      </c>
      <c r="B1095" t="inlineStr">
        <is>
          <t>/Users/manczg/Documents/development/moonset/moonset-app/MoonsetApp/Presentation/ViewModels/SleepTimerViewModel.swift</t>
        </is>
      </c>
      <c r="C1095" t="inlineStr">
        <is>
          <t>solid-06</t>
        </is>
      </c>
      <c r="D1095" t="n">
        <v>105</v>
      </c>
      <c r="E1095" t="inlineStr">
        <is>
          <t>@Published var pickerHours: Int = 0</t>
        </is>
      </c>
    </row>
    <row r="1096">
      <c r="A1096" t="inlineStr">
        <is>
          <t>moonset</t>
        </is>
      </c>
      <c r="B1096" t="inlineStr">
        <is>
          <t>/Users/manczg/Documents/development/moonset/moonset-app/MoonsetApp/Presentation/ViewModels/SleepTimerViewModel.swift</t>
        </is>
      </c>
      <c r="C1096" t="inlineStr">
        <is>
          <t>solid-06</t>
        </is>
      </c>
      <c r="D1096" t="n">
        <v>108</v>
      </c>
      <c r="E1096" t="inlineStr">
        <is>
          <t>@Published var pickerMinutes: Int = 16</t>
        </is>
      </c>
    </row>
    <row r="1097">
      <c r="A1097" t="inlineStr">
        <is>
          <t>moonset</t>
        </is>
      </c>
      <c r="B1097" t="inlineStr">
        <is>
          <t>/Users/manczg/Documents/development/moonset/moonset-app/MoonsetApp/Presentation/ViewModels/SleepTimerViewModel.swift</t>
        </is>
      </c>
      <c r="C1097" t="inlineStr">
        <is>
          <t>solid-06</t>
        </is>
      </c>
      <c r="D1097" t="n">
        <v>114</v>
      </c>
      <c r="E1097" t="inlineStr">
        <is>
          <t>@Published var selectedTrackIndices: Set&lt;Int&gt; = []</t>
        </is>
      </c>
    </row>
    <row r="1098">
      <c r="A1098" t="inlineStr">
        <is>
          <t>moonset</t>
        </is>
      </c>
      <c r="B1098" t="inlineStr">
        <is>
          <t>/Users/manczg/Documents/development/moonset/moonset-app/MoonsetApp/Presentation/ViewModels/SleepTimerViewModel.swift</t>
        </is>
      </c>
      <c r="C1098" t="inlineStr">
        <is>
          <t>solid-06</t>
        </is>
      </c>
      <c r="D1098" t="n">
        <v>121</v>
      </c>
      <c r="E1098" t="inlineStr">
        <is>
          <t>@Published var selectedMusicIndex: Int? = nil</t>
        </is>
      </c>
    </row>
    <row r="1099">
      <c r="A1099" t="inlineStr">
        <is>
          <t>moonset</t>
        </is>
      </c>
      <c r="B1099" t="inlineStr">
        <is>
          <t>/Users/manczg/Documents/development/moonset/moonset-app/MoonsetApp/Presentation/ViewModels/SleepTimerViewModel.swift</t>
        </is>
      </c>
      <c r="C1099" t="inlineStr">
        <is>
          <t>solid-06</t>
        </is>
      </c>
      <c r="D1099" t="n">
        <v>126</v>
      </c>
      <c r="E1099" t="inlineStr">
        <is>
          <t>@Published var isAudioSetupPresented: Bool = false</t>
        </is>
      </c>
    </row>
    <row r="1100">
      <c r="A1100" t="inlineStr">
        <is>
          <t>moonset</t>
        </is>
      </c>
      <c r="B1100" t="inlineStr">
        <is>
          <t>/Users/manczg/Documents/development/moonset/moonset-app/MoonsetApp/Presentation/ViewModels/SleepTimerViewModel.swift</t>
        </is>
      </c>
      <c r="C1100" t="inlineStr">
        <is>
          <t>solid-08</t>
        </is>
      </c>
      <c r="D1100" t="n">
        <v>181</v>
      </c>
      <c r="E1100" t="inlineStr">
        <is>
          <t>var isMusicTrackActive: Bool { selectedMusicTrack != nil }</t>
        </is>
      </c>
    </row>
    <row r="1101">
      <c r="A1101" t="inlineStr">
        <is>
          <t>moonset</t>
        </is>
      </c>
      <c r="B1101" t="inlineStr">
        <is>
          <t>/Users/manczg/Documents/development/moonset/moonset-app/MoonsetApp/Presentation/Views/SleepTimerView.swift</t>
        </is>
      </c>
      <c r="C1101" t="inlineStr">
        <is>
          <t>clarity-17</t>
        </is>
      </c>
      <c r="D1101" t="n">
        <v>147</v>
      </c>
      <c r="E1101" t="inlineStr">
        <is>
          <t>var body: some View {</t>
        </is>
      </c>
    </row>
    <row r="1102">
      <c r="A1102" t="inlineStr">
        <is>
          <t>moonset</t>
        </is>
      </c>
      <c r="B1102" t="inlineStr">
        <is>
          <t>/Users/manczg/Documents/development/moonset/moonset-app/MoonsetApp/Presentation/Views/SleepTimerView.swift</t>
        </is>
      </c>
      <c r="C1102" t="inlineStr">
        <is>
          <t>safety-11</t>
        </is>
      </c>
      <c r="D1102" t="n">
        <v>253</v>
      </c>
      <c r="E1102" t="inlineStr">
        <is>
          <t>rotationSegmentStart = Date()</t>
        </is>
      </c>
    </row>
    <row r="1103">
      <c r="A1103" t="inlineStr">
        <is>
          <t>moonset</t>
        </is>
      </c>
      <c r="B1103" t="inlineStr">
        <is>
          <t>/Users/manczg/Documents/development/moonset/moonset-app/MoonsetApp/Presentation/Views/SleepTimerView.swift</t>
        </is>
      </c>
      <c r="C1103" t="inlineStr">
        <is>
          <t>safety-11</t>
        </is>
      </c>
      <c r="D1103" t="n">
        <v>257</v>
      </c>
      <c r="E1103" t="inlineStr">
        <is>
          <t>rotationOffset += Date().timeIntervalSince(start) * Self.rotationDegreesPerSecond</t>
        </is>
      </c>
    </row>
    <row r="1104">
      <c r="A1104" t="inlineStr">
        <is>
          <t>moonset</t>
        </is>
      </c>
      <c r="B1104" t="inlineStr">
        <is>
          <t>/Users/manczg/Documents/development/moonset/moonset-app/MoonsetApp/Presentation/Views/SleepTimerView.swift</t>
        </is>
      </c>
      <c r="C1104" t="inlineStr">
        <is>
          <t>solid-15</t>
        </is>
      </c>
      <c r="D1104" t="n">
        <v>346</v>
      </c>
      <c r="E1104" t="inlineStr">
        <is>
          <t>switch viewModel.timerState {</t>
        </is>
      </c>
    </row>
    <row r="1105">
      <c r="A1105" t="inlineStr">
        <is>
          <t>moonset</t>
        </is>
      </c>
      <c r="B1105" t="inlineStr">
        <is>
          <t>/Users/manczg/Documents/development/moonset/moonset-app/MoonsetApp/Presentation/Views/Components/ControlButtonsView.swift</t>
        </is>
      </c>
      <c r="C1105" t="inlineStr">
        <is>
          <t>solid-10</t>
        </is>
      </c>
      <c r="D1105" t="n">
        <v>85</v>
      </c>
      <c r="E1105" t="inlineStr">
        <is>
          <t>private let generator = UINotificationFeedbackGenerator()</t>
        </is>
      </c>
    </row>
    <row r="1106">
      <c r="A1106" t="inlineStr">
        <is>
          <t>moonset</t>
        </is>
      </c>
      <c r="B1106" t="inlineStr">
        <is>
          <t>/Users/manczg/Documents/development/moonset/moonset-app/MoonsetApp/Presentation/Views/Components/ControlButtonsView.swift</t>
        </is>
      </c>
      <c r="C1106" t="inlineStr">
        <is>
          <t>solid-10</t>
        </is>
      </c>
      <c r="D1106" t="n">
        <v>86</v>
      </c>
      <c r="E1106" t="inlineStr">
        <is>
          <t>private let impact = UIImpactFeedbackGenerator(style: .heavy)</t>
        </is>
      </c>
    </row>
    <row r="1107">
      <c r="A1107" t="inlineStr">
        <is>
          <t>moonset</t>
        </is>
      </c>
      <c r="B1107" t="inlineStr">
        <is>
          <t>/Users/manczg/Documents/development/moonset/moonset-app/MoonsetApp/Presentation/Views/Components/ControlButtonsView.swift</t>
        </is>
      </c>
      <c r="C1107" t="inlineStr">
        <is>
          <t>tests-01</t>
        </is>
      </c>
      <c r="D1107" t="n">
        <v>44</v>
      </c>
      <c r="E1107" t="inlineStr">
        <is>
          <t>struct ControlButtonsView: View {</t>
        </is>
      </c>
    </row>
    <row r="1108">
      <c r="A1108" t="inlineStr">
        <is>
          <t>moonset</t>
        </is>
      </c>
      <c r="B1108" t="inlineStr">
        <is>
          <t>/Users/manczg/Documents/development/moonset/moonset-app/MoonsetApp/Infrastructure/Audio/AVFoundationAudioService.swift</t>
        </is>
      </c>
      <c r="C1108" t="inlineStr">
        <is>
          <t>clarity-16</t>
        </is>
      </c>
      <c r="D1108" t="n">
        <v>62</v>
      </c>
      <c r="E1108" t="inlineStr">
        <is>
          <t>func play(tracks: [AudioTrack]) throws {</t>
        </is>
      </c>
    </row>
    <row r="1109">
      <c r="A1109" t="inlineStr">
        <is>
          <t>moonset</t>
        </is>
      </c>
      <c r="B1109" t="inlineStr">
        <is>
          <t>/Users/manczg/Documents/development/moonset/moonset-app/MoonsetApp/Infrastructure/Audio/AVFoundationAudioService.swift</t>
        </is>
      </c>
      <c r="C1109" t="inlineStr">
        <is>
          <t>safety-05</t>
        </is>
      </c>
      <c r="D1109" t="n">
        <v>249</v>
      </c>
      <c r="E1109" t="inlineStr">
        <is>
          <t>if options.contains(.shouldResume) {</t>
        </is>
      </c>
    </row>
    <row r="1110">
      <c r="A1110" t="inlineStr">
        <is>
          <t>moonset</t>
        </is>
      </c>
      <c r="B1110" t="inlineStr">
        <is>
          <t>/Users/manczg/Documents/development/moonset/moonset-app/MoonsetApp/Infrastructure/Audio/AVFoundationAudioService.swift</t>
        </is>
      </c>
      <c r="C1110" t="inlineStr">
        <is>
          <t>smells-03</t>
        </is>
      </c>
      <c r="D1110" t="n">
        <v>172</v>
      </c>
      <c r="E1110" t="inlineStr">
        <is>
          <t>func audioPlayerDidFinishPlaying(_ player: AVAudioPlayer, successfully flag: Bool) {</t>
        </is>
      </c>
    </row>
    <row r="1111">
      <c r="A1111" t="inlineStr">
        <is>
          <t>moonset</t>
        </is>
      </c>
      <c r="B1111" t="inlineStr">
        <is>
          <t>/Users/manczg/Documents/development/moonset/moonset-app/MoonsetApp/Infrastructure/Audio/AVFoundationAudioService.swift</t>
        </is>
      </c>
      <c r="C1111" t="inlineStr">
        <is>
          <t>smells-12</t>
        </is>
      </c>
      <c r="D1111" t="n">
        <v>150</v>
      </c>
      <c r="E1111" t="inlineStr">
        <is>
          <t>try? AVAudioSession.sharedInstance().setActive(false, options: .notifyOthersOnDeactivation)</t>
        </is>
      </c>
    </row>
    <row r="1112">
      <c r="A1112" t="inlineStr">
        <is>
          <t>moonset</t>
        </is>
      </c>
      <c r="B1112" t="inlineStr">
        <is>
          <t>/Users/manczg/Documents/development/moonset/moonset-app/MoonsetApp/Infrastructure/Audio/AVFoundationAudioService.swift</t>
        </is>
      </c>
      <c r="C1112" t="inlineStr">
        <is>
          <t>solid-07</t>
        </is>
      </c>
      <c r="D1112" t="n">
        <v>42</v>
      </c>
      <c r="E1112" t="inlineStr">
        <is>
          <t>internal func currentVolume(forTrackId trackId: String) -&gt; Float? {</t>
        </is>
      </c>
    </row>
    <row r="1113">
      <c r="A1113" t="inlineStr">
        <is>
          <t>moonset</t>
        </is>
      </c>
      <c r="B1113" t="inlineStr">
        <is>
          <t>/Users/manczg/Documents/development/moonset/moonset-app/MoonsetApp/Infrastructure/Audio/AVFoundationAudioService.swift</t>
        </is>
      </c>
      <c r="C1113" t="inlineStr">
        <is>
          <t>solid-07</t>
        </is>
      </c>
      <c r="D1113" t="n">
        <v>188</v>
      </c>
      <c r="E1113" t="inlineStr">
        <is>
          <t>private func startFadeIn(for trackId: String, player: AVAudioPlayer) {</t>
        </is>
      </c>
    </row>
    <row r="1114">
      <c r="A1114" t="inlineStr">
        <is>
          <t>moonset</t>
        </is>
      </c>
      <c r="B1114" t="inlineStr">
        <is>
          <t>/Users/manczg/Documents/development/moonset/moonset-app/MoonsetApp/Infrastructure/Audio/AVFoundationAudioService.swift</t>
        </is>
      </c>
      <c r="C1114" t="inlineStr">
        <is>
          <t>solid-07</t>
        </is>
      </c>
      <c r="D1114" t="n">
        <v>196</v>
      </c>
      <c r="E1114" t="inlineStr">
        <is>
          <t>private func scheduleFadeOut(for trackId: String, player: AVAudioPlayer, afterRemaining remaining: TimeInterval) {</t>
        </is>
      </c>
    </row>
    <row r="1115">
      <c r="A1115" t="inlineStr">
        <is>
          <t>moonset</t>
        </is>
      </c>
      <c r="B1115" t="inlineStr">
        <is>
          <t>/Users/manczg/Documents/development/moonset/moonset-app/MoonsetApp/Infrastructure/Audio/AVFoundationAudioService.swift</t>
        </is>
      </c>
      <c r="C1115" t="inlineStr">
        <is>
          <t>solid-07</t>
        </is>
      </c>
      <c r="D1115" t="n">
        <v>208</v>
      </c>
      <c r="E1115" t="inlineStr">
        <is>
          <t>private func cancelFadeOut(for trackId: String) {</t>
        </is>
      </c>
    </row>
    <row r="1116">
      <c r="A1116" t="inlineStr">
        <is>
          <t>moonset</t>
        </is>
      </c>
      <c r="B1116" t="inlineStr">
        <is>
          <t>/Users/manczg/Documents/development/moonset/moonset-app/MoonsetApp/Infrastructure/Audio/AVFoundationAudioService.swift</t>
        </is>
      </c>
      <c r="C1116" t="inlineStr">
        <is>
          <t>solid-15</t>
        </is>
      </c>
      <c r="D1116" t="n">
        <v>244</v>
      </c>
      <c r="E1116" t="inlineStr">
        <is>
          <t>switch type {</t>
        </is>
      </c>
    </row>
    <row r="1117">
      <c r="A1117" t="inlineStr">
        <is>
          <t>moonset</t>
        </is>
      </c>
      <c r="B1117" t="inlineStr">
        <is>
          <t>/Users/manczg/Documents/development/moonset/moonset-app/MoonsetApp/Presentation/Views/Components/TimerDisplayView.swift</t>
        </is>
      </c>
      <c r="C1117" t="inlineStr">
        <is>
          <t>solid-08</t>
        </is>
      </c>
      <c r="D1117" t="n">
        <v>85</v>
      </c>
      <c r="E1117" t="inlineStr">
        <is>
          <t>var str = AttributedString(formattedTime)</t>
        </is>
      </c>
    </row>
    <row r="1118">
      <c r="A1118" t="inlineStr">
        <is>
          <t>moonset</t>
        </is>
      </c>
      <c r="B1118" t="inlineStr">
        <is>
          <t>/Users/manczg/Documents/development/moonset/moonset-app/MoonsetApp/Presentation/Views/Components/TimerDisplayView.swift</t>
        </is>
      </c>
      <c r="C1118" t="inlineStr">
        <is>
          <t>solid-08</t>
        </is>
      </c>
      <c r="D1118" t="n">
        <v>103</v>
      </c>
      <c r="E1118" t="inlineStr">
        <is>
          <t>var str = AttributedString(formattedTime)</t>
        </is>
      </c>
    </row>
    <row r="1119">
      <c r="A1119" t="inlineStr">
        <is>
          <t>moonset</t>
        </is>
      </c>
      <c r="B1119" t="inlineStr">
        <is>
          <t>/Users/manczg/Documents/development/moonset/moonset-app/MoonsetApp/Presentation/Views/Components/TimerDisplayView.swift</t>
        </is>
      </c>
      <c r="C1119" t="inlineStr">
        <is>
          <t>tests-01</t>
        </is>
      </c>
      <c r="D1119" t="n">
        <v>17</v>
      </c>
      <c r="E1119" t="inlineStr">
        <is>
          <t>struct TimerDisplayView: View {</t>
        </is>
      </c>
    </row>
    <row r="1120">
      <c r="A1120" t="inlineStr">
        <is>
          <t>moonset</t>
        </is>
      </c>
      <c r="B1120" t="inlineStr">
        <is>
          <t>/Users/manczg/Documents/development/moonset/moonset-app/MoonsetApp/Presentation/Views/Components/OverlayPanelContainer.swift</t>
        </is>
      </c>
      <c r="C1120" t="inlineStr">
        <is>
          <t>smells-02</t>
        </is>
      </c>
      <c r="D1120" t="n">
        <v>42</v>
      </c>
      <c r="E1120" t="inlineStr">
        <is>
          <t>init(</t>
        </is>
      </c>
    </row>
    <row r="1121">
      <c r="A1121" t="inlineStr">
        <is>
          <t>moonset</t>
        </is>
      </c>
      <c r="B1121" t="inlineStr">
        <is>
          <t>/Users/manczg/Documents/development/moonset/moonset-app/MoonsetApp/Presentation/Views/Components/OverlayPanelContainer.swift</t>
        </is>
      </c>
      <c r="C1121" t="inlineStr">
        <is>
          <t>tests-01</t>
        </is>
      </c>
      <c r="D1121" t="n">
        <v>31</v>
      </c>
      <c r="E1121" t="inlineStr">
        <is>
          <t>struct OverlayPanelContainer&lt;Header: View, Content: View&gt;: View {</t>
        </is>
      </c>
    </row>
    <row r="1122">
      <c r="A1122" t="inlineStr">
        <is>
          <t>moonset</t>
        </is>
      </c>
      <c r="B1122" t="inlineStr">
        <is>
          <t>/Users/manczg/Documents/development/moonset/moonset-app/MoonsetApp/Presentation/Views/Components/StarAnimationView.swift</t>
        </is>
      </c>
      <c r="C1122" t="inlineStr">
        <is>
          <t>safety-11</t>
        </is>
      </c>
      <c r="D1122" t="n">
        <v>55</v>
      </c>
      <c r="E1122" t="inlineStr">
        <is>
          <t>let now = Date()</t>
        </is>
      </c>
    </row>
    <row r="1123">
      <c r="A1123" t="inlineStr">
        <is>
          <t>moonset</t>
        </is>
      </c>
      <c r="B1123" t="inlineStr">
        <is>
          <t>/Users/manczg/Documents/development/moonset/moonset-app/MoonsetApp/Presentation/Views/Components/StarAnimationView.swift</t>
        </is>
      </c>
      <c r="C1123" t="inlineStr">
        <is>
          <t>solid-06</t>
        </is>
      </c>
      <c r="D1123" t="n">
        <v>21</v>
      </c>
      <c r="E1123" t="inlineStr">
        <is>
          <t>@StateObject var starField: StarField</t>
        </is>
      </c>
    </row>
    <row r="1124">
      <c r="A1124" t="inlineStr">
        <is>
          <t>moonset</t>
        </is>
      </c>
      <c r="B1124" t="inlineStr">
        <is>
          <t>/Users/manczg/Documents/development/moonset/moonset-app/MoonsetApp/Presentation/Views/Components/SymbolButton/SymbolButtonModifiers.swift</t>
        </is>
      </c>
      <c r="C1124" t="inlineStr">
        <is>
          <t>smells-03</t>
        </is>
      </c>
      <c r="D1124" t="n">
        <v>23</v>
      </c>
      <c r="E1124" t="inlineStr">
        <is>
          <t>func selected(_ value: Bool) -&gt; SymbolButton { var c = self; c.explicitSelected = value; return c }</t>
        </is>
      </c>
    </row>
    <row r="1125">
      <c r="A1125" t="inlineStr">
        <is>
          <t>moonset</t>
        </is>
      </c>
      <c r="B1125" t="inlineStr">
        <is>
          <t>/Users/manczg/Documents/development/moonset/moonset-app/MoonsetApp/Presentation/Views/Components/SymbolButton/SymbolButtonModifiers.swift</t>
        </is>
      </c>
      <c r="C1125" t="inlineStr">
        <is>
          <t>smells-03</t>
        </is>
      </c>
      <c r="D1125" t="n">
        <v>27</v>
      </c>
      <c r="E1125" t="inlineStr">
        <is>
          <t>func disabled(_ value: Bool) -&gt; SymbolButton { var c = self; c.isDisabled = value; return c }</t>
        </is>
      </c>
    </row>
    <row r="1126">
      <c r="A1126" t="inlineStr">
        <is>
          <t>moonset</t>
        </is>
      </c>
      <c r="B1126" t="inlineStr">
        <is>
          <t>/Users/manczg/Documents/development/moonset/moonset-app/MoonsetApp/Presentation/Views/Components/SymbolButton/SymbolButtonModifiers.swift</t>
        </is>
      </c>
      <c r="C1126" t="inlineStr">
        <is>
          <t>smells-03</t>
        </is>
      </c>
      <c r="D1126" t="n">
        <v>31</v>
      </c>
      <c r="E1126" t="inlineStr">
        <is>
          <t>func loading(_ value: Bool) -&gt; SymbolButton { var c = self; c.isLoading = value; return c }</t>
        </is>
      </c>
    </row>
    <row r="1127">
      <c r="A1127" t="inlineStr">
        <is>
          <t>moonset</t>
        </is>
      </c>
      <c r="B1127" t="inlineStr">
        <is>
          <t>/Users/manczg/Documents/development/moonset/moonset-app/MoonsetApp/Presentation/Views/Components/SymbolButton/SymbolButtonModifiers.swift</t>
        </is>
      </c>
      <c r="C1127" t="inlineStr">
        <is>
          <t>tests-01</t>
        </is>
      </c>
      <c r="D1127" t="n">
        <v>11</v>
      </c>
      <c r="E1127" t="inlineStr">
        <is>
          <t>extension SymbolButton {</t>
        </is>
      </c>
    </row>
    <row r="1128">
      <c r="A1128" t="inlineStr">
        <is>
          <t>moonset</t>
        </is>
      </c>
      <c r="B1128" t="inlineStr">
        <is>
          <t>/Users/manczg/Documents/development/moonset/moonset-app/MoonsetAppTests/Presentation/ViewModels/SleepTimerViewModelMusicSetupTests.swift</t>
        </is>
      </c>
      <c r="C1128" t="inlineStr">
        <is>
          <t>smells-01</t>
        </is>
      </c>
      <c r="D1128" t="n">
        <v>1</v>
      </c>
      <c r="E1128" t="inlineStr">
        <is>
          <t>file-level: 1086 lines</t>
        </is>
      </c>
    </row>
    <row r="1129">
      <c r="A1129" t="inlineStr">
        <is>
          <t>moonset</t>
        </is>
      </c>
      <c r="B1129" t="inlineStr">
        <is>
          <t>/Users/manczg/Documents/development/moonset/moonset-app/MoonsetAppTests/Presentation/ViewModels/SleepTimerViewModelMusicSetupTests.swift</t>
        </is>
      </c>
      <c r="C1129" t="inlineStr">
        <is>
          <t>tests-04</t>
        </is>
      </c>
      <c r="D1129" t="n">
        <v>131</v>
      </c>
      <c r="E1129" t="inlineStr">
        <is>
          <t>try? await Task.sleep(nanoseconds: Self.asyncWaitNanoseconds)</t>
        </is>
      </c>
    </row>
    <row r="1130">
      <c r="A1130" t="inlineStr">
        <is>
          <t>moonset</t>
        </is>
      </c>
      <c r="B1130" t="inlineStr">
        <is>
          <t>/Users/manczg/Documents/development/moonset/moonset-app/MoonsetAppTests/Presentation/ViewModels/SleepTimerViewModelMusicSetupTests.swift</t>
        </is>
      </c>
      <c r="C1130" t="inlineStr">
        <is>
          <t>tests-04</t>
        </is>
      </c>
      <c r="D1130" t="n">
        <v>135</v>
      </c>
      <c r="E1130" t="inlineStr">
        <is>
          <t>try? await Task.sleep(nanoseconds: Self.asyncWaitNanoseconds)</t>
        </is>
      </c>
    </row>
    <row r="1131">
      <c r="A1131" t="inlineStr">
        <is>
          <t>moonset</t>
        </is>
      </c>
      <c r="B1131" t="inlineStr">
        <is>
          <t>/Users/manczg/Documents/development/moonset/moonset-app/MoonsetAppTests/Presentation/ViewModels/SleepTimerViewModelMusicSetupTests.swift</t>
        </is>
      </c>
      <c r="C1131" t="inlineStr">
        <is>
          <t>tests-04</t>
        </is>
      </c>
      <c r="D1131" t="n">
        <v>146</v>
      </c>
      <c r="E1131" t="inlineStr">
        <is>
          <t>try? await Task.sleep(nanoseconds: Self.asyncWaitNanoseconds)</t>
        </is>
      </c>
    </row>
    <row r="1132">
      <c r="A1132" t="inlineStr">
        <is>
          <t>moonset</t>
        </is>
      </c>
      <c r="B1132" t="inlineStr">
        <is>
          <t>/Users/manczg/Documents/development/moonset/moonset-app/MoonsetAppTests/Presentation/ViewModels/SleepTimerViewModelMusicSetupTests.swift</t>
        </is>
      </c>
      <c r="C1132" t="inlineStr">
        <is>
          <t>tests-04</t>
        </is>
      </c>
      <c r="D1132" t="n">
        <v>178</v>
      </c>
      <c r="E1132" t="inlineStr">
        <is>
          <t>try? await Task.sleep(nanoseconds: Self.asyncWaitNanoseconds)</t>
        </is>
      </c>
    </row>
    <row r="1133">
      <c r="A1133" t="inlineStr">
        <is>
          <t>moonset</t>
        </is>
      </c>
      <c r="B1133" t="inlineStr">
        <is>
          <t>/Users/manczg/Documents/development/moonset/moonset-app/MoonsetAppTests/Presentation/ViewModels/SleepTimerViewModelMusicSetupTests.swift</t>
        </is>
      </c>
      <c r="C1133" t="inlineStr">
        <is>
          <t>tests-04</t>
        </is>
      </c>
      <c r="D1133" t="n">
        <v>188</v>
      </c>
      <c r="E1133" t="inlineStr">
        <is>
          <t>try? await Task.sleep(nanoseconds: Self.asyncWaitNanoseconds)</t>
        </is>
      </c>
    </row>
    <row r="1134">
      <c r="A1134" t="inlineStr">
        <is>
          <t>moonset</t>
        </is>
      </c>
      <c r="B1134" t="inlineStr">
        <is>
          <t>/Users/manczg/Documents/development/moonset/moonset-app/MoonsetAppTests/Presentation/ViewModels/SleepTimerViewModelMusicSetupTests.swift</t>
        </is>
      </c>
      <c r="C1134" t="inlineStr">
        <is>
          <t>tests-04</t>
        </is>
      </c>
      <c r="D1134" t="n">
        <v>191</v>
      </c>
      <c r="E1134" t="inlineStr">
        <is>
          <t>try? await Task.sleep(nanoseconds: Self.asyncWaitNanoseconds)</t>
        </is>
      </c>
    </row>
    <row r="1135">
      <c r="A1135" t="inlineStr">
        <is>
          <t>moonset</t>
        </is>
      </c>
      <c r="B1135" t="inlineStr">
        <is>
          <t>/Users/manczg/Documents/development/moonset/moonset-app/MoonsetAppTests/Presentation/ViewModels/SleepTimerViewModelMusicSetupTests.swift</t>
        </is>
      </c>
      <c r="C1135" t="inlineStr">
        <is>
          <t>tests-04</t>
        </is>
      </c>
      <c r="D1135" t="n">
        <v>195</v>
      </c>
      <c r="E1135" t="inlineStr">
        <is>
          <t>try? await Task.sleep(nanoseconds: Self.asyncWaitNanoseconds)</t>
        </is>
      </c>
    </row>
    <row r="1136">
      <c r="A1136" t="inlineStr">
        <is>
          <t>moonset</t>
        </is>
      </c>
      <c r="B1136" t="inlineStr">
        <is>
          <t>/Users/manczg/Documents/development/moonset/moonset-app/MoonsetAppTests/Presentation/ViewModels/SleepTimerViewModelMusicSetupTests.swift</t>
        </is>
      </c>
      <c r="C1136" t="inlineStr">
        <is>
          <t>tests-04</t>
        </is>
      </c>
      <c r="D1136" t="n">
        <v>204</v>
      </c>
      <c r="E1136" t="inlineStr">
        <is>
          <t>try? await Task.sleep(nanoseconds: Self.asyncWaitNanoseconds)</t>
        </is>
      </c>
    </row>
    <row r="1137">
      <c r="A1137" t="inlineStr">
        <is>
          <t>moonset</t>
        </is>
      </c>
      <c r="B1137" t="inlineStr">
        <is>
          <t>/Users/manczg/Documents/development/moonset/moonset-app/MoonsetAppTests/Presentation/ViewModels/SleepTimerViewModelMusicSetupTests.swift</t>
        </is>
      </c>
      <c r="C1137" t="inlineStr">
        <is>
          <t>tests-04</t>
        </is>
      </c>
      <c r="D1137" t="n">
        <v>207</v>
      </c>
      <c r="E1137" t="inlineStr">
        <is>
          <t>try? await Task.sleep(nanoseconds: Self.asyncWaitNanoseconds)</t>
        </is>
      </c>
    </row>
    <row r="1138">
      <c r="A1138" t="inlineStr">
        <is>
          <t>moonset</t>
        </is>
      </c>
      <c r="B1138" t="inlineStr">
        <is>
          <t>/Users/manczg/Documents/development/moonset/moonset-app/MoonsetAppTests/Presentation/ViewModels/SleepTimerViewModelMusicSetupTests.swift</t>
        </is>
      </c>
      <c r="C1138" t="inlineStr">
        <is>
          <t>tests-04</t>
        </is>
      </c>
      <c r="D1138" t="n">
        <v>211</v>
      </c>
      <c r="E1138" t="inlineStr">
        <is>
          <t>try? await Task.sleep(nanoseconds: Self.asyncWaitNanoseconds)</t>
        </is>
      </c>
    </row>
    <row r="1139">
      <c r="A1139" t="inlineStr">
        <is>
          <t>moonset</t>
        </is>
      </c>
      <c r="B1139" t="inlineStr">
        <is>
          <t>/Users/manczg/Documents/development/moonset/moonset-app/MoonsetAppTests/Presentation/ViewModels/SleepTimerViewModelMusicSetupTests.swift</t>
        </is>
      </c>
      <c r="C1139" t="inlineStr">
        <is>
          <t>tests-04</t>
        </is>
      </c>
      <c r="D1139" t="n">
        <v>220</v>
      </c>
      <c r="E1139" t="inlineStr">
        <is>
          <t>try? await Task.sleep(nanoseconds: Self.asyncWaitNanoseconds)</t>
        </is>
      </c>
    </row>
    <row r="1140">
      <c r="A1140" t="inlineStr">
        <is>
          <t>moonset</t>
        </is>
      </c>
      <c r="B1140" t="inlineStr">
        <is>
          <t>/Users/manczg/Documents/development/moonset/moonset-app/MoonsetAppTests/Presentation/ViewModels/SleepTimerViewModelMusicSetupTests.swift</t>
        </is>
      </c>
      <c r="C1140" t="inlineStr">
        <is>
          <t>tests-04</t>
        </is>
      </c>
      <c r="D1140" t="n">
        <v>222</v>
      </c>
      <c r="E1140" t="inlineStr">
        <is>
          <t>try? await Task.sleep(nanoseconds: Self.asyncWaitNanoseconds)</t>
        </is>
      </c>
    </row>
    <row r="1141">
      <c r="A1141" t="inlineStr">
        <is>
          <t>moonset</t>
        </is>
      </c>
      <c r="B1141" t="inlineStr">
        <is>
          <t>/Users/manczg/Documents/development/moonset/moonset-app/MoonsetAppTests/Presentation/ViewModels/SleepTimerViewModelMusicSetupTests.swift</t>
        </is>
      </c>
      <c r="C1141" t="inlineStr">
        <is>
          <t>tests-04</t>
        </is>
      </c>
      <c r="D1141" t="n">
        <v>227</v>
      </c>
      <c r="E1141" t="inlineStr">
        <is>
          <t>try? await Task.sleep(nanoseconds: Self.asyncWaitNanoseconds)</t>
        </is>
      </c>
    </row>
    <row r="1142">
      <c r="A1142" t="inlineStr">
        <is>
          <t>moonset</t>
        </is>
      </c>
      <c r="B1142" t="inlineStr">
        <is>
          <t>/Users/manczg/Documents/development/moonset/moonset-app/MoonsetAppTests/Presentation/ViewModels/SleepTimerViewModelMusicSetupTests.swift</t>
        </is>
      </c>
      <c r="C1142" t="inlineStr">
        <is>
          <t>tests-04</t>
        </is>
      </c>
      <c r="D1142" t="n">
        <v>236</v>
      </c>
      <c r="E1142" t="inlineStr">
        <is>
          <t>try? await Task.sleep(nanoseconds: Self.asyncWaitNanoseconds)</t>
        </is>
      </c>
    </row>
    <row r="1143">
      <c r="A1143" t="inlineStr">
        <is>
          <t>moonset</t>
        </is>
      </c>
      <c r="B1143" t="inlineStr">
        <is>
          <t>/Users/manczg/Documents/development/moonset/moonset-app/MoonsetAppTests/Presentation/ViewModels/SleepTimerViewModelMusicSetupTests.swift</t>
        </is>
      </c>
      <c r="C1143" t="inlineStr">
        <is>
          <t>tests-04</t>
        </is>
      </c>
      <c r="D1143" t="n">
        <v>238</v>
      </c>
      <c r="E1143" t="inlineStr">
        <is>
          <t>try? await Task.sleep(nanoseconds: Self.asyncWaitNanoseconds)</t>
        </is>
      </c>
    </row>
    <row r="1144">
      <c r="A1144" t="inlineStr">
        <is>
          <t>moonset</t>
        </is>
      </c>
      <c r="B1144" t="inlineStr">
        <is>
          <t>/Users/manczg/Documents/development/moonset/moonset-app/MoonsetAppTests/Presentation/ViewModels/SleepTimerViewModelMusicSetupTests.swift</t>
        </is>
      </c>
      <c r="C1144" t="inlineStr">
        <is>
          <t>tests-04</t>
        </is>
      </c>
      <c r="D1144" t="n">
        <v>243</v>
      </c>
      <c r="E1144" t="inlineStr">
        <is>
          <t>try? await Task.sleep(nanoseconds: Self.asyncWaitNanoseconds)</t>
        </is>
      </c>
    </row>
    <row r="1145">
      <c r="A1145" t="inlineStr">
        <is>
          <t>moonset</t>
        </is>
      </c>
      <c r="B1145" t="inlineStr">
        <is>
          <t>/Users/manczg/Documents/development/moonset/moonset-app/MoonsetAppTests/Presentation/ViewModels/SleepTimerViewModelMusicSetupTests.swift</t>
        </is>
      </c>
      <c r="C1145" t="inlineStr">
        <is>
          <t>tests-04</t>
        </is>
      </c>
      <c r="D1145" t="n">
        <v>252</v>
      </c>
      <c r="E1145" t="inlineStr">
        <is>
          <t>try? await Task.sleep(nanoseconds: Self.asyncWaitNanoseconds)</t>
        </is>
      </c>
    </row>
    <row r="1146">
      <c r="A1146" t="inlineStr">
        <is>
          <t>moonset</t>
        </is>
      </c>
      <c r="B1146" t="inlineStr">
        <is>
          <t>/Users/manczg/Documents/development/moonset/moonset-app/MoonsetAppTests/Presentation/ViewModels/SleepTimerViewModelMusicSetupTests.swift</t>
        </is>
      </c>
      <c r="C1146" t="inlineStr">
        <is>
          <t>tests-04</t>
        </is>
      </c>
      <c r="D1146" t="n">
        <v>256</v>
      </c>
      <c r="E1146" t="inlineStr">
        <is>
          <t>try? await Task.sleep(nanoseconds: Self.asyncWaitNanoseconds)</t>
        </is>
      </c>
    </row>
    <row r="1147">
      <c r="A1147" t="inlineStr">
        <is>
          <t>moonset</t>
        </is>
      </c>
      <c r="B1147" t="inlineStr">
        <is>
          <t>/Users/manczg/Documents/development/moonset/moonset-app/MoonsetAppTests/Presentation/ViewModels/SleepTimerViewModelMusicSetupTests.swift</t>
        </is>
      </c>
      <c r="C1147" t="inlineStr">
        <is>
          <t>tests-04</t>
        </is>
      </c>
      <c r="D1147" t="n">
        <v>260</v>
      </c>
      <c r="E1147" t="inlineStr">
        <is>
          <t>try? await Task.sleep(nanoseconds: Self.asyncWaitNanoseconds)</t>
        </is>
      </c>
    </row>
    <row r="1148">
      <c r="A1148" t="inlineStr">
        <is>
          <t>moonset</t>
        </is>
      </c>
      <c r="B1148" t="inlineStr">
        <is>
          <t>/Users/manczg/Documents/development/moonset/moonset-app/MoonsetAppTests/Presentation/ViewModels/SleepTimerViewModelMusicSetupTests.swift</t>
        </is>
      </c>
      <c r="C1148" t="inlineStr">
        <is>
          <t>tests-04</t>
        </is>
      </c>
      <c r="D1148" t="n">
        <v>271</v>
      </c>
      <c r="E1148" t="inlineStr">
        <is>
          <t>try? await Task.sleep(nanoseconds: Self.asyncWaitNanoseconds)</t>
        </is>
      </c>
    </row>
    <row r="1149">
      <c r="A1149" t="inlineStr">
        <is>
          <t>moonset</t>
        </is>
      </c>
      <c r="B1149" t="inlineStr">
        <is>
          <t>/Users/manczg/Documents/development/moonset/moonset-app/MoonsetAppTests/Presentation/ViewModels/SleepTimerViewModelMusicSetupTests.swift</t>
        </is>
      </c>
      <c r="C1149" t="inlineStr">
        <is>
          <t>tests-04</t>
        </is>
      </c>
      <c r="D1149" t="n">
        <v>274</v>
      </c>
      <c r="E1149" t="inlineStr">
        <is>
          <t>try? await Task.sleep(nanoseconds: Self.asyncWaitNanoseconds)</t>
        </is>
      </c>
    </row>
    <row r="1150">
      <c r="A1150" t="inlineStr">
        <is>
          <t>moonset</t>
        </is>
      </c>
      <c r="B1150" t="inlineStr">
        <is>
          <t>/Users/manczg/Documents/development/moonset/moonset-app/MoonsetAppTests/Presentation/ViewModels/SleepTimerViewModelMusicSetupTests.swift</t>
        </is>
      </c>
      <c r="C1150" t="inlineStr">
        <is>
          <t>tests-04</t>
        </is>
      </c>
      <c r="D1150" t="n">
        <v>276</v>
      </c>
      <c r="E1150" t="inlineStr">
        <is>
          <t>try? await Task.sleep(nanoseconds: Self.asyncWaitNanoseconds)</t>
        </is>
      </c>
    </row>
    <row r="1151">
      <c r="A1151" t="inlineStr">
        <is>
          <t>moonset</t>
        </is>
      </c>
      <c r="B1151" t="inlineStr">
        <is>
          <t>/Users/manczg/Documents/development/moonset/moonset-app/MoonsetAppTests/Presentation/ViewModels/SleepTimerViewModelMusicSetupTests.swift</t>
        </is>
      </c>
      <c r="C1151" t="inlineStr">
        <is>
          <t>tests-04</t>
        </is>
      </c>
      <c r="D1151" t="n">
        <v>280</v>
      </c>
      <c r="E1151" t="inlineStr">
        <is>
          <t>try? await Task.sleep(nanoseconds: Self.asyncWaitNanoseconds)</t>
        </is>
      </c>
    </row>
    <row r="1152">
      <c r="A1152" t="inlineStr">
        <is>
          <t>moonset</t>
        </is>
      </c>
      <c r="B1152" t="inlineStr">
        <is>
          <t>/Users/manczg/Documents/development/moonset/moonset-app/MoonsetAppTests/Presentation/ViewModels/SleepTimerViewModelMusicSetupTests.swift</t>
        </is>
      </c>
      <c r="C1152" t="inlineStr">
        <is>
          <t>tests-04</t>
        </is>
      </c>
      <c r="D1152" t="n">
        <v>290</v>
      </c>
      <c r="E1152" t="inlineStr">
        <is>
          <t>try? await Task.sleep(nanoseconds: Self.asyncWaitNanoseconds)</t>
        </is>
      </c>
    </row>
    <row r="1153">
      <c r="A1153" t="inlineStr">
        <is>
          <t>moonset</t>
        </is>
      </c>
      <c r="B1153" t="inlineStr">
        <is>
          <t>/Users/manczg/Documents/development/moonset/moonset-app/MoonsetAppTests/Presentation/ViewModels/SleepTimerViewModelMusicSetupTests.swift</t>
        </is>
      </c>
      <c r="C1153" t="inlineStr">
        <is>
          <t>tests-04</t>
        </is>
      </c>
      <c r="D1153" t="n">
        <v>293</v>
      </c>
      <c r="E1153" t="inlineStr">
        <is>
          <t>try? await Task.sleep(nanoseconds: Self.asyncWaitNanoseconds)</t>
        </is>
      </c>
    </row>
    <row r="1154">
      <c r="A1154" t="inlineStr">
        <is>
          <t>moonset</t>
        </is>
      </c>
      <c r="B1154" t="inlineStr">
        <is>
          <t>/Users/manczg/Documents/development/moonset/moonset-app/MoonsetAppTests/Presentation/ViewModels/SleepTimerViewModelMusicSetupTests.swift</t>
        </is>
      </c>
      <c r="C1154" t="inlineStr">
        <is>
          <t>tests-04</t>
        </is>
      </c>
      <c r="D1154" t="n">
        <v>295</v>
      </c>
      <c r="E1154" t="inlineStr">
        <is>
          <t>try? await Task.sleep(nanoseconds: Self.asyncWaitNanoseconds)</t>
        </is>
      </c>
    </row>
    <row r="1155">
      <c r="A1155" t="inlineStr">
        <is>
          <t>moonset</t>
        </is>
      </c>
      <c r="B1155" t="inlineStr">
        <is>
          <t>/Users/manczg/Documents/development/moonset/moonset-app/MoonsetAppTests/Presentation/ViewModels/SleepTimerViewModelMusicSetupTests.swift</t>
        </is>
      </c>
      <c r="C1155" t="inlineStr">
        <is>
          <t>tests-04</t>
        </is>
      </c>
      <c r="D1155" t="n">
        <v>299</v>
      </c>
      <c r="E1155" t="inlineStr">
        <is>
          <t>try? await Task.sleep(nanoseconds: Self.asyncWaitNanoseconds)</t>
        </is>
      </c>
    </row>
    <row r="1156">
      <c r="A1156" t="inlineStr">
        <is>
          <t>moonset</t>
        </is>
      </c>
      <c r="B1156" t="inlineStr">
        <is>
          <t>/Users/manczg/Documents/development/moonset/moonset-app/MoonsetAppTests/Presentation/ViewModels/SleepTimerViewModelMusicSetupTests.swift</t>
        </is>
      </c>
      <c r="C1156" t="inlineStr">
        <is>
          <t>tests-04</t>
        </is>
      </c>
      <c r="D1156" t="n">
        <v>433</v>
      </c>
      <c r="E1156" t="inlineStr">
        <is>
          <t>try? await Task.sleep(nanoseconds: Self.asyncWaitNanoseconds)</t>
        </is>
      </c>
    </row>
    <row r="1157">
      <c r="A1157" t="inlineStr">
        <is>
          <t>moonset</t>
        </is>
      </c>
      <c r="B1157" t="inlineStr">
        <is>
          <t>/Users/manczg/Documents/development/moonset/moonset-app/MoonsetAppTests/Presentation/ViewModels/SleepTimerViewModelMusicSetupTests.swift</t>
        </is>
      </c>
      <c r="C1157" t="inlineStr">
        <is>
          <t>tests-04</t>
        </is>
      </c>
      <c r="D1157" t="n">
        <v>461</v>
      </c>
      <c r="E1157" t="inlineStr">
        <is>
          <t>try? await Task.sleep(nanoseconds: Self.asyncWaitNanoseconds)</t>
        </is>
      </c>
    </row>
    <row r="1158">
      <c r="A1158" t="inlineStr">
        <is>
          <t>moonset</t>
        </is>
      </c>
      <c r="B1158" t="inlineStr">
        <is>
          <t>/Users/manczg/Documents/development/moonset/moonset-app/MoonsetAppTests/Presentation/ViewModels/SleepTimerViewModelMusicSetupTests.swift</t>
        </is>
      </c>
      <c r="C1158" t="inlineStr">
        <is>
          <t>tests-04</t>
        </is>
      </c>
      <c r="D1158" t="n">
        <v>480</v>
      </c>
      <c r="E1158" t="inlineStr">
        <is>
          <t>try? await Task.sleep(nanoseconds: Self.asyncWaitNanoseconds)</t>
        </is>
      </c>
    </row>
    <row r="1159">
      <c r="A1159" t="inlineStr">
        <is>
          <t>moonset</t>
        </is>
      </c>
      <c r="B1159" t="inlineStr">
        <is>
          <t>/Users/manczg/Documents/development/moonset/moonset-app/MoonsetAppTests/Presentation/ViewModels/SleepTimerViewModelMusicSetupTests.swift</t>
        </is>
      </c>
      <c r="C1159" t="inlineStr">
        <is>
          <t>tests-04</t>
        </is>
      </c>
      <c r="D1159" t="n">
        <v>482</v>
      </c>
      <c r="E1159" t="inlineStr">
        <is>
          <t>try? await Task.sleep(nanoseconds: Self.asyncWaitNanoseconds)</t>
        </is>
      </c>
    </row>
    <row r="1160">
      <c r="A1160" t="inlineStr">
        <is>
          <t>moonset</t>
        </is>
      </c>
      <c r="B1160" t="inlineStr">
        <is>
          <t>/Users/manczg/Documents/development/moonset/moonset-app/MoonsetAppTests/Presentation/ViewModels/SleepTimerViewModelMusicSetupTests.swift</t>
        </is>
      </c>
      <c r="C1160" t="inlineStr">
        <is>
          <t>tests-04</t>
        </is>
      </c>
      <c r="D1160" t="n">
        <v>493</v>
      </c>
      <c r="E1160" t="inlineStr">
        <is>
          <t>try? await Task.sleep(nanoseconds: Self.asyncWaitNanoseconds)</t>
        </is>
      </c>
    </row>
    <row r="1161">
      <c r="A1161" t="inlineStr">
        <is>
          <t>moonset</t>
        </is>
      </c>
      <c r="B1161" t="inlineStr">
        <is>
          <t>/Users/manczg/Documents/development/moonset/moonset-app/MoonsetAppTests/Presentation/ViewModels/SleepTimerViewModelMusicSetupTests.swift</t>
        </is>
      </c>
      <c r="C1161" t="inlineStr">
        <is>
          <t>tests-04</t>
        </is>
      </c>
      <c r="D1161" t="n">
        <v>563</v>
      </c>
      <c r="E1161" t="inlineStr">
        <is>
          <t>try? await Task.sleep(nanoseconds: Self.asyncWaitNanoseconds)</t>
        </is>
      </c>
    </row>
    <row r="1162">
      <c r="A1162" t="inlineStr">
        <is>
          <t>moonset</t>
        </is>
      </c>
      <c r="B1162" t="inlineStr">
        <is>
          <t>/Users/manczg/Documents/development/moonset/moonset-app/MoonsetAppTests/Presentation/ViewModels/SleepTimerViewModelMusicSetupTests.swift</t>
        </is>
      </c>
      <c r="C1162" t="inlineStr">
        <is>
          <t>tests-04</t>
        </is>
      </c>
      <c r="D1162" t="n">
        <v>572</v>
      </c>
      <c r="E1162" t="inlineStr">
        <is>
          <t>try? await Task.sleep(nanoseconds: Self.asyncWaitNanoseconds)</t>
        </is>
      </c>
    </row>
    <row r="1163">
      <c r="A1163" t="inlineStr">
        <is>
          <t>moonset</t>
        </is>
      </c>
      <c r="B1163" t="inlineStr">
        <is>
          <t>/Users/manczg/Documents/development/moonset/moonset-app/MoonsetAppTests/Presentation/ViewModels/SleepTimerViewModelMusicSetupTests.swift</t>
        </is>
      </c>
      <c r="C1163" t="inlineStr">
        <is>
          <t>tests-04</t>
        </is>
      </c>
      <c r="D1163" t="n">
        <v>578</v>
      </c>
      <c r="E1163" t="inlineStr">
        <is>
          <t>try? await Task.sleep(nanoseconds: Self.asyncWaitNanoseconds)</t>
        </is>
      </c>
    </row>
    <row r="1164">
      <c r="A1164" t="inlineStr">
        <is>
          <t>moonset</t>
        </is>
      </c>
      <c r="B1164" t="inlineStr">
        <is>
          <t>/Users/manczg/Documents/development/moonset/moonset-app/MoonsetAppTests/Presentation/ViewModels/SleepTimerViewModelMusicSetupTests.swift</t>
        </is>
      </c>
      <c r="C1164" t="inlineStr">
        <is>
          <t>tests-04</t>
        </is>
      </c>
      <c r="D1164" t="n">
        <v>646</v>
      </c>
      <c r="E1164" t="inlineStr">
        <is>
          <t>try? await Task.sleep(nanoseconds: Self.asyncWaitNanoseconds)</t>
        </is>
      </c>
    </row>
    <row r="1165">
      <c r="A1165" t="inlineStr">
        <is>
          <t>moonset</t>
        </is>
      </c>
      <c r="B1165" t="inlineStr">
        <is>
          <t>/Users/manczg/Documents/development/moonset/moonset-app/MoonsetAppTests/Presentation/ViewModels/SleepTimerViewModelMusicSetupTests.swift</t>
        </is>
      </c>
      <c r="C1165" t="inlineStr">
        <is>
          <t>tests-04</t>
        </is>
      </c>
      <c r="D1165" t="n">
        <v>649</v>
      </c>
      <c r="E1165" t="inlineStr">
        <is>
          <t>try? await Task.sleep(nanoseconds: Self.asyncWaitNanoseconds)</t>
        </is>
      </c>
    </row>
    <row r="1166">
      <c r="A1166" t="inlineStr">
        <is>
          <t>moonset</t>
        </is>
      </c>
      <c r="B1166" t="inlineStr">
        <is>
          <t>/Users/manczg/Documents/development/moonset/moonset-app/MoonsetAppTests/Presentation/ViewModels/SleepTimerViewModelMusicSetupTests.swift</t>
        </is>
      </c>
      <c r="C1166" t="inlineStr">
        <is>
          <t>tests-04</t>
        </is>
      </c>
      <c r="D1166" t="n">
        <v>764</v>
      </c>
      <c r="E1166" t="inlineStr">
        <is>
          <t>try? await Task.sleep(nanoseconds: Self.asyncWaitNanoseconds)</t>
        </is>
      </c>
    </row>
    <row r="1167">
      <c r="A1167" t="inlineStr">
        <is>
          <t>moonset</t>
        </is>
      </c>
      <c r="B1167" t="inlineStr">
        <is>
          <t>/Users/manczg/Documents/development/moonset/moonset-app/MoonsetAppTests/Presentation/ViewModels/SleepTimerViewModelMusicSetupTests.swift</t>
        </is>
      </c>
      <c r="C1167" t="inlineStr">
        <is>
          <t>tests-04</t>
        </is>
      </c>
      <c r="D1167" t="n">
        <v>767</v>
      </c>
      <c r="E1167" t="inlineStr">
        <is>
          <t>try? await Task.sleep(nanoseconds: Self.asyncWaitNanoseconds)</t>
        </is>
      </c>
    </row>
    <row r="1168">
      <c r="A1168" t="inlineStr">
        <is>
          <t>moonset</t>
        </is>
      </c>
      <c r="B1168" t="inlineStr">
        <is>
          <t>/Users/manczg/Documents/development/moonset/moonset-app/MoonsetAppTests/Presentation/ViewModels/SleepTimerViewModelMusicSetupTests.swift</t>
        </is>
      </c>
      <c r="C1168" t="inlineStr">
        <is>
          <t>tests-04</t>
        </is>
      </c>
      <c r="D1168" t="n">
        <v>775</v>
      </c>
      <c r="E1168" t="inlineStr">
        <is>
          <t>try? await Task.sleep(nanoseconds: Self.asyncWaitNanoseconds)</t>
        </is>
      </c>
    </row>
    <row r="1169">
      <c r="A1169" t="inlineStr">
        <is>
          <t>moonset</t>
        </is>
      </c>
      <c r="B1169" t="inlineStr">
        <is>
          <t>/Users/manczg/Documents/development/moonset/moonset-app/MoonsetAppTests/Presentation/ViewModels/SleepTimerViewModelMusicSetupTests.swift</t>
        </is>
      </c>
      <c r="C1169" t="inlineStr">
        <is>
          <t>tests-04</t>
        </is>
      </c>
      <c r="D1169" t="n">
        <v>786</v>
      </c>
      <c r="E1169" t="inlineStr">
        <is>
          <t>try? await Task.sleep(nanoseconds: Self.asyncWaitNanoseconds)</t>
        </is>
      </c>
    </row>
    <row r="1170">
      <c r="A1170" t="inlineStr">
        <is>
          <t>moonset</t>
        </is>
      </c>
      <c r="B1170" t="inlineStr">
        <is>
          <t>/Users/manczg/Documents/development/moonset/moonset-app/MoonsetAppTests/Presentation/ViewModels/SleepTimerViewModelMusicSetupTests.swift</t>
        </is>
      </c>
      <c r="C1170" t="inlineStr">
        <is>
          <t>tests-04</t>
        </is>
      </c>
      <c r="D1170" t="n">
        <v>789</v>
      </c>
      <c r="E1170" t="inlineStr">
        <is>
          <t>try? await Task.sleep(nanoseconds: Self.asyncWaitNanoseconds)</t>
        </is>
      </c>
    </row>
    <row r="1171">
      <c r="A1171" t="inlineStr">
        <is>
          <t>moonset</t>
        </is>
      </c>
      <c r="B1171" t="inlineStr">
        <is>
          <t>/Users/manczg/Documents/development/moonset/moonset-app/MoonsetAppTests/Presentation/ViewModels/SleepTimerViewModelMusicSetupTests.swift</t>
        </is>
      </c>
      <c r="C1171" t="inlineStr">
        <is>
          <t>tests-04</t>
        </is>
      </c>
      <c r="D1171" t="n">
        <v>793</v>
      </c>
      <c r="E1171" t="inlineStr">
        <is>
          <t>try? await Task.sleep(nanoseconds: Self.asyncWaitNanoseconds)</t>
        </is>
      </c>
    </row>
    <row r="1172">
      <c r="A1172" t="inlineStr">
        <is>
          <t>moonset</t>
        </is>
      </c>
      <c r="B1172" t="inlineStr">
        <is>
          <t>/Users/manczg/Documents/development/moonset/moonset-app/MoonsetAppTests/Presentation/ViewModels/SleepTimerViewModelMusicSetupTests.swift</t>
        </is>
      </c>
      <c r="C1172" t="inlineStr">
        <is>
          <t>tests-04</t>
        </is>
      </c>
      <c r="D1172" t="n">
        <v>823</v>
      </c>
      <c r="E1172" t="inlineStr">
        <is>
          <t>try? await Task.sleep(nanoseconds: Self.asyncWaitNanoseconds)</t>
        </is>
      </c>
    </row>
    <row r="1173">
      <c r="A1173" t="inlineStr">
        <is>
          <t>moonset</t>
        </is>
      </c>
      <c r="B1173" t="inlineStr">
        <is>
          <t>/Users/manczg/Documents/development/moonset/moonset-app/MoonsetAppTests/Presentation/ViewModels/SleepTimerViewModelMusicSetupTests.swift</t>
        </is>
      </c>
      <c r="C1173" t="inlineStr">
        <is>
          <t>tests-04</t>
        </is>
      </c>
      <c r="D1173" t="n">
        <v>869</v>
      </c>
      <c r="E1173" t="inlineStr">
        <is>
          <t>try? await Task.sleep(nanoseconds: Self.asyncWaitNanoseconds)</t>
        </is>
      </c>
    </row>
    <row r="1174">
      <c r="A1174" t="inlineStr">
        <is>
          <t>moonset</t>
        </is>
      </c>
      <c r="B1174" t="inlineStr">
        <is>
          <t>/Users/manczg/Documents/development/moonset/moonset-app/MoonsetAppTests/Presentation/ViewModels/SleepTimerViewModelMusicSetupTests.swift</t>
        </is>
      </c>
      <c r="C1174" t="inlineStr">
        <is>
          <t>tests-04</t>
        </is>
      </c>
      <c r="D1174" t="n">
        <v>878</v>
      </c>
      <c r="E1174" t="inlineStr">
        <is>
          <t>try? await Task.sleep(nanoseconds: Self.asyncWaitNanoseconds)</t>
        </is>
      </c>
    </row>
    <row r="1175">
      <c r="A1175" t="inlineStr">
        <is>
          <t>moonset</t>
        </is>
      </c>
      <c r="B1175" t="inlineStr">
        <is>
          <t>/Users/manczg/Documents/development/moonset/moonset-app/MoonsetAppTests/Presentation/ViewModels/SleepTimerViewModelMusicSetupTests.swift</t>
        </is>
      </c>
      <c r="C1175" t="inlineStr">
        <is>
          <t>tests-04</t>
        </is>
      </c>
      <c r="D1175" t="n">
        <v>880</v>
      </c>
      <c r="E1175" t="inlineStr">
        <is>
          <t>try? await Task.sleep(nanoseconds: Self.asyncWaitNanoseconds)</t>
        </is>
      </c>
    </row>
    <row r="1176">
      <c r="A1176" t="inlineStr">
        <is>
          <t>moonset</t>
        </is>
      </c>
      <c r="B1176" t="inlineStr">
        <is>
          <t>/Users/manczg/Documents/development/moonset/moonset-app/MoonsetAppTests/Presentation/ViewModels/SleepTimerViewModelMusicSetupTests.swift</t>
        </is>
      </c>
      <c r="C1176" t="inlineStr">
        <is>
          <t>tests-04</t>
        </is>
      </c>
      <c r="D1176" t="n">
        <v>892</v>
      </c>
      <c r="E1176" t="inlineStr">
        <is>
          <t>try? await Task.sleep(nanoseconds: Self.asyncWaitNanoseconds)</t>
        </is>
      </c>
    </row>
    <row r="1177">
      <c r="A1177" t="inlineStr">
        <is>
          <t>moonset</t>
        </is>
      </c>
      <c r="B1177" t="inlineStr">
        <is>
          <t>/Users/manczg/Documents/development/moonset/moonset-app/MoonsetAppTests/Presentation/ViewModels/SleepTimerViewModelMusicSetupTests.swift</t>
        </is>
      </c>
      <c r="C1177" t="inlineStr">
        <is>
          <t>tests-04</t>
        </is>
      </c>
      <c r="D1177" t="n">
        <v>895</v>
      </c>
      <c r="E1177" t="inlineStr">
        <is>
          <t>try? await Task.sleep(nanoseconds: Self.asyncWaitNanoseconds)</t>
        </is>
      </c>
    </row>
    <row r="1178">
      <c r="A1178" t="inlineStr">
        <is>
          <t>moonset</t>
        </is>
      </c>
      <c r="B1178" t="inlineStr">
        <is>
          <t>/Users/manczg/Documents/development/moonset/moonset-app/MoonsetAppTests/Presentation/ViewModels/SleepTimerViewModelMusicSetupTests.swift</t>
        </is>
      </c>
      <c r="C1178" t="inlineStr">
        <is>
          <t>tests-04</t>
        </is>
      </c>
      <c r="D1178" t="n">
        <v>902</v>
      </c>
      <c r="E1178" t="inlineStr">
        <is>
          <t>try? await Task.sleep(nanoseconds: Self.asyncWaitNanoseconds)</t>
        </is>
      </c>
    </row>
    <row r="1179">
      <c r="A1179" t="inlineStr">
        <is>
          <t>moonset</t>
        </is>
      </c>
      <c r="B1179" t="inlineStr">
        <is>
          <t>/Users/manczg/Documents/development/moonset/moonset-app/MoonsetAppTests/Presentation/ViewModels/SleepTimerViewModelMusicSetupTests.swift</t>
        </is>
      </c>
      <c r="C1179" t="inlineStr">
        <is>
          <t>tests-04</t>
        </is>
      </c>
      <c r="D1179" t="n">
        <v>930</v>
      </c>
      <c r="E1179" t="inlineStr">
        <is>
          <t>try? await Task.sleep(nanoseconds: Self.asyncWaitNanoseconds)</t>
        </is>
      </c>
    </row>
    <row r="1180">
      <c r="A1180" t="inlineStr">
        <is>
          <t>moonset</t>
        </is>
      </c>
      <c r="B1180" t="inlineStr">
        <is>
          <t>/Users/manczg/Documents/development/moonset/moonset-app/MoonsetAppTests/Presentation/ViewModels/SleepTimerViewModelMusicSetupTests.swift</t>
        </is>
      </c>
      <c r="C1180" t="inlineStr">
        <is>
          <t>tests-04</t>
        </is>
      </c>
      <c r="D1180" t="n">
        <v>933</v>
      </c>
      <c r="E1180" t="inlineStr">
        <is>
          <t>try? await Task.sleep(nanoseconds: Self.asyncWaitNanoseconds)</t>
        </is>
      </c>
    </row>
    <row r="1181">
      <c r="A1181" t="inlineStr">
        <is>
          <t>moonset</t>
        </is>
      </c>
      <c r="B1181" t="inlineStr">
        <is>
          <t>/Users/manczg/Documents/development/moonset/moonset-app/MoonsetAppTests/Presentation/ViewModels/SleepTimerViewModelMusicSetupTests.swift</t>
        </is>
      </c>
      <c r="C1181" t="inlineStr">
        <is>
          <t>tests-04</t>
        </is>
      </c>
      <c r="D1181" t="n">
        <v>937</v>
      </c>
      <c r="E1181" t="inlineStr">
        <is>
          <t>try? await Task.sleep(nanoseconds: Self.asyncWaitNanoseconds)</t>
        </is>
      </c>
    </row>
    <row r="1182">
      <c r="A1182" t="inlineStr">
        <is>
          <t>moonset</t>
        </is>
      </c>
      <c r="B1182" t="inlineStr">
        <is>
          <t>/Users/manczg/Documents/development/moonset/moonset-app/MoonsetAppTests/Presentation/ViewModels/SleepTimerViewModelMusicSetupTests.swift</t>
        </is>
      </c>
      <c r="C1182" t="inlineStr">
        <is>
          <t>tests-04</t>
        </is>
      </c>
      <c r="D1182" t="n">
        <v>965</v>
      </c>
      <c r="E1182" t="inlineStr">
        <is>
          <t>try? await Task.sleep(nanoseconds: Self.asyncWaitNanoseconds)</t>
        </is>
      </c>
    </row>
    <row r="1183">
      <c r="A1183" t="inlineStr">
        <is>
          <t>moonset</t>
        </is>
      </c>
      <c r="B1183" t="inlineStr">
        <is>
          <t>/Users/manczg/Documents/development/moonset/moonset-app/MoonsetAppTests/Presentation/ViewModels/SleepTimerViewModelMusicSetupTests.swift</t>
        </is>
      </c>
      <c r="C1183" t="inlineStr">
        <is>
          <t>tests-04</t>
        </is>
      </c>
      <c r="D1183" t="n">
        <v>982</v>
      </c>
      <c r="E1183" t="inlineStr">
        <is>
          <t>try? await Task.sleep(nanoseconds: Self.asyncWaitNanoseconds)</t>
        </is>
      </c>
    </row>
    <row r="1184">
      <c r="A1184" t="inlineStr">
        <is>
          <t>moonset</t>
        </is>
      </c>
      <c r="B1184" t="inlineStr">
        <is>
          <t>/Users/manczg/Documents/development/moonset/moonset-app/MoonsetAppTests/Presentation/ViewModels/SleepTimerViewModelMusicSetupTests.swift</t>
        </is>
      </c>
      <c r="C1184" t="inlineStr">
        <is>
          <t>tests-04</t>
        </is>
      </c>
      <c r="D1184" t="n">
        <v>1014</v>
      </c>
      <c r="E1184" t="inlineStr">
        <is>
          <t>try? await Task.sleep(nanoseconds: Self.asyncWaitNanoseconds)</t>
        </is>
      </c>
    </row>
    <row r="1185">
      <c r="A1185" t="inlineStr">
        <is>
          <t>moonset</t>
        </is>
      </c>
      <c r="B1185" t="inlineStr">
        <is>
          <t>/Users/manczg/Documents/development/moonset/moonset-app/MoonsetAppTests/Presentation/ViewModels/SleepTimerViewModelMusicSetupTests.swift</t>
        </is>
      </c>
      <c r="C1185" t="inlineStr">
        <is>
          <t>tests-04</t>
        </is>
      </c>
      <c r="D1185" t="n">
        <v>1017</v>
      </c>
      <c r="E1185" t="inlineStr">
        <is>
          <t>try? await Task.sleep(nanoseconds: Self.asyncWaitNanoseconds)</t>
        </is>
      </c>
    </row>
    <row r="1186">
      <c r="A1186" t="inlineStr">
        <is>
          <t>moonset</t>
        </is>
      </c>
      <c r="B1186" t="inlineStr">
        <is>
          <t>/Users/manczg/Documents/development/moonset/moonset-app/MoonsetAppTests/Presentation/ViewModels/SleepTimerViewModelMusicSetupTests.swift</t>
        </is>
      </c>
      <c r="C1186" t="inlineStr">
        <is>
          <t>tests-04</t>
        </is>
      </c>
      <c r="D1186" t="n">
        <v>1067</v>
      </c>
      <c r="E1186" t="inlineStr">
        <is>
          <t>try? await Task.sleep(nanoseconds: Self.asyncWaitNanoseconds)</t>
        </is>
      </c>
    </row>
    <row r="1187">
      <c r="A1187" t="inlineStr">
        <is>
          <t>moonset</t>
        </is>
      </c>
      <c r="B1187" t="inlineStr">
        <is>
          <t>/Users/manczg/Documents/development/moonset/moonset-app/MoonsetAppTests/Presentation/ViewModels/SleepTimerViewModelMusicSetupTests.swift</t>
        </is>
      </c>
      <c r="C1187" t="inlineStr">
        <is>
          <t>tests-04</t>
        </is>
      </c>
      <c r="D1187" t="n">
        <v>1070</v>
      </c>
      <c r="E1187" t="inlineStr">
        <is>
          <t>try? await Task.sleep(nanoseconds: Self.asyncWaitNanoseconds)</t>
        </is>
      </c>
    </row>
    <row r="1188">
      <c r="A1188" t="inlineStr">
        <is>
          <t>moonset</t>
        </is>
      </c>
      <c r="B1188" t="inlineStr">
        <is>
          <t>/Users/manczg/Documents/development/moonset/moonset-app/MoonsetAppTests/Presentation/ViewModels/SleepTimerViewModelMusicSetupTests.swift</t>
        </is>
      </c>
      <c r="C1188" t="inlineStr">
        <is>
          <t>tests-06</t>
        </is>
      </c>
      <c r="D1188" t="n">
        <v>19</v>
      </c>
      <c r="E1188" t="inlineStr">
        <is>
          <t>var sut: SleepTimerViewModel!</t>
        </is>
      </c>
    </row>
    <row r="1189">
      <c r="A1189" t="inlineStr">
        <is>
          <t>moonset</t>
        </is>
      </c>
      <c r="B1189" t="inlineStr">
        <is>
          <t>/Users/manczg/Documents/development/moonset/moonset-app/MoonsetAppTests/Presentation/ViewModels/SleepTimerViewModelMusicSetupTests.swift</t>
        </is>
      </c>
      <c r="C1189" t="inlineStr">
        <is>
          <t>tests-06</t>
        </is>
      </c>
      <c r="D1189" t="n">
        <v>23</v>
      </c>
      <c r="E1189" t="inlineStr">
        <is>
          <t>var mockRepository: MockTimerRepository!</t>
        </is>
      </c>
    </row>
    <row r="1190">
      <c r="A1190" t="inlineStr">
        <is>
          <t>moonset</t>
        </is>
      </c>
      <c r="B1190" t="inlineStr">
        <is>
          <t>/Users/manczg/Documents/development/moonset/moonset-app/MoonsetAppTests/Presentation/ViewModels/SleepTimerViewModelMusicSetupTests.swift</t>
        </is>
      </c>
      <c r="C1190" t="inlineStr">
        <is>
          <t>tests-06</t>
        </is>
      </c>
      <c r="D1190" t="n">
        <v>24</v>
      </c>
      <c r="E1190" t="inlineStr">
        <is>
          <t>var mockWakeLock: MockScreenWakeLockService!</t>
        </is>
      </c>
    </row>
    <row r="1191">
      <c r="A1191" t="inlineStr">
        <is>
          <t>moonset</t>
        </is>
      </c>
      <c r="B1191" t="inlineStr">
        <is>
          <t>/Users/manczg/Documents/development/moonset/moonset-app/MoonsetAppTests/Presentation/ViewModels/SleepTimerViewModelMusicSetupTests.swift</t>
        </is>
      </c>
      <c r="C1191" t="inlineStr">
        <is>
          <t>tests-06</t>
        </is>
      </c>
      <c r="D1191" t="n">
        <v>25</v>
      </c>
      <c r="E1191" t="inlineStr">
        <is>
          <t>var mockTimerPublisher: MockTimerPublisher!</t>
        </is>
      </c>
    </row>
    <row r="1192">
      <c r="A1192" t="inlineStr">
        <is>
          <t>moonset</t>
        </is>
      </c>
      <c r="B1192" t="inlineStr">
        <is>
          <t>/Users/manczg/Documents/development/moonset/moonset-app/MoonsetAppTests/Presentation/ViewModels/SleepTimerViewModelMusicSetupTests.swift</t>
        </is>
      </c>
      <c r="C1192" t="inlineStr">
        <is>
          <t>tests-06</t>
        </is>
      </c>
      <c r="D1192" t="n">
        <v>26</v>
      </c>
      <c r="E1192" t="inlineStr">
        <is>
          <t>var mockAudioService: MockAudioService!</t>
        </is>
      </c>
    </row>
    <row r="1193">
      <c r="A1193" t="inlineStr">
        <is>
          <t>moonset</t>
        </is>
      </c>
      <c r="B1193" t="inlineStr">
        <is>
          <t>/Users/manczg/Documents/development/moonset/moonset-app/MoonsetAppTests/Presentation/ViewModels/SleepTimerViewModelMusicSetupTests.swift</t>
        </is>
      </c>
      <c r="C1193" t="inlineStr">
        <is>
          <t>tests-06</t>
        </is>
      </c>
      <c r="D1193" t="n">
        <v>27</v>
      </c>
      <c r="E1193" t="inlineStr">
        <is>
          <t>var mockSoundPreferenceService: MockSoundPreferenceService!</t>
        </is>
      </c>
    </row>
    <row r="1194">
      <c r="A1194" t="inlineStr">
        <is>
          <t>moonset</t>
        </is>
      </c>
      <c r="B1194" t="inlineStr">
        <is>
          <t>/Users/manczg/Documents/development/moonset/moonset-app/MoonsetAppTests/Presentation/ViewModels/SleepTimerViewModelMusicSetupTests.swift</t>
        </is>
      </c>
      <c r="C1194" t="inlineStr">
        <is>
          <t>tests-06</t>
        </is>
      </c>
      <c r="D1194" t="n">
        <v>28</v>
      </c>
      <c r="E1194" t="inlineStr">
        <is>
          <t>var mockMusicPreferenceService: MockMusicPreferenceService!</t>
        </is>
      </c>
    </row>
    <row r="1195">
      <c r="A1195" t="inlineStr">
        <is>
          <t>moonset</t>
        </is>
      </c>
      <c r="B1195" t="inlineStr">
        <is>
          <t>/Users/manczg/Documents/development/moonset/moonset-app/MoonsetAppTests/Presentation/ViewModels/SleepTimerViewModelMusicSetupTests.swift</t>
        </is>
      </c>
      <c r="C1195" t="inlineStr">
        <is>
          <t>tests-06</t>
        </is>
      </c>
      <c r="D1195" t="n">
        <v>30</v>
      </c>
      <c r="E1195" t="inlineStr">
        <is>
          <t>var timerService: TimerService!</t>
        </is>
      </c>
    </row>
    <row r="1196">
      <c r="A1196" t="inlineStr">
        <is>
          <t>moonset</t>
        </is>
      </c>
      <c r="B1196" t="inlineStr">
        <is>
          <t>/Users/manczg/Documents/development/moonset/moonset-app/MoonsetAppTests/Presentation/ViewModels/SleepTimerViewModelMusicSetupTests.swift</t>
        </is>
      </c>
      <c r="C1196" t="inlineStr">
        <is>
          <t>tests-06</t>
        </is>
      </c>
      <c r="D1196" t="n">
        <v>31</v>
      </c>
      <c r="E1196" t="inlineStr">
        <is>
          <t>var preferenceService: PreferenceService!</t>
        </is>
      </c>
    </row>
    <row r="1197">
      <c r="A1197" t="inlineStr">
        <is>
          <t>moonset</t>
        </is>
      </c>
      <c r="B1197" t="inlineStr">
        <is>
          <t>/Users/manczg/Documents/development/moonset/core/Tests/MoonsetCoreTests/Domain/Entities/SleepTimerTests.swift</t>
        </is>
      </c>
      <c r="C1197" t="inlineStr">
        <is>
          <t>safety-02</t>
        </is>
      </c>
      <c r="D1197" t="n">
        <v>554</v>
      </c>
      <c r="E1197" t="inlineStr">
        <is>
          <t>XCTAssertGreaterThanOrEqual(timer.lastStartDate!, beforeStart)</t>
        </is>
      </c>
    </row>
    <row r="1198">
      <c r="A1198" t="inlineStr">
        <is>
          <t>moonset</t>
        </is>
      </c>
      <c r="B1198" t="inlineStr">
        <is>
          <t>/Users/manczg/Documents/development/moonset/core/Tests/MoonsetCoreTests/Domain/Entities/SleepTimerTests.swift</t>
        </is>
      </c>
      <c r="C1198" t="inlineStr">
        <is>
          <t>safety-02</t>
        </is>
      </c>
      <c r="D1198" t="n">
        <v>555</v>
      </c>
      <c r="E1198" t="inlineStr">
        <is>
          <t>XCTAssertLessThanOrEqual(timer.lastStartDate!, afterStart)</t>
        </is>
      </c>
    </row>
    <row r="1199">
      <c r="A1199" t="inlineStr">
        <is>
          <t>moonset</t>
        </is>
      </c>
      <c r="B1199" t="inlineStr">
        <is>
          <t>/Users/manczg/Documents/development/moonset/core/Tests/MoonsetCoreTests/Domain/Entities/SleepTimerTests.swift</t>
        </is>
      </c>
      <c r="C1199" t="inlineStr">
        <is>
          <t>tests-04</t>
        </is>
      </c>
      <c r="D1199" t="n">
        <v>201</v>
      </c>
      <c r="E1199" t="inlineStr">
        <is>
          <t>Thread.sleep(forTimeInterval: 0.5)</t>
        </is>
      </c>
    </row>
    <row r="1200">
      <c r="A1200" t="inlineStr">
        <is>
          <t>moonset</t>
        </is>
      </c>
      <c r="B1200" t="inlineStr">
        <is>
          <t>/Users/manczg/Documents/development/moonset/core/Tests/MoonsetCoreTests/Domain/Entities/SleepTimerTests.swift</t>
        </is>
      </c>
      <c r="C1200" t="inlineStr">
        <is>
          <t>tests-04</t>
        </is>
      </c>
      <c r="D1200" t="n">
        <v>260</v>
      </c>
      <c r="E1200" t="inlineStr">
        <is>
          <t>Thread.sleep(forTimeInterval: 0.5)</t>
        </is>
      </c>
    </row>
    <row r="1201">
      <c r="A1201" t="inlineStr">
        <is>
          <t>moonset</t>
        </is>
      </c>
      <c r="B1201" t="inlineStr">
        <is>
          <t>/Users/manczg/Documents/development/moonset/core/Tests/MoonsetCoreTests/Domain/Entities/SleepTimerTests.swift</t>
        </is>
      </c>
      <c r="C1201" t="inlineStr">
        <is>
          <t>tests-04</t>
        </is>
      </c>
      <c r="D1201" t="n">
        <v>326</v>
      </c>
      <c r="E1201" t="inlineStr">
        <is>
          <t>Thread.sleep(forTimeInterval: 0.5)</t>
        </is>
      </c>
    </row>
    <row r="1202">
      <c r="A1202" t="inlineStr">
        <is>
          <t>moonset</t>
        </is>
      </c>
      <c r="B1202" t="inlineStr">
        <is>
          <t>/Users/manczg/Documents/development/moonset/core/Tests/MoonsetCoreTests/Domain/Entities/SleepTimerTests.swift</t>
        </is>
      </c>
      <c r="C1202" t="inlineStr">
        <is>
          <t>tests-04</t>
        </is>
      </c>
      <c r="D1202" t="n">
        <v>338</v>
      </c>
      <c r="E1202" t="inlineStr">
        <is>
          <t>Thread.sleep(forTimeInterval: 0.5)</t>
        </is>
      </c>
    </row>
    <row r="1203">
      <c r="A1203" t="inlineStr">
        <is>
          <t>moonset</t>
        </is>
      </c>
      <c r="B1203" t="inlineStr">
        <is>
          <t>/Users/manczg/Documents/development/moonset/core/Tests/MoonsetCoreTests/Domain/Entities/SleepTimerTests.swift</t>
        </is>
      </c>
      <c r="C1203" t="inlineStr">
        <is>
          <t>tests-04</t>
        </is>
      </c>
      <c r="D1203" t="n">
        <v>343</v>
      </c>
      <c r="E1203" t="inlineStr">
        <is>
          <t>Thread.sleep(forTimeInterval: 0.5)</t>
        </is>
      </c>
    </row>
    <row r="1204">
      <c r="A1204" t="inlineStr">
        <is>
          <t>moonset</t>
        </is>
      </c>
      <c r="B1204" t="inlineStr">
        <is>
          <t>/Users/manczg/Documents/development/moonset/core/Tests/MoonsetCoreTests/Domain/Entities/SleepTimerTests.swift</t>
        </is>
      </c>
      <c r="C1204" t="inlineStr">
        <is>
          <t>tests-04</t>
        </is>
      </c>
      <c r="D1204" t="n">
        <v>368</v>
      </c>
      <c r="E1204" t="inlineStr">
        <is>
          <t>Thread.sleep(forTimeInterval: 0.1)</t>
        </is>
      </c>
    </row>
    <row r="1205">
      <c r="A1205" t="inlineStr">
        <is>
          <t>moonset</t>
        </is>
      </c>
      <c r="B1205" t="inlineStr">
        <is>
          <t>/Users/manczg/Documents/development/moonset/core/Tests/MoonsetCoreTests/Domain/Entities/SleepTimerTests.swift</t>
        </is>
      </c>
      <c r="C1205" t="inlineStr">
        <is>
          <t>tests-04</t>
        </is>
      </c>
      <c r="D1205" t="n">
        <v>394</v>
      </c>
      <c r="E1205" t="inlineStr">
        <is>
          <t>Thread.sleep(forTimeInterval: 0.5)</t>
        </is>
      </c>
    </row>
    <row r="1206">
      <c r="A1206" t="inlineStr">
        <is>
          <t>moonset</t>
        </is>
      </c>
      <c r="B1206" t="inlineStr">
        <is>
          <t>/Users/manczg/Documents/development/moonset/core/Tests/MoonsetCoreTests/Domain/Entities/SleepTimerTests.swift</t>
        </is>
      </c>
      <c r="C1206" t="inlineStr">
        <is>
          <t>tests-04</t>
        </is>
      </c>
      <c r="D1206" t="n">
        <v>405</v>
      </c>
      <c r="E1206" t="inlineStr">
        <is>
          <t>Thread.sleep(forTimeInterval: 0.5)</t>
        </is>
      </c>
    </row>
    <row r="1207">
      <c r="A1207" t="inlineStr">
        <is>
          <t>moonset</t>
        </is>
      </c>
      <c r="B1207" t="inlineStr">
        <is>
          <t>/Users/manczg/Documents/development/moonset/core/Tests/MoonsetCoreTests/Domain/Entities/SleepTimerTests.swift</t>
        </is>
      </c>
      <c r="C1207" t="inlineStr">
        <is>
          <t>tests-04</t>
        </is>
      </c>
      <c r="D1207" t="n">
        <v>455</v>
      </c>
      <c r="E1207" t="inlineStr">
        <is>
          <t>Thread.sleep(forTimeInterval: 0.2)</t>
        </is>
      </c>
    </row>
    <row r="1208">
      <c r="A1208" t="inlineStr">
        <is>
          <t>moonset</t>
        </is>
      </c>
      <c r="B1208" t="inlineStr">
        <is>
          <t>/Users/manczg/Documents/development/moonset/core/Tests/MoonsetCoreTests/Domain/Entities/SleepTimerTests.swift</t>
        </is>
      </c>
      <c r="C1208" t="inlineStr">
        <is>
          <t>tests-04</t>
        </is>
      </c>
      <c r="D1208" t="n">
        <v>460</v>
      </c>
      <c r="E1208" t="inlineStr">
        <is>
          <t>Thread.sleep(forTimeInterval: 0.2)</t>
        </is>
      </c>
    </row>
    <row r="1209">
      <c r="A1209" t="inlineStr">
        <is>
          <t>moonset</t>
        </is>
      </c>
      <c r="B1209" t="inlineStr">
        <is>
          <t>/Users/manczg/Documents/development/moonset/core/Tests/MoonsetCoreTests/Domain/Entities/SleepTimerTests.swift</t>
        </is>
      </c>
      <c r="C1209" t="inlineStr">
        <is>
          <t>tests-04</t>
        </is>
      </c>
      <c r="D1209" t="n">
        <v>477</v>
      </c>
      <c r="E1209" t="inlineStr">
        <is>
          <t>Thread.sleep(forTimeInterval: 0.1)</t>
        </is>
      </c>
    </row>
    <row r="1210">
      <c r="A1210" t="inlineStr">
        <is>
          <t>moonset</t>
        </is>
      </c>
      <c r="B1210" t="inlineStr">
        <is>
          <t>/Users/manczg/Documents/development/moonset/core/Tests/MoonsetCoreTests/Domain/Entities/SleepTimerTests.swift</t>
        </is>
      </c>
      <c r="C1210" t="inlineStr">
        <is>
          <t>tests-04</t>
        </is>
      </c>
      <c r="D1210" t="n">
        <v>481</v>
      </c>
      <c r="E1210" t="inlineStr">
        <is>
          <t>Thread.sleep(forTimeInterval: 0.1)</t>
        </is>
      </c>
    </row>
    <row r="1211">
      <c r="A1211" t="inlineStr">
        <is>
          <t>moonset</t>
        </is>
      </c>
      <c r="B1211" t="inlineStr">
        <is>
          <t>/Users/manczg/Documents/development/moonset/core/Tests/MoonsetCoreTests/Domain/Entities/SleepTimerTests.swift</t>
        </is>
      </c>
      <c r="C1211" t="inlineStr">
        <is>
          <t>tests-04</t>
        </is>
      </c>
      <c r="D1211" t="n">
        <v>485</v>
      </c>
      <c r="E1211" t="inlineStr">
        <is>
          <t>Thread.sleep(forTimeInterval: 0.1)</t>
        </is>
      </c>
    </row>
    <row r="1212">
      <c r="A1212" t="inlineStr">
        <is>
          <t>moonset</t>
        </is>
      </c>
      <c r="B1212" t="inlineStr">
        <is>
          <t>/Users/manczg/Documents/development/moonset/core/Tests/MoonsetCoreTests/Domain/Entities/SleepTimerTests.swift</t>
        </is>
      </c>
      <c r="C1212" t="inlineStr">
        <is>
          <t>tests-04</t>
        </is>
      </c>
      <c r="D1212" t="n">
        <v>546</v>
      </c>
      <c r="E1212" t="inlineStr">
        <is>
          <t>let beforeStart = Date()</t>
        </is>
      </c>
    </row>
    <row r="1213">
      <c r="A1213" t="inlineStr">
        <is>
          <t>moonset</t>
        </is>
      </c>
      <c r="B1213" t="inlineStr">
        <is>
          <t>/Users/manczg/Documents/development/moonset/core/Tests/MoonsetCoreTests/Domain/Entities/SleepTimerTests.swift</t>
        </is>
      </c>
      <c r="C1213" t="inlineStr">
        <is>
          <t>tests-04</t>
        </is>
      </c>
      <c r="D1213" t="n">
        <v>550</v>
      </c>
      <c r="E1213" t="inlineStr">
        <is>
          <t>let afterStart = Date()</t>
        </is>
      </c>
    </row>
    <row r="1214">
      <c r="A1214" t="inlineStr">
        <is>
          <t>moonset</t>
        </is>
      </c>
      <c r="B1214" t="inlineStr">
        <is>
          <t>/Users/manczg/Documents/development/moonset/core/Tests/MoonsetCoreTests/Domain/Entities/SleepTimerTests.swift</t>
        </is>
      </c>
      <c r="C1214" t="inlineStr">
        <is>
          <t>tests-04</t>
        </is>
      </c>
      <c r="D1214" t="n">
        <v>591</v>
      </c>
      <c r="E1214" t="inlineStr">
        <is>
          <t>Thread.sleep(forTimeInterval: 0.5)</t>
        </is>
      </c>
    </row>
    <row r="1215">
      <c r="A1215" t="inlineStr">
        <is>
          <t>moonset</t>
        </is>
      </c>
      <c r="B1215" t="inlineStr">
        <is>
          <t>/Users/manczg/Documents/development/moonset/core/Tests/MoonsetCoreTests/Domain/Entities/SleepTimerTests.swift</t>
        </is>
      </c>
      <c r="C1215" t="inlineStr">
        <is>
          <t>tests-04</t>
        </is>
      </c>
      <c r="D1215" t="n">
        <v>598</v>
      </c>
      <c r="E1215" t="inlineStr">
        <is>
          <t>Thread.sleep(forTimeInterval: 0.5)</t>
        </is>
      </c>
    </row>
    <row r="1216">
      <c r="A1216" t="inlineStr">
        <is>
          <t>financialwell</t>
        </is>
      </c>
      <c r="B1216" t="inlineStr">
        <is>
          <t>/Users/manczg/Documents/development/financialwell/FinancialWell/Views/AddTransactionViewController.swift</t>
        </is>
      </c>
      <c r="C1216" t="inlineStr">
        <is>
          <t>arch-08</t>
        </is>
      </c>
      <c r="D1216" t="n">
        <v>78</v>
      </c>
      <c r="E1216" t="inlineStr">
        <is>
          <t>ModelManager.shared.locationService.activateLocationServices()</t>
        </is>
      </c>
    </row>
    <row r="1217">
      <c r="A1217" t="inlineStr">
        <is>
          <t>financialwell</t>
        </is>
      </c>
      <c r="B1217" t="inlineStr">
        <is>
          <t>/Users/manczg/Documents/development/financialwell/FinancialWell/Views/AddTransactionViewController.swift</t>
        </is>
      </c>
      <c r="C1217" t="inlineStr">
        <is>
          <t>arch-08</t>
        </is>
      </c>
      <c r="D1217" t="n">
        <v>577</v>
      </c>
      <c r="E1217" t="inlineStr">
        <is>
          <t>guard StoreManager.shared.isPremiumUser else {</t>
        </is>
      </c>
    </row>
    <row r="1218">
      <c r="A1218" t="inlineStr">
        <is>
          <t>financialwell</t>
        </is>
      </c>
      <c r="B1218" t="inlineStr">
        <is>
          <t>/Users/manczg/Documents/development/financialwell/FinancialWell/Views/AddTransactionViewController.swift</t>
        </is>
      </c>
      <c r="C1218" t="inlineStr">
        <is>
          <t>arch-08</t>
        </is>
      </c>
      <c r="D1218" t="n">
        <v>610</v>
      </c>
      <c r="E1218" t="inlineStr">
        <is>
          <t>guard StoreManager.shared.isPremiumUser else {</t>
        </is>
      </c>
    </row>
    <row r="1219">
      <c r="A1219" t="inlineStr">
        <is>
          <t>financialwell</t>
        </is>
      </c>
      <c r="B1219" t="inlineStr">
        <is>
          <t>/Users/manczg/Documents/development/financialwell/FinancialWell/Views/AddTransactionViewController.swift</t>
        </is>
      </c>
      <c r="C1219" t="inlineStr">
        <is>
          <t>safety-02</t>
        </is>
      </c>
      <c r="D1219" t="n">
        <v>243</v>
      </c>
      <c r="E1219" t="inlineStr">
        <is>
          <t>viewmodel.updatePrice(from: InputValue.text!)</t>
        </is>
      </c>
    </row>
    <row r="1220">
      <c r="A1220" t="inlineStr">
        <is>
          <t>financialwell</t>
        </is>
      </c>
      <c r="B1220" t="inlineStr">
        <is>
          <t>/Users/manczg/Documents/development/financialwell/FinancialWell/Views/AddTransactionViewController.swift</t>
        </is>
      </c>
      <c r="C1220" t="inlineStr">
        <is>
          <t>safety-02</t>
        </is>
      </c>
      <c r="D1220" t="n">
        <v>417</v>
      </c>
      <c r="E1220" t="inlineStr">
        <is>
          <t>viewmodel.updatePrice(from: InputValue.text!)</t>
        </is>
      </c>
    </row>
    <row r="1221">
      <c r="A1221" t="inlineStr">
        <is>
          <t>financialwell</t>
        </is>
      </c>
      <c r="B1221" t="inlineStr">
        <is>
          <t>/Users/manczg/Documents/development/financialwell/FinancialWell/Views/AddTransactionViewController.swift</t>
        </is>
      </c>
      <c r="C1221" t="inlineStr">
        <is>
          <t>safety-02</t>
        </is>
      </c>
      <c r="D1221" t="n">
        <v>420</v>
      </c>
      <c r="E1221" t="inlineStr">
        <is>
          <t>AddTransactionViewController.calculatorViewModel.updateInputValue(text: InputValue.text!)</t>
        </is>
      </c>
    </row>
    <row r="1222">
      <c r="A1222" t="inlineStr">
        <is>
          <t>financialwell</t>
        </is>
      </c>
      <c r="B1222" t="inlineStr">
        <is>
          <t>/Users/manczg/Documents/development/financialwell/FinancialWell/Views/AddTransactionViewController.swift</t>
        </is>
      </c>
      <c r="C1222" t="inlineStr">
        <is>
          <t>safety-02</t>
        </is>
      </c>
      <c r="D1222" t="n">
        <v>528</v>
      </c>
      <c r="E1222" t="inlineStr">
        <is>
          <t>let navController = tabBarController?.viewControllers![3] as! UINavigationController</t>
        </is>
      </c>
    </row>
    <row r="1223">
      <c r="A1223" t="inlineStr">
        <is>
          <t>financialwell</t>
        </is>
      </c>
      <c r="B1223" t="inlineStr">
        <is>
          <t>/Users/manczg/Documents/development/financialwell/FinancialWell/Views/AddTransactionViewController.swift</t>
        </is>
      </c>
      <c r="C1223" t="inlineStr">
        <is>
          <t>safety-02</t>
        </is>
      </c>
      <c r="D1223" t="n">
        <v>549</v>
      </c>
      <c r="E1223" t="inlineStr">
        <is>
          <t>let controller: MissingContainerViewController = segue.destination as! MissingContainerViewController</t>
        </is>
      </c>
    </row>
    <row r="1224">
      <c r="A1224" t="inlineStr">
        <is>
          <t>financialwell</t>
        </is>
      </c>
      <c r="B1224" t="inlineStr">
        <is>
          <t>/Users/manczg/Documents/development/financialwell/FinancialWell/Views/AddTransactionViewController.swift</t>
        </is>
      </c>
      <c r="C1224" t="inlineStr">
        <is>
          <t>safety-02</t>
        </is>
      </c>
      <c r="D1224" t="n">
        <v>559</v>
      </c>
      <c r="E1224" t="inlineStr">
        <is>
          <t>let controller: CurrencyViewController = segue.destination as! CurrencyViewController</t>
        </is>
      </c>
    </row>
    <row r="1225">
      <c r="A1225" t="inlineStr">
        <is>
          <t>financialwell</t>
        </is>
      </c>
      <c r="B1225" t="inlineStr">
        <is>
          <t>/Users/manczg/Documents/development/financialwell/FinancialWell/Views/AddTransactionViewController.swift</t>
        </is>
      </c>
      <c r="C1225" t="inlineStr">
        <is>
          <t>safety-02</t>
        </is>
      </c>
      <c r="D1225" t="n">
        <v>565</v>
      </c>
      <c r="E1225" t="inlineStr">
        <is>
          <t>let controller: DateViewController = segue.destination as! DateViewController</t>
        </is>
      </c>
    </row>
    <row r="1226">
      <c r="A1226" t="inlineStr">
        <is>
          <t>financialwell</t>
        </is>
      </c>
      <c r="B1226" t="inlineStr">
        <is>
          <t>/Users/manczg/Documents/development/financialwell/FinancialWell/Views/AddTransactionViewController.swift</t>
        </is>
      </c>
      <c r="C1226" t="inlineStr">
        <is>
          <t>safety-02</t>
        </is>
      </c>
      <c r="D1226" t="n">
        <v>571</v>
      </c>
      <c r="E1226" t="inlineStr">
        <is>
          <t>let controller: TagViewController = segue.destination as! TagViewController</t>
        </is>
      </c>
    </row>
    <row r="1227">
      <c r="A1227" t="inlineStr">
        <is>
          <t>financialwell</t>
        </is>
      </c>
      <c r="B1227" t="inlineStr">
        <is>
          <t>/Users/manczg/Documents/development/financialwell/FinancialWell/Views/AddTransactionViewController.swift</t>
        </is>
      </c>
      <c r="C1227" t="inlineStr">
        <is>
          <t>safety-02</t>
        </is>
      </c>
      <c r="D1227" t="n">
        <v>582</v>
      </c>
      <c r="E1227" t="inlineStr">
        <is>
          <t>let controller: PlaceViewController = segue.destination as! PlaceViewController</t>
        </is>
      </c>
    </row>
    <row r="1228">
      <c r="A1228" t="inlineStr">
        <is>
          <t>financialwell</t>
        </is>
      </c>
      <c r="B1228" t="inlineStr">
        <is>
          <t>/Users/manczg/Documents/development/financialwell/FinancialWell/Views/AddTransactionViewController.swift</t>
        </is>
      </c>
      <c r="C1228" t="inlineStr">
        <is>
          <t>safety-02</t>
        </is>
      </c>
      <c r="D1228" t="n">
        <v>587</v>
      </c>
      <c r="E1228" t="inlineStr">
        <is>
          <t>let controller: AccountTableViewController = segue.destination as! AccountTableViewController</t>
        </is>
      </c>
    </row>
    <row r="1229">
      <c r="A1229" t="inlineStr">
        <is>
          <t>financialwell</t>
        </is>
      </c>
      <c r="B1229" t="inlineStr">
        <is>
          <t>/Users/manczg/Documents/development/financialwell/FinancialWell/Views/AddTransactionViewController.swift</t>
        </is>
      </c>
      <c r="C1229" t="inlineStr">
        <is>
          <t>safety-02</t>
        </is>
      </c>
      <c r="D1229" t="n">
        <v>593</v>
      </c>
      <c r="E1229" t="inlineStr">
        <is>
          <t>let controller: CategoryViewController = segue.destination as! CategoryViewController</t>
        </is>
      </c>
    </row>
    <row r="1230">
      <c r="A1230" t="inlineStr">
        <is>
          <t>financialwell</t>
        </is>
      </c>
      <c r="B1230" t="inlineStr">
        <is>
          <t>/Users/manczg/Documents/development/financialwell/FinancialWell/Views/AddTransactionViewController.swift</t>
        </is>
      </c>
      <c r="C1230" t="inlineStr">
        <is>
          <t>safety-02</t>
        </is>
      </c>
      <c r="D1230" t="n">
        <v>599</v>
      </c>
      <c r="E1230" t="inlineStr">
        <is>
          <t>let controller: SelectRecurrencyTableViewController = segue.destination as! SelectRecurrencyTableViewController</t>
        </is>
      </c>
    </row>
    <row r="1231">
      <c r="A1231" t="inlineStr">
        <is>
          <t>financialwell</t>
        </is>
      </c>
      <c r="B1231" t="inlineStr">
        <is>
          <t>/Users/manczg/Documents/development/financialwell/FinancialWell/Views/AddTransactionViewController.swift</t>
        </is>
      </c>
      <c r="C1231" t="inlineStr">
        <is>
          <t>smells-03</t>
        </is>
      </c>
      <c r="D1231" t="n">
        <v>329</v>
      </c>
      <c r="E1231" t="inlineStr">
        <is>
          <t>override func viewWillAppear(_ animated: Bool) {</t>
        </is>
      </c>
    </row>
    <row r="1232">
      <c r="A1232" t="inlineStr">
        <is>
          <t>financialwell</t>
        </is>
      </c>
      <c r="B1232" t="inlineStr">
        <is>
          <t>/Users/manczg/Documents/development/financialwell/FinancialWell/Views/AddTransactionViewController.swift</t>
        </is>
      </c>
      <c r="C1232" t="inlineStr">
        <is>
          <t>smells-06</t>
        </is>
      </c>
      <c r="D1232" t="n">
        <v>131</v>
      </c>
      <c r="E1232" t="inlineStr">
        <is>
          <t>// TagButton.setTitleColor(textColor, for: UIControlState())</t>
        </is>
      </c>
    </row>
    <row r="1233">
      <c r="A1233" t="inlineStr">
        <is>
          <t>financialwell</t>
        </is>
      </c>
      <c r="B1233" t="inlineStr">
        <is>
          <t>/Users/manczg/Documents/development/financialwell/FinancialWell/Views/AddTransactionViewController.swift</t>
        </is>
      </c>
      <c r="C1233" t="inlineStr">
        <is>
          <t>smells-10</t>
        </is>
      </c>
      <c r="D1233" t="n">
        <v>78</v>
      </c>
      <c r="E1233" t="inlineStr">
        <is>
          <t>ModelManager.shared.locationService.activateLocationServices()</t>
        </is>
      </c>
    </row>
    <row r="1234">
      <c r="A1234" t="inlineStr">
        <is>
          <t>financialwell</t>
        </is>
      </c>
      <c r="B1234" t="inlineStr">
        <is>
          <t>/Users/manczg/Documents/development/financialwell/FinancialWell/Views/AddTransactionViewController.swift</t>
        </is>
      </c>
      <c r="C1234" t="inlineStr">
        <is>
          <t>smells-10</t>
        </is>
      </c>
      <c r="D1234" t="n">
        <v>94</v>
      </c>
      <c r="E1234" t="inlineStr">
        <is>
          <t>CalculatorView.layer.borderColor = Theme.Application.NavigationButton.cgColor</t>
        </is>
      </c>
    </row>
    <row r="1235">
      <c r="A1235" t="inlineStr">
        <is>
          <t>financialwell</t>
        </is>
      </c>
      <c r="B1235" t="inlineStr">
        <is>
          <t>/Users/manczg/Documents/development/financialwell/FinancialWell/Views/AddTransactionViewController.swift</t>
        </is>
      </c>
      <c r="C1235" t="inlineStr">
        <is>
          <t>smells-10</t>
        </is>
      </c>
      <c r="D1235" t="n">
        <v>96</v>
      </c>
      <c r="E1235" t="inlineStr">
        <is>
          <t>CalculatorView.layer.shadowColor = Theme.Color.DarkGrayOneThird.cgColor</t>
        </is>
      </c>
    </row>
    <row r="1236">
      <c r="A1236" t="inlineStr">
        <is>
          <t>financialwell</t>
        </is>
      </c>
      <c r="B1236" t="inlineStr">
        <is>
          <t>/Users/manczg/Documents/development/financialwell/FinancialWell/Views/AddTransactionViewController.swift</t>
        </is>
      </c>
      <c r="C1236" t="inlineStr">
        <is>
          <t>smells-10</t>
        </is>
      </c>
      <c r="D1236" t="n">
        <v>141</v>
      </c>
      <c r="E1236" t="inlineStr">
        <is>
          <t>self.navigationController?.interactivePopGestureRecognizer?.delegate = self</t>
        </is>
      </c>
    </row>
    <row r="1237">
      <c r="A1237" t="inlineStr">
        <is>
          <t>financialwell</t>
        </is>
      </c>
      <c r="B1237" t="inlineStr">
        <is>
          <t>/Users/manczg/Documents/development/financialwell/FinancialWell/Views/AddTransactionViewController.swift</t>
        </is>
      </c>
      <c r="C1237" t="inlineStr">
        <is>
          <t>smells-10</t>
        </is>
      </c>
      <c r="D1237" t="n">
        <v>182</v>
      </c>
      <c r="E1237" t="inlineStr">
        <is>
          <t>cell.collectionViewHeight.constant = cell.ResultsCollectionView.collectionViewLayout.collectionViewContentSize.height</t>
        </is>
      </c>
    </row>
    <row r="1238">
      <c r="A1238" t="inlineStr">
        <is>
          <t>financialwell</t>
        </is>
      </c>
      <c r="B1238" t="inlineStr">
        <is>
          <t>/Users/manczg/Documents/development/financialwell/FinancialWell/Views/AddTransactionViewController.swift</t>
        </is>
      </c>
      <c r="C1238" t="inlineStr">
        <is>
          <t>solid-06</t>
        </is>
      </c>
      <c r="D1238" t="n">
        <v>16</v>
      </c>
      <c r="E1238" t="inlineStr">
        <is>
          <t>@IBOutlet var theView: UIView!</t>
        </is>
      </c>
    </row>
    <row r="1239">
      <c r="A1239" t="inlineStr">
        <is>
          <t>financialwell</t>
        </is>
      </c>
      <c r="B1239" t="inlineStr">
        <is>
          <t>/Users/manczg/Documents/development/financialwell/FinancialWell/Views/AddTransactionViewController.swift</t>
        </is>
      </c>
      <c r="C1239" t="inlineStr">
        <is>
          <t>solid-06</t>
        </is>
      </c>
      <c r="D1239" t="n">
        <v>17</v>
      </c>
      <c r="E1239" t="inlineStr">
        <is>
          <t>@IBOutlet var IncomeExpenseSelector: UISegmentedControl!</t>
        </is>
      </c>
    </row>
    <row r="1240">
      <c r="A1240" t="inlineStr">
        <is>
          <t>financialwell</t>
        </is>
      </c>
      <c r="B1240" t="inlineStr">
        <is>
          <t>/Users/manczg/Documents/development/financialwell/FinancialWell/Views/AddTransactionViewController.swift</t>
        </is>
      </c>
      <c r="C1240" t="inlineStr">
        <is>
          <t>solid-06</t>
        </is>
      </c>
      <c r="D1240" t="n">
        <v>18</v>
      </c>
      <c r="E1240" t="inlineStr">
        <is>
          <t>@IBOutlet var SelectCurrencyButton: UIButton!</t>
        </is>
      </c>
    </row>
    <row r="1241">
      <c r="A1241" t="inlineStr">
        <is>
          <t>financialwell</t>
        </is>
      </c>
      <c r="B1241" t="inlineStr">
        <is>
          <t>/Users/manczg/Documents/development/financialwell/FinancialWell/Views/AddTransactionViewController.swift</t>
        </is>
      </c>
      <c r="C1241" t="inlineStr">
        <is>
          <t>solid-06</t>
        </is>
      </c>
      <c r="D1241" t="n">
        <v>19</v>
      </c>
      <c r="E1241" t="inlineStr">
        <is>
          <t>@IBOutlet var InputValue: UITextField!</t>
        </is>
      </c>
    </row>
    <row r="1242">
      <c r="A1242" t="inlineStr">
        <is>
          <t>financialwell</t>
        </is>
      </c>
      <c r="B1242" t="inlineStr">
        <is>
          <t>/Users/manczg/Documents/development/financialwell/FinancialWell/Views/AddTransactionViewController.swift</t>
        </is>
      </c>
      <c r="C1242" t="inlineStr">
        <is>
          <t>solid-06</t>
        </is>
      </c>
      <c r="D1242" t="n">
        <v>20</v>
      </c>
      <c r="E1242" t="inlineStr">
        <is>
          <t>@IBOutlet var InputValueToolBar: UIToolbar!</t>
        </is>
      </c>
    </row>
    <row r="1243">
      <c r="A1243" t="inlineStr">
        <is>
          <t>financialwell</t>
        </is>
      </c>
      <c r="B1243" t="inlineStr">
        <is>
          <t>/Users/manczg/Documents/development/financialwell/FinancialWell/Views/AddTransactionViewController.swift</t>
        </is>
      </c>
      <c r="C1243" t="inlineStr">
        <is>
          <t>solid-06</t>
        </is>
      </c>
      <c r="D1243" t="n">
        <v>21</v>
      </c>
      <c r="E1243" t="inlineStr">
        <is>
          <t>@IBOutlet var CategoryButton: UIButton!</t>
        </is>
      </c>
    </row>
    <row r="1244">
      <c r="A1244" t="inlineStr">
        <is>
          <t>financialwell</t>
        </is>
      </c>
      <c r="B1244" t="inlineStr">
        <is>
          <t>/Users/manczg/Documents/development/financialwell/FinancialWell/Views/AddTransactionViewController.swift</t>
        </is>
      </c>
      <c r="C1244" t="inlineStr">
        <is>
          <t>solid-06</t>
        </is>
      </c>
      <c r="D1244" t="n">
        <v>22</v>
      </c>
      <c r="E1244" t="inlineStr">
        <is>
          <t>@IBOutlet var CategoryImage: UIImageView!</t>
        </is>
      </c>
    </row>
    <row r="1245">
      <c r="A1245" t="inlineStr">
        <is>
          <t>financialwell</t>
        </is>
      </c>
      <c r="B1245" t="inlineStr">
        <is>
          <t>/Users/manczg/Documents/development/financialwell/FinancialWell/Views/AddTransactionViewController.swift</t>
        </is>
      </c>
      <c r="C1245" t="inlineStr">
        <is>
          <t>solid-06</t>
        </is>
      </c>
      <c r="D1245" t="n">
        <v>23</v>
      </c>
      <c r="E1245" t="inlineStr">
        <is>
          <t>@IBOutlet var CategoryForwardImage: UIImageView!</t>
        </is>
      </c>
    </row>
    <row r="1246">
      <c r="A1246" t="inlineStr">
        <is>
          <t>financialwell</t>
        </is>
      </c>
      <c r="B1246" t="inlineStr">
        <is>
          <t>/Users/manczg/Documents/development/financialwell/FinancialWell/Views/AddTransactionViewController.swift</t>
        </is>
      </c>
      <c r="C1246" t="inlineStr">
        <is>
          <t>solid-06</t>
        </is>
      </c>
      <c r="D1246" t="n">
        <v>24</v>
      </c>
      <c r="E1246" t="inlineStr">
        <is>
          <t>@IBOutlet var AccountButton: UIButton!</t>
        </is>
      </c>
    </row>
    <row r="1247">
      <c r="A1247" t="inlineStr">
        <is>
          <t>financialwell</t>
        </is>
      </c>
      <c r="B1247" t="inlineStr">
        <is>
          <t>/Users/manczg/Documents/development/financialwell/FinancialWell/Views/AddTransactionViewController.swift</t>
        </is>
      </c>
      <c r="C1247" t="inlineStr">
        <is>
          <t>solid-06</t>
        </is>
      </c>
      <c r="D1247" t="n">
        <v>25</v>
      </c>
      <c r="E1247" t="inlineStr">
        <is>
          <t>@IBOutlet var AccountImage: UIImageView!</t>
        </is>
      </c>
    </row>
    <row r="1248">
      <c r="A1248" t="inlineStr">
        <is>
          <t>financialwell</t>
        </is>
      </c>
      <c r="B1248" t="inlineStr">
        <is>
          <t>/Users/manczg/Documents/development/financialwell/FinancialWell/Views/AddTransactionViewController.swift</t>
        </is>
      </c>
      <c r="C1248" t="inlineStr">
        <is>
          <t>solid-06</t>
        </is>
      </c>
      <c r="D1248" t="n">
        <v>26</v>
      </c>
      <c r="E1248" t="inlineStr">
        <is>
          <t>@IBOutlet var AccountForwardImage: UIImageView!</t>
        </is>
      </c>
    </row>
    <row r="1249">
      <c r="A1249" t="inlineStr">
        <is>
          <t>financialwell</t>
        </is>
      </c>
      <c r="B1249" t="inlineStr">
        <is>
          <t>/Users/manczg/Documents/development/financialwell/FinancialWell/Views/AddTransactionViewController.swift</t>
        </is>
      </c>
      <c r="C1249" t="inlineStr">
        <is>
          <t>solid-06</t>
        </is>
      </c>
      <c r="D1249" t="n">
        <v>27</v>
      </c>
      <c r="E1249" t="inlineStr">
        <is>
          <t>@IBOutlet var datePicker: UIDatePicker!</t>
        </is>
      </c>
    </row>
    <row r="1250">
      <c r="A1250" t="inlineStr">
        <is>
          <t>financialwell</t>
        </is>
      </c>
      <c r="B1250" t="inlineStr">
        <is>
          <t>/Users/manczg/Documents/development/financialwell/FinancialWell/Views/AddTransactionViewController.swift</t>
        </is>
      </c>
      <c r="C1250" t="inlineStr">
        <is>
          <t>solid-06</t>
        </is>
      </c>
      <c r="D1250" t="n">
        <v>28</v>
      </c>
      <c r="E1250" t="inlineStr">
        <is>
          <t>@IBOutlet var DateImage: UIImageView!</t>
        </is>
      </c>
    </row>
    <row r="1251">
      <c r="A1251" t="inlineStr">
        <is>
          <t>financialwell</t>
        </is>
      </c>
      <c r="B1251" t="inlineStr">
        <is>
          <t>/Users/manczg/Documents/development/financialwell/FinancialWell/Views/AddTransactionViewController.swift</t>
        </is>
      </c>
      <c r="C1251" t="inlineStr">
        <is>
          <t>solid-06</t>
        </is>
      </c>
      <c r="D1251" t="n">
        <v>29</v>
      </c>
      <c r="E1251" t="inlineStr">
        <is>
          <t>@IBOutlet var repeatForwardImage: UIImageView!</t>
        </is>
      </c>
    </row>
    <row r="1252">
      <c r="A1252" t="inlineStr">
        <is>
          <t>financialwell</t>
        </is>
      </c>
      <c r="B1252" t="inlineStr">
        <is>
          <t>/Users/manczg/Documents/development/financialwell/FinancialWell/Views/AddTransactionViewController.swift</t>
        </is>
      </c>
      <c r="C1252" t="inlineStr">
        <is>
          <t>solid-06</t>
        </is>
      </c>
      <c r="D1252" t="n">
        <v>30</v>
      </c>
      <c r="E1252" t="inlineStr">
        <is>
          <t>@IBOutlet var repeatButton: UIButton!</t>
        </is>
      </c>
    </row>
    <row r="1253">
      <c r="A1253" t="inlineStr">
        <is>
          <t>financialwell</t>
        </is>
      </c>
      <c r="B1253" t="inlineStr">
        <is>
          <t>/Users/manczg/Documents/development/financialwell/FinancialWell/Views/AddTransactionViewController.swift</t>
        </is>
      </c>
      <c r="C1253" t="inlineStr">
        <is>
          <t>solid-06</t>
        </is>
      </c>
      <c r="D1253" t="n">
        <v>31</v>
      </c>
      <c r="E1253" t="inlineStr">
        <is>
          <t>@IBOutlet var repeatImage: UIImageView!</t>
        </is>
      </c>
    </row>
    <row r="1254">
      <c r="A1254" t="inlineStr">
        <is>
          <t>financialwell</t>
        </is>
      </c>
      <c r="B1254" t="inlineStr">
        <is>
          <t>/Users/manczg/Documents/development/financialwell/FinancialWell/Views/AddTransactionViewController.swift</t>
        </is>
      </c>
      <c r="C1254" t="inlineStr">
        <is>
          <t>solid-06</t>
        </is>
      </c>
      <c r="D1254" t="n">
        <v>32</v>
      </c>
      <c r="E1254" t="inlineStr">
        <is>
          <t>@IBOutlet var tagButton: UIButton!</t>
        </is>
      </c>
    </row>
    <row r="1255">
      <c r="A1255" t="inlineStr">
        <is>
          <t>financialwell</t>
        </is>
      </c>
      <c r="B1255" t="inlineStr">
        <is>
          <t>/Users/manczg/Documents/development/financialwell/FinancialWell/Views/AddTransactionViewController.swift</t>
        </is>
      </c>
      <c r="C1255" t="inlineStr">
        <is>
          <t>solid-06</t>
        </is>
      </c>
      <c r="D1255" t="n">
        <v>33</v>
      </c>
      <c r="E1255" t="inlineStr">
        <is>
          <t>@IBOutlet var TagImage: UIImageView!</t>
        </is>
      </c>
    </row>
    <row r="1256">
      <c r="A1256" t="inlineStr">
        <is>
          <t>financialwell</t>
        </is>
      </c>
      <c r="B1256" t="inlineStr">
        <is>
          <t>/Users/manczg/Documents/development/financialwell/FinancialWell/Views/AddTransactionViewController.swift</t>
        </is>
      </c>
      <c r="C1256" t="inlineStr">
        <is>
          <t>solid-06</t>
        </is>
      </c>
      <c r="D1256" t="n">
        <v>34</v>
      </c>
      <c r="E1256" t="inlineStr">
        <is>
          <t>@IBOutlet var TagForwardImage: UIImageView!</t>
        </is>
      </c>
    </row>
    <row r="1257">
      <c r="A1257" t="inlineStr">
        <is>
          <t>financialwell</t>
        </is>
      </c>
      <c r="B1257" t="inlineStr">
        <is>
          <t>/Users/manczg/Documents/development/financialwell/FinancialWell/Views/AddTransactionViewController.swift</t>
        </is>
      </c>
      <c r="C1257" t="inlineStr">
        <is>
          <t>solid-06</t>
        </is>
      </c>
      <c r="D1257" t="n">
        <v>35</v>
      </c>
      <c r="E1257" t="inlineStr">
        <is>
          <t>@IBOutlet var SaveButton: UIButton!</t>
        </is>
      </c>
    </row>
    <row r="1258">
      <c r="A1258" t="inlineStr">
        <is>
          <t>financialwell</t>
        </is>
      </c>
      <c r="B1258" t="inlineStr">
        <is>
          <t>/Users/manczg/Documents/development/financialwell/FinancialWell/Views/AddTransactionViewController.swift</t>
        </is>
      </c>
      <c r="C1258" t="inlineStr">
        <is>
          <t>solid-06</t>
        </is>
      </c>
      <c r="D1258" t="n">
        <v>36</v>
      </c>
      <c r="E1258" t="inlineStr">
        <is>
          <t>@IBOutlet var CancelButton: UIButton!</t>
        </is>
      </c>
    </row>
    <row r="1259">
      <c r="A1259" t="inlineStr">
        <is>
          <t>financialwell</t>
        </is>
      </c>
      <c r="B1259" t="inlineStr">
        <is>
          <t>/Users/manczg/Documents/development/financialwell/FinancialWell/Views/AddTransactionViewController.swift</t>
        </is>
      </c>
      <c r="C1259" t="inlineStr">
        <is>
          <t>solid-06</t>
        </is>
      </c>
      <c r="D1259" t="n">
        <v>37</v>
      </c>
      <c r="E1259" t="inlineStr">
        <is>
          <t>@IBOutlet var TagText: UITextView!</t>
        </is>
      </c>
    </row>
    <row r="1260">
      <c r="A1260" t="inlineStr">
        <is>
          <t>financialwell</t>
        </is>
      </c>
      <c r="B1260" t="inlineStr">
        <is>
          <t>/Users/manczg/Documents/development/financialwell/FinancialWell/Views/AddTransactionViewController.swift</t>
        </is>
      </c>
      <c r="C1260" t="inlineStr">
        <is>
          <t>solid-06</t>
        </is>
      </c>
      <c r="D1260" t="n">
        <v>38</v>
      </c>
      <c r="E1260" t="inlineStr">
        <is>
          <t>@IBOutlet var DoneBarButtonItem: UIBarButtonItem!</t>
        </is>
      </c>
    </row>
    <row r="1261">
      <c r="A1261" t="inlineStr">
        <is>
          <t>financialwell</t>
        </is>
      </c>
      <c r="B1261" t="inlineStr">
        <is>
          <t>/Users/manczg/Documents/development/financialwell/FinancialWell/Views/AddTransactionViewController.swift</t>
        </is>
      </c>
      <c r="C1261" t="inlineStr">
        <is>
          <t>solid-06</t>
        </is>
      </c>
      <c r="D1261" t="n">
        <v>39</v>
      </c>
      <c r="E1261" t="inlineStr">
        <is>
          <t>@IBOutlet var SaveBarButtonItem: UIBarButtonItem!</t>
        </is>
      </c>
    </row>
    <row r="1262">
      <c r="A1262" t="inlineStr">
        <is>
          <t>financialwell</t>
        </is>
      </c>
      <c r="B1262" t="inlineStr">
        <is>
          <t>/Users/manczg/Documents/development/financialwell/FinancialWell/Views/AddTransactionViewController.swift</t>
        </is>
      </c>
      <c r="C1262" t="inlineStr">
        <is>
          <t>solid-06</t>
        </is>
      </c>
      <c r="D1262" t="n">
        <v>40</v>
      </c>
      <c r="E1262" t="inlineStr">
        <is>
          <t>@IBOutlet var CalculatorShowHideBarButtonItem: UIBarButtonItem!</t>
        </is>
      </c>
    </row>
    <row r="1263">
      <c r="A1263" t="inlineStr">
        <is>
          <t>financialwell</t>
        </is>
      </c>
      <c r="B1263" t="inlineStr">
        <is>
          <t>/Users/manczg/Documents/development/financialwell/FinancialWell/Views/AddTransactionViewController.swift</t>
        </is>
      </c>
      <c r="C1263" t="inlineStr">
        <is>
          <t>solid-06</t>
        </is>
      </c>
      <c r="D1263" t="n">
        <v>41</v>
      </c>
      <c r="E1263" t="inlineStr">
        <is>
          <t>@IBOutlet var CalculatorAddBarButtonItem: UIBarButtonItem!</t>
        </is>
      </c>
    </row>
    <row r="1264">
      <c r="A1264" t="inlineStr">
        <is>
          <t>financialwell</t>
        </is>
      </c>
      <c r="B1264" t="inlineStr">
        <is>
          <t>/Users/manczg/Documents/development/financialwell/FinancialWell/Views/AddTransactionViewController.swift</t>
        </is>
      </c>
      <c r="C1264" t="inlineStr">
        <is>
          <t>solid-06</t>
        </is>
      </c>
      <c r="D1264" t="n">
        <v>42</v>
      </c>
      <c r="E1264" t="inlineStr">
        <is>
          <t>@IBOutlet var CalculatorSubBarButtonItem: UIBarButtonItem!</t>
        </is>
      </c>
    </row>
    <row r="1265">
      <c r="A1265" t="inlineStr">
        <is>
          <t>financialwell</t>
        </is>
      </c>
      <c r="B1265" t="inlineStr">
        <is>
          <t>/Users/manczg/Documents/development/financialwell/FinancialWell/Views/AddTransactionViewController.swift</t>
        </is>
      </c>
      <c r="C1265" t="inlineStr">
        <is>
          <t>solid-06</t>
        </is>
      </c>
      <c r="D1265" t="n">
        <v>43</v>
      </c>
      <c r="E1265" t="inlineStr">
        <is>
          <t>@IBOutlet var CalculatorMultiplicationBarButtonItem: UIBarButtonItem!</t>
        </is>
      </c>
    </row>
    <row r="1266">
      <c r="A1266" t="inlineStr">
        <is>
          <t>financialwell</t>
        </is>
      </c>
      <c r="B1266" t="inlineStr">
        <is>
          <t>/Users/manczg/Documents/development/financialwell/FinancialWell/Views/AddTransactionViewController.swift</t>
        </is>
      </c>
      <c r="C1266" t="inlineStr">
        <is>
          <t>solid-06</t>
        </is>
      </c>
      <c r="D1266" t="n">
        <v>44</v>
      </c>
      <c r="E1266" t="inlineStr">
        <is>
          <t>@IBOutlet var CalculatorClearBarButtonItem: UIBarButtonItem!</t>
        </is>
      </c>
    </row>
    <row r="1267">
      <c r="A1267" t="inlineStr">
        <is>
          <t>financialwell</t>
        </is>
      </c>
      <c r="B1267" t="inlineStr">
        <is>
          <t>/Users/manczg/Documents/development/financialwell/FinancialWell/Views/AddTransactionViewController.swift</t>
        </is>
      </c>
      <c r="C1267" t="inlineStr">
        <is>
          <t>solid-06</t>
        </is>
      </c>
      <c r="D1267" t="n">
        <v>45</v>
      </c>
      <c r="E1267" t="inlineStr">
        <is>
          <t>@IBOutlet var CalculatorCalculateBarButtonItem: UIBarButtonItem!</t>
        </is>
      </c>
    </row>
    <row r="1268">
      <c r="A1268" t="inlineStr">
        <is>
          <t>financialwell</t>
        </is>
      </c>
      <c r="B1268" t="inlineStr">
        <is>
          <t>/Users/manczg/Documents/development/financialwell/FinancialWell/Views/AddTransactionViewController.swift</t>
        </is>
      </c>
      <c r="C1268" t="inlineStr">
        <is>
          <t>solid-06</t>
        </is>
      </c>
      <c r="D1268" t="n">
        <v>46</v>
      </c>
      <c r="E1268" t="inlineStr">
        <is>
          <t>@IBOutlet var CalculatorView: UIView!</t>
        </is>
      </c>
    </row>
    <row r="1269">
      <c r="A1269" t="inlineStr">
        <is>
          <t>financialwell</t>
        </is>
      </c>
      <c r="B1269" t="inlineStr">
        <is>
          <t>/Users/manczg/Documents/development/financialwell/FinancialWell/Views/AddTransactionViewController.swift</t>
        </is>
      </c>
      <c r="C1269" t="inlineStr">
        <is>
          <t>solid-06</t>
        </is>
      </c>
      <c r="D1269" t="n">
        <v>47</v>
      </c>
      <c r="E1269" t="inlineStr">
        <is>
          <t>@IBOutlet var CalculatorTableView: UITableView!</t>
        </is>
      </c>
    </row>
    <row r="1270">
      <c r="A1270" t="inlineStr">
        <is>
          <t>financialwell</t>
        </is>
      </c>
      <c r="B1270" t="inlineStr">
        <is>
          <t>/Users/manczg/Documents/development/financialwell/FinancialWell/Views/AddTransactionViewController.swift</t>
        </is>
      </c>
      <c r="C1270" t="inlineStr">
        <is>
          <t>solid-06</t>
        </is>
      </c>
      <c r="D1270" t="n">
        <v>48</v>
      </c>
      <c r="E1270" t="inlineStr">
        <is>
          <t>@IBOutlet var PlaceNameButton: UIButton!</t>
        </is>
      </c>
    </row>
    <row r="1271">
      <c r="A1271" t="inlineStr">
        <is>
          <t>financialwell</t>
        </is>
      </c>
      <c r="B1271" t="inlineStr">
        <is>
          <t>/Users/manczg/Documents/development/financialwell/FinancialWell/Views/AddTransactionViewController.swift</t>
        </is>
      </c>
      <c r="C1271" t="inlineStr">
        <is>
          <t>solid-06</t>
        </is>
      </c>
      <c r="D1271" t="n">
        <v>49</v>
      </c>
      <c r="E1271" t="inlineStr">
        <is>
          <t>@IBOutlet var PlaceAddressButton: UIButton!</t>
        </is>
      </c>
    </row>
    <row r="1272">
      <c r="A1272" t="inlineStr">
        <is>
          <t>financialwell</t>
        </is>
      </c>
      <c r="B1272" t="inlineStr">
        <is>
          <t>/Users/manczg/Documents/development/financialwell/FinancialWell/Views/AddTransactionViewController.swift</t>
        </is>
      </c>
      <c r="C1272" t="inlineStr">
        <is>
          <t>solid-06</t>
        </is>
      </c>
      <c r="D1272" t="n">
        <v>50</v>
      </c>
      <c r="E1272" t="inlineStr">
        <is>
          <t>@IBOutlet var PlaceSelectButton: UIButton!</t>
        </is>
      </c>
    </row>
    <row r="1273">
      <c r="A1273" t="inlineStr">
        <is>
          <t>financialwell</t>
        </is>
      </c>
      <c r="B1273" t="inlineStr">
        <is>
          <t>/Users/manczg/Documents/development/financialwell/FinancialWell/Views/AddTransactionViewController.swift</t>
        </is>
      </c>
      <c r="C1273" t="inlineStr">
        <is>
          <t>solid-06</t>
        </is>
      </c>
      <c r="D1273" t="n">
        <v>51</v>
      </c>
      <c r="E1273" t="inlineStr">
        <is>
          <t>@IBOutlet var PlaceForwardImage: UIImageView!</t>
        </is>
      </c>
    </row>
    <row r="1274">
      <c r="A1274" t="inlineStr">
        <is>
          <t>financialwell</t>
        </is>
      </c>
      <c r="B1274" t="inlineStr">
        <is>
          <t>/Users/manczg/Documents/development/financialwell/FinancialWell/Views/AddTransactionViewController.swift</t>
        </is>
      </c>
      <c r="C1274" t="inlineStr">
        <is>
          <t>solid-06</t>
        </is>
      </c>
      <c r="D1274" t="n">
        <v>54</v>
      </c>
      <c r="E1274" t="inlineStr">
        <is>
          <t>@IBOutlet var miniCalculatorTitleLabel: UILabel!</t>
        </is>
      </c>
    </row>
    <row r="1275">
      <c r="A1275" t="inlineStr">
        <is>
          <t>financialwell</t>
        </is>
      </c>
      <c r="B1275" t="inlineStr">
        <is>
          <t>/Users/manczg/Documents/development/financialwell/FinancialWell/Views/AddTransactionViewController.swift</t>
        </is>
      </c>
      <c r="C1275" t="inlineStr">
        <is>
          <t>solid-06</t>
        </is>
      </c>
      <c r="D1275" t="n">
        <v>55</v>
      </c>
      <c r="E1275" t="inlineStr">
        <is>
          <t>@IBOutlet var miniCalculatorInstructionLabel: UILabel!</t>
        </is>
      </c>
    </row>
    <row r="1276">
      <c r="A1276" t="inlineStr">
        <is>
          <t>financialwell</t>
        </is>
      </c>
      <c r="B1276" t="inlineStr">
        <is>
          <t>/Users/manczg/Documents/development/financialwell/FinancialWell/Views/AddTransactionViewController.swift</t>
        </is>
      </c>
      <c r="C1276" t="inlineStr">
        <is>
          <t>solid-06</t>
        </is>
      </c>
      <c r="D1276" t="n">
        <v>56</v>
      </c>
      <c r="E1276" t="inlineStr">
        <is>
          <t>@IBOutlet var premiumFeatureButton: UIButton!</t>
        </is>
      </c>
    </row>
    <row r="1277">
      <c r="A1277" t="inlineStr">
        <is>
          <t>financialwell</t>
        </is>
      </c>
      <c r="B1277" t="inlineStr">
        <is>
          <t>/Users/manczg/Documents/development/financialwell/FinancialWell/Views/AddTransactionViewController.swift</t>
        </is>
      </c>
      <c r="C1277" t="inlineStr">
        <is>
          <t>solid-06</t>
        </is>
      </c>
      <c r="D1277" t="n">
        <v>58</v>
      </c>
      <c r="E1277" t="inlineStr">
        <is>
          <t>@IBOutlet var missingView: UIView!</t>
        </is>
      </c>
    </row>
    <row r="1278">
      <c r="A1278" t="inlineStr">
        <is>
          <t>financialwell</t>
        </is>
      </c>
      <c r="B1278" t="inlineStr">
        <is>
          <t>/Users/manczg/Documents/development/financialwell/FinancialWell/Views/AddTransactionViewController.swift</t>
        </is>
      </c>
      <c r="C1278" t="inlineStr">
        <is>
          <t>solid-06</t>
        </is>
      </c>
      <c r="D1278" t="n">
        <v>59</v>
      </c>
      <c r="E1278" t="inlineStr">
        <is>
          <t>var missingContainerView = MissingContainerViewController()</t>
        </is>
      </c>
    </row>
    <row r="1279">
      <c r="A1279" t="inlineStr">
        <is>
          <t>financialwell</t>
        </is>
      </c>
      <c r="B1279" t="inlineStr">
        <is>
          <t>/Users/manczg/Documents/development/financialwell/FinancialWell/Views/AddTransactionViewController.swift</t>
        </is>
      </c>
      <c r="C1279" t="inlineStr">
        <is>
          <t>solid-06</t>
        </is>
      </c>
      <c r="D1279" t="n">
        <v>61</v>
      </c>
      <c r="E1279" t="inlineStr">
        <is>
          <t>var previousDate: Date?</t>
        </is>
      </c>
    </row>
    <row r="1280">
      <c r="A1280" t="inlineStr">
        <is>
          <t>financialwell</t>
        </is>
      </c>
      <c r="B1280" t="inlineStr">
        <is>
          <t>/Users/manczg/Documents/development/financialwell/FinancialWell/Views/AddTransactionViewController.swift</t>
        </is>
      </c>
      <c r="C1280" t="inlineStr">
        <is>
          <t>solid-06</t>
        </is>
      </c>
      <c r="D1280" t="n">
        <v>66</v>
      </c>
      <c r="E1280" t="inlineStr">
        <is>
          <t>var dateString = NSMutableAttributedString()</t>
        </is>
      </c>
    </row>
    <row r="1281">
      <c r="A1281" t="inlineStr">
        <is>
          <t>financialwell</t>
        </is>
      </c>
      <c r="B1281" t="inlineStr">
        <is>
          <t>/Users/manczg/Documents/development/financialwell/FinancialWell/Views/AddTransactionViewController.swift</t>
        </is>
      </c>
      <c r="C1281" t="inlineStr">
        <is>
          <t>solid-06</t>
        </is>
      </c>
      <c r="D1281" t="n">
        <v>68</v>
      </c>
      <c r="E1281" t="inlineStr">
        <is>
          <t>var places = Places()</t>
        </is>
      </c>
    </row>
    <row r="1282">
      <c r="A1282" t="inlineStr">
        <is>
          <t>financialwell</t>
        </is>
      </c>
      <c r="B1282" t="inlineStr">
        <is>
          <t>/Users/manczg/Documents/development/financialwell/FinancialWell/Views/AddTransactionViewController.swift</t>
        </is>
      </c>
      <c r="C1282" t="inlineStr">
        <is>
          <t>solid-06</t>
        </is>
      </c>
      <c r="D1282" t="n">
        <v>69</v>
      </c>
      <c r="E1282" t="inlineStr">
        <is>
          <t>var location: CLLocation? = nil</t>
        </is>
      </c>
    </row>
    <row r="1283">
      <c r="A1283" t="inlineStr">
        <is>
          <t>financialwell</t>
        </is>
      </c>
      <c r="B1283" t="inlineStr">
        <is>
          <t>/Users/manczg/Documents/development/financialwell/FinancialWell/Views/AddTransactionViewController.swift</t>
        </is>
      </c>
      <c r="C1283" t="inlineStr">
        <is>
          <t>solid-06</t>
        </is>
      </c>
      <c r="D1283" t="n">
        <v>72</v>
      </c>
      <c r="E1283" t="inlineStr">
        <is>
          <t>static var calculatorViewModel = CalculatorViewModel()</t>
        </is>
      </c>
    </row>
    <row r="1284">
      <c r="A1284" t="inlineStr">
        <is>
          <t>financialwell</t>
        </is>
      </c>
      <c r="B1284" t="inlineStr">
        <is>
          <t>/Users/manczg/Documents/development/financialwell/FinancialWell/Views/AddTransactionViewController.swift</t>
        </is>
      </c>
      <c r="C1284" t="inlineStr">
        <is>
          <t>solid-06</t>
        </is>
      </c>
      <c r="D1284" t="n">
        <v>73</v>
      </c>
      <c r="E1284" t="inlineStr">
        <is>
          <t>var viewmodel = TransactionViewModel()</t>
        </is>
      </c>
    </row>
    <row r="1285">
      <c r="A1285" t="inlineStr">
        <is>
          <t>financialwell</t>
        </is>
      </c>
      <c r="B1285" t="inlineStr">
        <is>
          <t>/Users/manczg/Documents/development/financialwell/FinancialWell/Views/AddTransactionViewController.swift</t>
        </is>
      </c>
      <c r="C1285" t="inlineStr">
        <is>
          <t>solid-08</t>
        </is>
      </c>
      <c r="D1285" t="n">
        <v>66</v>
      </c>
      <c r="E1285" t="inlineStr">
        <is>
          <t>var dateString = NSMutableAttributedString()</t>
        </is>
      </c>
    </row>
    <row r="1286">
      <c r="A1286" t="inlineStr">
        <is>
          <t>financialwell</t>
        </is>
      </c>
      <c r="B1286" t="inlineStr">
        <is>
          <t>/Users/manczg/Documents/development/financialwell/FinancialWell/Views/AddTransactionViewController.swift</t>
        </is>
      </c>
      <c r="C1286" t="inlineStr">
        <is>
          <t>solid-08</t>
        </is>
      </c>
      <c r="D1286" t="n">
        <v>68</v>
      </c>
      <c r="E1286" t="inlineStr">
        <is>
          <t>var places = Places()</t>
        </is>
      </c>
    </row>
    <row r="1287">
      <c r="A1287" t="inlineStr">
        <is>
          <t>financialwell</t>
        </is>
      </c>
      <c r="B1287" t="inlineStr">
        <is>
          <t>/Users/manczg/Documents/development/financialwell/FinancialWell/Views/AddTransactionViewController.swift</t>
        </is>
      </c>
      <c r="C1287" t="inlineStr">
        <is>
          <t>solid-08</t>
        </is>
      </c>
      <c r="D1287" t="n">
        <v>69</v>
      </c>
      <c r="E1287" t="inlineStr">
        <is>
          <t>var location: CLLocation? = nil</t>
        </is>
      </c>
    </row>
    <row r="1288">
      <c r="A1288" t="inlineStr">
        <is>
          <t>financialwell</t>
        </is>
      </c>
      <c r="B1288" t="inlineStr">
        <is>
          <t>/Users/manczg/Documents/development/financialwell/FinancialWell/Views/AddTransactionViewController.swift</t>
        </is>
      </c>
      <c r="C1288" t="inlineStr">
        <is>
          <t>solid-08</t>
        </is>
      </c>
      <c r="D1288" t="n">
        <v>73</v>
      </c>
      <c r="E1288" t="inlineStr">
        <is>
          <t>var viewmodel = TransactionViewModel()</t>
        </is>
      </c>
    </row>
    <row r="1289">
      <c r="A1289" t="inlineStr">
        <is>
          <t>financialwell</t>
        </is>
      </c>
      <c r="B1289" t="inlineStr">
        <is>
          <t>/Users/manczg/Documents/development/financialwell/FinancialWell/Views/AddTransactionViewController.swift</t>
        </is>
      </c>
      <c r="C1289" t="inlineStr">
        <is>
          <t>solid-08</t>
        </is>
      </c>
      <c r="D1289" t="n">
        <v>309</v>
      </c>
      <c r="E1289" t="inlineStr">
        <is>
          <t>var style = ToastStyle()</t>
        </is>
      </c>
    </row>
    <row r="1290">
      <c r="A1290" t="inlineStr">
        <is>
          <t>financialwell</t>
        </is>
      </c>
      <c r="B1290" t="inlineStr">
        <is>
          <t>/Users/manczg/Documents/development/financialwell/FinancialWell/Views/AddTransactionViewController.swift</t>
        </is>
      </c>
      <c r="C1290" t="inlineStr">
        <is>
          <t>solid-09</t>
        </is>
      </c>
      <c r="D1290" t="n">
        <v>72</v>
      </c>
      <c r="E1290" t="inlineStr">
        <is>
          <t>static var calculatorViewModel = CalculatorViewModel()</t>
        </is>
      </c>
    </row>
    <row r="1291">
      <c r="A1291" t="inlineStr">
        <is>
          <t>financialwell</t>
        </is>
      </c>
      <c r="B1291" t="inlineStr">
        <is>
          <t>/Users/manczg/Documents/development/financialwell/FinancialWell/Views/AddTransactionViewController.swift</t>
        </is>
      </c>
      <c r="C1291" t="inlineStr">
        <is>
          <t>solid-10</t>
        </is>
      </c>
      <c r="D1291" t="n">
        <v>59</v>
      </c>
      <c r="E1291" t="inlineStr">
        <is>
          <t>var missingContainerView = MissingContainerViewController()</t>
        </is>
      </c>
    </row>
    <row r="1292">
      <c r="A1292" t="inlineStr">
        <is>
          <t>financialwell</t>
        </is>
      </c>
      <c r="B1292" t="inlineStr">
        <is>
          <t>/Users/manczg/Documents/development/financialwell/FinancialWell/Views/AddTransactionViewController.swift</t>
        </is>
      </c>
      <c r="C1292" t="inlineStr">
        <is>
          <t>solid-10</t>
        </is>
      </c>
      <c r="D1292" t="n">
        <v>72</v>
      </c>
      <c r="E1292" t="inlineStr">
        <is>
          <t>static var calculatorViewModel = CalculatorViewModel()</t>
        </is>
      </c>
    </row>
    <row r="1293">
      <c r="A1293" t="inlineStr">
        <is>
          <t>financialwell</t>
        </is>
      </c>
      <c r="B1293" t="inlineStr">
        <is>
          <t>/Users/manczg/Documents/development/financialwell/FinancialWell/Views/AddTransactionViewController.swift</t>
        </is>
      </c>
      <c r="C1293" t="inlineStr">
        <is>
          <t>solid-10</t>
        </is>
      </c>
      <c r="D1293" t="n">
        <v>73</v>
      </c>
      <c r="E1293" t="inlineStr">
        <is>
          <t>var viewmodel = TransactionViewModel()</t>
        </is>
      </c>
    </row>
    <row r="1294">
      <c r="A1294" t="inlineStr">
        <is>
          <t>financialwell</t>
        </is>
      </c>
      <c r="B1294" t="inlineStr">
        <is>
          <t>/Users/manczg/Documents/development/financialwell/FinancialWell/Views/AddTransactionViewController.swift</t>
        </is>
      </c>
      <c r="C1294" t="inlineStr">
        <is>
          <t>solid-10</t>
        </is>
      </c>
      <c r="D1294" t="n">
        <v>534</v>
      </c>
      <c r="E1294" t="inlineStr">
        <is>
          <t>let strategy = TransactionsViewControllerHistoryStrategy()</t>
        </is>
      </c>
    </row>
    <row r="1295">
      <c r="A1295" t="inlineStr">
        <is>
          <t>financialwell</t>
        </is>
      </c>
      <c r="B1295" t="inlineStr">
        <is>
          <t>/Users/manczg/Documents/development/financialwell/FinancialWell/Views/AddTransactionViewController.swift</t>
        </is>
      </c>
      <c r="C1295" t="inlineStr">
        <is>
          <t>solid-10</t>
        </is>
      </c>
      <c r="D1295" t="n">
        <v>535</v>
      </c>
      <c r="E1295" t="inlineStr">
        <is>
          <t>strategy.viewModel = TransactionsViewModel()</t>
        </is>
      </c>
    </row>
    <row r="1296">
      <c r="A1296" t="inlineStr">
        <is>
          <t>financialwell</t>
        </is>
      </c>
      <c r="B1296" t="inlineStr">
        <is>
          <t>/Users/manczg/Documents/development/financialwell/FinancialWell/Views/AddTransactionViewController.swift</t>
        </is>
      </c>
      <c r="C1296" t="inlineStr">
        <is>
          <t>solid-15</t>
        </is>
      </c>
      <c r="D1296" t="n">
        <v>253</v>
      </c>
      <c r="E1296" t="inlineStr">
        <is>
          <t>switch AddTransactionViewController.calculatorViewModel.state {</t>
        </is>
      </c>
    </row>
    <row r="1297">
      <c r="A1297" t="inlineStr">
        <is>
          <t>financialwell</t>
        </is>
      </c>
      <c r="B1297" t="inlineStr">
        <is>
          <t>/Users/manczg/Documents/development/financialwell/FinancialWell/Views/AddTransactionViewController.swift</t>
        </is>
      </c>
      <c r="C1297" t="inlineStr">
        <is>
          <t>tests-01</t>
        </is>
      </c>
      <c r="D1297" t="n">
        <v>15</v>
      </c>
      <c r="E1297" t="inlineStr">
        <is>
          <t>class AddTransactionViewController: LocalizableViewController, UITextFieldDelegate, UITableViewDelegate, UITableViewDataSource, UICollectionViewDataSource, UICollectionViewDelegate, UICollectionViewDelegateLeftAlignedLayout, TransactionViewModelAction, MissingContainerDelegate, UIGestureRecognizerDelegate {</t>
        </is>
      </c>
    </row>
    <row r="1298">
      <c r="A1298" t="inlineStr">
        <is>
          <t>financialwell</t>
        </is>
      </c>
      <c r="B1298" t="inlineStr">
        <is>
          <t>/Users/manczg/Documents/development/financialwell/FinancialWell/Home/HomeViewController.swift</t>
        </is>
      </c>
      <c r="C1298" t="inlineStr">
        <is>
          <t>arch-08</t>
        </is>
      </c>
      <c r="D1298" t="n">
        <v>124</v>
      </c>
      <c r="E1298" t="inlineStr">
        <is>
          <t>ModelManager.shared.databaseHandler.loadDefaultDatabase()</t>
        </is>
      </c>
    </row>
    <row r="1299">
      <c r="A1299" t="inlineStr">
        <is>
          <t>financialwell</t>
        </is>
      </c>
      <c r="B1299" t="inlineStr">
        <is>
          <t>/Users/manczg/Documents/development/financialwell/FinancialWell/Home/HomeViewController.swift</t>
        </is>
      </c>
      <c r="C1299" t="inlineStr">
        <is>
          <t>arch-08</t>
        </is>
      </c>
      <c r="D1299" t="n">
        <v>550</v>
      </c>
      <c r="E1299" t="inlineStr">
        <is>
          <t>guard ModelManager.shared.databaseHandler.backupRestoreImport.needToImport() else {</t>
        </is>
      </c>
    </row>
    <row r="1300">
      <c r="A1300" t="inlineStr">
        <is>
          <t>financialwell</t>
        </is>
      </c>
      <c r="B1300" t="inlineStr">
        <is>
          <t>/Users/manczg/Documents/development/financialwell/FinancialWell/Home/HomeViewController.swift</t>
        </is>
      </c>
      <c r="C1300" t="inlineStr">
        <is>
          <t>arch-08</t>
        </is>
      </c>
      <c r="D1300" t="n">
        <v>558</v>
      </c>
      <c r="E1300" t="inlineStr">
        <is>
          <t>importViewController.viewModel.url = ModelManager.shared.databaseHandler.backupRestoreImport.getAndResetImportUrl()</t>
        </is>
      </c>
    </row>
    <row r="1301">
      <c r="A1301" t="inlineStr">
        <is>
          <t>financialwell</t>
        </is>
      </c>
      <c r="B1301" t="inlineStr">
        <is>
          <t>/Users/manczg/Documents/development/financialwell/FinancialWell/Home/HomeViewController.swift</t>
        </is>
      </c>
      <c r="C1301" t="inlineStr">
        <is>
          <t>clarity-16</t>
        </is>
      </c>
      <c r="D1301" t="n">
        <v>309</v>
      </c>
      <c r="E1301" t="inlineStr">
        <is>
          <t>func tableView(_ tableView: UITableView, cellForRowAt indexPath: IndexPath) -&gt; UITableViewCell {</t>
        </is>
      </c>
    </row>
    <row r="1302">
      <c r="A1302" t="inlineStr">
        <is>
          <t>financialwell</t>
        </is>
      </c>
      <c r="B1302" t="inlineStr">
        <is>
          <t>/Users/manczg/Documents/development/financialwell/FinancialWell/Home/HomeViewController.swift</t>
        </is>
      </c>
      <c r="C1302" t="inlineStr">
        <is>
          <t>clarity-16</t>
        </is>
      </c>
      <c r="D1302" t="n">
        <v>366</v>
      </c>
      <c r="E1302" t="inlineStr">
        <is>
          <t>func tableView(_ tableView: UITableView, heightForRowAt indexPath: IndexPath) -&gt; CGFloat {</t>
        </is>
      </c>
    </row>
    <row r="1303">
      <c r="A1303" t="inlineStr">
        <is>
          <t>financialwell</t>
        </is>
      </c>
      <c r="B1303" t="inlineStr">
        <is>
          <t>/Users/manczg/Documents/development/financialwell/FinancialWell/Home/HomeViewController.swift</t>
        </is>
      </c>
      <c r="C1303" t="inlineStr">
        <is>
          <t>clarity-16</t>
        </is>
      </c>
      <c r="D1303" t="n">
        <v>488</v>
      </c>
      <c r="E1303" t="inlineStr">
        <is>
          <t>func handleMoreLessEvent(at indexPath: IndexPath) {</t>
        </is>
      </c>
    </row>
    <row r="1304">
      <c r="A1304" t="inlineStr">
        <is>
          <t>financialwell</t>
        </is>
      </c>
      <c r="B1304" t="inlineStr">
        <is>
          <t>/Users/manczg/Documents/development/financialwell/FinancialWell/Home/HomeViewController.swift</t>
        </is>
      </c>
      <c r="C1304" t="inlineStr">
        <is>
          <t>safety-01</t>
        </is>
      </c>
      <c r="D1304" t="n">
        <v>38</v>
      </c>
      <c r="E1304" t="inlineStr">
        <is>
          <t>NotificationCenter.default.addObserver(self, selector: #selector(startImportWizardIfNecessary), name: UIApplication.didBecomeActiveNotification, object: nil)</t>
        </is>
      </c>
    </row>
    <row r="1305">
      <c r="A1305" t="inlineStr">
        <is>
          <t>financialwell</t>
        </is>
      </c>
      <c r="B1305" t="inlineStr">
        <is>
          <t>/Users/manczg/Documents/development/financialwell/FinancialWell/Home/HomeViewController.swift</t>
        </is>
      </c>
      <c r="C1305" t="inlineStr">
        <is>
          <t>safety-02</t>
        </is>
      </c>
      <c r="D1305" t="n">
        <v>95</v>
      </c>
      <c r="E1305" t="inlineStr">
        <is>
          <t>let controller: AddTransactionViewController = segue.destination as! AddTransactionViewController</t>
        </is>
      </c>
    </row>
    <row r="1306">
      <c r="A1306" t="inlineStr">
        <is>
          <t>financialwell</t>
        </is>
      </c>
      <c r="B1306" t="inlineStr">
        <is>
          <t>/Users/manczg/Documents/development/financialwell/FinancialWell/Home/HomeViewController.swift</t>
        </is>
      </c>
      <c r="C1306" t="inlineStr">
        <is>
          <t>safety-02</t>
        </is>
      </c>
      <c r="D1306" t="n">
        <v>154</v>
      </c>
      <c r="E1306" t="inlineStr">
        <is>
          <t>let controller = storyBoard.instantiateViewController(withIdentifier: "AddTransactionView") as! AddTransactionViewController</t>
        </is>
      </c>
    </row>
    <row r="1307">
      <c r="A1307" t="inlineStr">
        <is>
          <t>financialwell</t>
        </is>
      </c>
      <c r="B1307" t="inlineStr">
        <is>
          <t>/Users/manczg/Documents/development/financialwell/FinancialWell/Home/HomeViewController.swift</t>
        </is>
      </c>
      <c r="C1307" t="inlineStr">
        <is>
          <t>safety-02</t>
        </is>
      </c>
      <c r="D1307" t="n">
        <v>455</v>
      </c>
      <c r="E1307" t="inlineStr">
        <is>
          <t>let controller = storyBoard.instantiateViewController(withIdentifier: "AddTransactionView") as! AddTransactionViewController</t>
        </is>
      </c>
    </row>
    <row r="1308">
      <c r="A1308" t="inlineStr">
        <is>
          <t>financialwell</t>
        </is>
      </c>
      <c r="B1308" t="inlineStr">
        <is>
          <t>/Users/manczg/Documents/development/financialwell/FinancialWell/Home/HomeViewController.swift</t>
        </is>
      </c>
      <c r="C1308" t="inlineStr">
        <is>
          <t>safety-02</t>
        </is>
      </c>
      <c r="D1308" t="n">
        <v>479</v>
      </c>
      <c r="E1308" t="inlineStr">
        <is>
          <t>let controller = storyBoard.instantiateViewController(withIdentifier: "AddTransactionView") as! AddTransactionViewController</t>
        </is>
      </c>
    </row>
    <row r="1309">
      <c r="A1309" t="inlineStr">
        <is>
          <t>financialwell</t>
        </is>
      </c>
      <c r="B1309" t="inlineStr">
        <is>
          <t>/Users/manczg/Documents/development/financialwell/FinancialWell/Home/HomeViewController.swift</t>
        </is>
      </c>
      <c r="C1309" t="inlineStr">
        <is>
          <t>safety-02</t>
        </is>
      </c>
      <c r="D1309" t="n">
        <v>519</v>
      </c>
      <c r="E1309" t="inlineStr">
        <is>
          <t>tableView.reloadSections(IndexSet(integer: section.index!), with: .automatic)</t>
        </is>
      </c>
    </row>
    <row r="1310">
      <c r="A1310" t="inlineStr">
        <is>
          <t>financialwell</t>
        </is>
      </c>
      <c r="B1310" t="inlineStr">
        <is>
          <t>/Users/manczg/Documents/development/financialwell/FinancialWell/Home/HomeViewController.swift</t>
        </is>
      </c>
      <c r="C1310" t="inlineStr">
        <is>
          <t>safety-02</t>
        </is>
      </c>
      <c r="D1310" t="n">
        <v>527</v>
      </c>
      <c r="E1310" t="inlineStr">
        <is>
          <t>tableView.reloadSections(IndexSet(integer: (sender.section?.index)!), with: .automatic)</t>
        </is>
      </c>
    </row>
    <row r="1311">
      <c r="A1311" t="inlineStr">
        <is>
          <t>financialwell</t>
        </is>
      </c>
      <c r="B1311" t="inlineStr">
        <is>
          <t>/Users/manczg/Documents/development/financialwell/FinancialWell/Home/HomeViewController.swift</t>
        </is>
      </c>
      <c r="C1311" t="inlineStr">
        <is>
          <t>smells-03</t>
        </is>
      </c>
      <c r="D1311" t="n">
        <v>63</v>
      </c>
      <c r="E1311" t="inlineStr">
        <is>
          <t>override func viewWillAppear(_ animated: Bool) {</t>
        </is>
      </c>
    </row>
    <row r="1312">
      <c r="A1312" t="inlineStr">
        <is>
          <t>financialwell</t>
        </is>
      </c>
      <c r="B1312" t="inlineStr">
        <is>
          <t>/Users/manczg/Documents/development/financialwell/FinancialWell/Home/HomeViewController.swift</t>
        </is>
      </c>
      <c r="C1312" t="inlineStr">
        <is>
          <t>smells-10</t>
        </is>
      </c>
      <c r="D1312" t="n">
        <v>124</v>
      </c>
      <c r="E1312" t="inlineStr">
        <is>
          <t>ModelManager.shared.databaseHandler.loadDefaultDatabase()</t>
        </is>
      </c>
    </row>
    <row r="1313">
      <c r="A1313" t="inlineStr">
        <is>
          <t>financialwell</t>
        </is>
      </c>
      <c r="B1313" t="inlineStr">
        <is>
          <t>/Users/manczg/Documents/development/financialwell/FinancialWell/Home/HomeViewController.swift</t>
        </is>
      </c>
      <c r="C1313" t="inlineStr">
        <is>
          <t>smells-10</t>
        </is>
      </c>
      <c r="D1313" t="n">
        <v>224</v>
      </c>
      <c r="E1313" t="inlineStr">
        <is>
          <t>if cell.contentView.subviews.count == 1 {</t>
        </is>
      </c>
    </row>
    <row r="1314">
      <c r="A1314" t="inlineStr">
        <is>
          <t>financialwell</t>
        </is>
      </c>
      <c r="B1314" t="inlineStr">
        <is>
          <t>/Users/manczg/Documents/development/financialwell/FinancialWell/Home/HomeViewController.swift</t>
        </is>
      </c>
      <c r="C1314" t="inlineStr">
        <is>
          <t>smells-10</t>
        </is>
      </c>
      <c r="D1314" t="n">
        <v>550</v>
      </c>
      <c r="E1314" t="inlineStr">
        <is>
          <t>guard ModelManager.shared.databaseHandler.backupRestoreImport.needToImport() else {</t>
        </is>
      </c>
    </row>
    <row r="1315">
      <c r="A1315" t="inlineStr">
        <is>
          <t>financialwell</t>
        </is>
      </c>
      <c r="B1315" t="inlineStr">
        <is>
          <t>/Users/manczg/Documents/development/financialwell/FinancialWell/Home/HomeViewController.swift</t>
        </is>
      </c>
      <c r="C1315" t="inlineStr">
        <is>
          <t>smells-10</t>
        </is>
      </c>
      <c r="D1315" t="n">
        <v>558</v>
      </c>
      <c r="E1315" t="inlineStr">
        <is>
          <t>importViewController.viewModel.url = ModelManager.shared.databaseHandler.backupRestoreImport.getAndResetImportUrl()</t>
        </is>
      </c>
    </row>
    <row r="1316">
      <c r="A1316" t="inlineStr">
        <is>
          <t>financialwell</t>
        </is>
      </c>
      <c r="B1316" t="inlineStr">
        <is>
          <t>/Users/manczg/Documents/development/financialwell/FinancialWell/Home/HomeViewController.swift</t>
        </is>
      </c>
      <c r="C1316" t="inlineStr">
        <is>
          <t>solid-06</t>
        </is>
      </c>
      <c r="D1316" t="n">
        <v>14</v>
      </c>
      <c r="E1316" t="inlineStr">
        <is>
          <t>var transactionModel: TransactionModel = .init()</t>
        </is>
      </c>
    </row>
    <row r="1317">
      <c r="A1317" t="inlineStr">
        <is>
          <t>financialwell</t>
        </is>
      </c>
      <c r="B1317" t="inlineStr">
        <is>
          <t>/Users/manczg/Documents/development/financialwell/FinancialWell/Home/HomeViewController.swift</t>
        </is>
      </c>
      <c r="C1317" t="inlineStr">
        <is>
          <t>solid-06</t>
        </is>
      </c>
      <c r="D1317" t="n">
        <v>15</v>
      </c>
      <c r="E1317" t="inlineStr">
        <is>
          <t>var viewmodel = HomeViewModel()</t>
        </is>
      </c>
    </row>
    <row r="1318">
      <c r="A1318" t="inlineStr">
        <is>
          <t>financialwell</t>
        </is>
      </c>
      <c r="B1318" t="inlineStr">
        <is>
          <t>/Users/manczg/Documents/development/financialwell/FinancialWell/Home/HomeViewController.swift</t>
        </is>
      </c>
      <c r="C1318" t="inlineStr">
        <is>
          <t>solid-06</t>
        </is>
      </c>
      <c r="D1318" t="n">
        <v>16</v>
      </c>
      <c r="E1318" t="inlineStr">
        <is>
          <t>var applogViewModel = AppLogViewModel()</t>
        </is>
      </c>
    </row>
    <row r="1319">
      <c r="A1319" t="inlineStr">
        <is>
          <t>financialwell</t>
        </is>
      </c>
      <c r="B1319" t="inlineStr">
        <is>
          <t>/Users/manczg/Documents/development/financialwell/FinancialWell/Home/HomeViewController.swift</t>
        </is>
      </c>
      <c r="C1319" t="inlineStr">
        <is>
          <t>solid-06</t>
        </is>
      </c>
      <c r="D1319" t="n">
        <v>17</v>
      </c>
      <c r="E1319" t="inlineStr">
        <is>
          <t>var emailComposer = MailComposer()</t>
        </is>
      </c>
    </row>
    <row r="1320">
      <c r="A1320" t="inlineStr">
        <is>
          <t>financialwell</t>
        </is>
      </c>
      <c r="B1320" t="inlineStr">
        <is>
          <t>/Users/manczg/Documents/development/financialwell/FinancialWell/Home/HomeViewController.swift</t>
        </is>
      </c>
      <c r="C1320" t="inlineStr">
        <is>
          <t>solid-06</t>
        </is>
      </c>
      <c r="D1320" t="n">
        <v>22</v>
      </c>
      <c r="E1320" t="inlineStr">
        <is>
          <t>@IBOutlet var openSettingsButton: UIBarButtonItem!</t>
        </is>
      </c>
    </row>
    <row r="1321">
      <c r="A1321" t="inlineStr">
        <is>
          <t>financialwell</t>
        </is>
      </c>
      <c r="B1321" t="inlineStr">
        <is>
          <t>/Users/manczg/Documents/development/financialwell/FinancialWell/Home/HomeViewController.swift</t>
        </is>
      </c>
      <c r="C1321" t="inlineStr">
        <is>
          <t>solid-06</t>
        </is>
      </c>
      <c r="D1321" t="n">
        <v>23</v>
      </c>
      <c r="E1321" t="inlineStr">
        <is>
          <t>@IBOutlet var tableView: UITableView!</t>
        </is>
      </c>
    </row>
    <row r="1322">
      <c r="A1322" t="inlineStr">
        <is>
          <t>financialwell</t>
        </is>
      </c>
      <c r="B1322" t="inlineStr">
        <is>
          <t>/Users/manczg/Documents/development/financialwell/FinancialWell/Home/HomeViewController.swift</t>
        </is>
      </c>
      <c r="C1322" t="inlineStr">
        <is>
          <t>solid-06</t>
        </is>
      </c>
      <c r="D1322" t="n">
        <v>24</v>
      </c>
      <c r="E1322" t="inlineStr">
        <is>
          <t>@IBOutlet var errorInfoButton: UIButton!</t>
        </is>
      </c>
    </row>
    <row r="1323">
      <c r="A1323" t="inlineStr">
        <is>
          <t>financialwell</t>
        </is>
      </c>
      <c r="B1323" t="inlineStr">
        <is>
          <t>/Users/manczg/Documents/development/financialwell/FinancialWell/Home/HomeViewController.swift</t>
        </is>
      </c>
      <c r="C1323" t="inlineStr">
        <is>
          <t>solid-08</t>
        </is>
      </c>
      <c r="D1323" t="n">
        <v>14</v>
      </c>
      <c r="E1323" t="inlineStr">
        <is>
          <t>var transactionModel: TransactionModel = .init()</t>
        </is>
      </c>
    </row>
    <row r="1324">
      <c r="A1324" t="inlineStr">
        <is>
          <t>financialwell</t>
        </is>
      </c>
      <c r="B1324" t="inlineStr">
        <is>
          <t>/Users/manczg/Documents/development/financialwell/FinancialWell/Home/HomeViewController.swift</t>
        </is>
      </c>
      <c r="C1324" t="inlineStr">
        <is>
          <t>solid-08</t>
        </is>
      </c>
      <c r="D1324" t="n">
        <v>15</v>
      </c>
      <c r="E1324" t="inlineStr">
        <is>
          <t>var viewmodel = HomeViewModel()</t>
        </is>
      </c>
    </row>
    <row r="1325">
      <c r="A1325" t="inlineStr">
        <is>
          <t>financialwell</t>
        </is>
      </c>
      <c r="B1325" t="inlineStr">
        <is>
          <t>/Users/manczg/Documents/development/financialwell/FinancialWell/Home/HomeViewController.swift</t>
        </is>
      </c>
      <c r="C1325" t="inlineStr">
        <is>
          <t>solid-08</t>
        </is>
      </c>
      <c r="D1325" t="n">
        <v>16</v>
      </c>
      <c r="E1325" t="inlineStr">
        <is>
          <t>var applogViewModel = AppLogViewModel()</t>
        </is>
      </c>
    </row>
    <row r="1326">
      <c r="A1326" t="inlineStr">
        <is>
          <t>financialwell</t>
        </is>
      </c>
      <c r="B1326" t="inlineStr">
        <is>
          <t>/Users/manczg/Documents/development/financialwell/FinancialWell/Home/HomeViewController.swift</t>
        </is>
      </c>
      <c r="C1326" t="inlineStr">
        <is>
          <t>solid-08</t>
        </is>
      </c>
      <c r="D1326" t="n">
        <v>17</v>
      </c>
      <c r="E1326" t="inlineStr">
        <is>
          <t>var emailComposer = MailComposer()</t>
        </is>
      </c>
    </row>
    <row r="1327">
      <c r="A1327" t="inlineStr">
        <is>
          <t>financialwell</t>
        </is>
      </c>
      <c r="B1327" t="inlineStr">
        <is>
          <t>/Users/manczg/Documents/development/financialwell/FinancialWell/Home/HomeViewController.swift</t>
        </is>
      </c>
      <c r="C1327" t="inlineStr">
        <is>
          <t>solid-08</t>
        </is>
      </c>
      <c r="D1327" t="n">
        <v>75</v>
      </c>
      <c r="E1327" t="inlineStr">
        <is>
          <t>var onboardingWizard = OnboardingWizardView()</t>
        </is>
      </c>
    </row>
    <row r="1328">
      <c r="A1328" t="inlineStr">
        <is>
          <t>financialwell</t>
        </is>
      </c>
      <c r="B1328" t="inlineStr">
        <is>
          <t>/Users/manczg/Documents/development/financialwell/FinancialWell/Home/HomeViewController.swift</t>
        </is>
      </c>
      <c r="C1328" t="inlineStr">
        <is>
          <t>solid-08</t>
        </is>
      </c>
      <c r="D1328" t="n">
        <v>129</v>
      </c>
      <c r="E1328" t="inlineStr">
        <is>
          <t>var cellView = DemoDataViewCell()</t>
        </is>
      </c>
    </row>
    <row r="1329">
      <c r="A1329" t="inlineStr">
        <is>
          <t>financialwell</t>
        </is>
      </c>
      <c r="B1329" t="inlineStr">
        <is>
          <t>/Users/manczg/Documents/development/financialwell/FinancialWell/Home/HomeViewController.swift</t>
        </is>
      </c>
      <c r="C1329" t="inlineStr">
        <is>
          <t>solid-08</t>
        </is>
      </c>
      <c r="D1329" t="n">
        <v>169</v>
      </c>
      <c r="E1329" t="inlineStr">
        <is>
          <t>var cellView = NoRecentDataViewCell()</t>
        </is>
      </c>
    </row>
    <row r="1330">
      <c r="A1330" t="inlineStr">
        <is>
          <t>financialwell</t>
        </is>
      </c>
      <c r="B1330" t="inlineStr">
        <is>
          <t>/Users/manczg/Documents/development/financialwell/FinancialWell/Home/HomeViewController.swift</t>
        </is>
      </c>
      <c r="C1330" t="inlineStr">
        <is>
          <t>solid-10</t>
        </is>
      </c>
      <c r="D1330" t="n">
        <v>15</v>
      </c>
      <c r="E1330" t="inlineStr">
        <is>
          <t>var viewmodel = HomeViewModel()</t>
        </is>
      </c>
    </row>
    <row r="1331">
      <c r="A1331" t="inlineStr">
        <is>
          <t>financialwell</t>
        </is>
      </c>
      <c r="B1331" t="inlineStr">
        <is>
          <t>/Users/manczg/Documents/development/financialwell/FinancialWell/Home/HomeViewController.swift</t>
        </is>
      </c>
      <c r="C1331" t="inlineStr">
        <is>
          <t>solid-10</t>
        </is>
      </c>
      <c r="D1331" t="n">
        <v>16</v>
      </c>
      <c r="E1331" t="inlineStr">
        <is>
          <t>var applogViewModel = AppLogViewModel()</t>
        </is>
      </c>
    </row>
    <row r="1332">
      <c r="A1332" t="inlineStr">
        <is>
          <t>financialwell</t>
        </is>
      </c>
      <c r="B1332" t="inlineStr">
        <is>
          <t>/Users/manczg/Documents/development/financialwell/FinancialWell/Home/HomeViewController.swift</t>
        </is>
      </c>
      <c r="C1332" t="inlineStr">
        <is>
          <t>solid-10</t>
        </is>
      </c>
      <c r="D1332" t="n">
        <v>17</v>
      </c>
      <c r="E1332" t="inlineStr">
        <is>
          <t>var emailComposer = MailComposer()</t>
        </is>
      </c>
    </row>
    <row r="1333">
      <c r="A1333" t="inlineStr">
        <is>
          <t>financialwell</t>
        </is>
      </c>
      <c r="B1333" t="inlineStr">
        <is>
          <t>/Users/manczg/Documents/development/financialwell/FinancialWell/Home/HomeViewController.swift</t>
        </is>
      </c>
      <c r="C1333" t="inlineStr">
        <is>
          <t>solid-10</t>
        </is>
      </c>
      <c r="D1333" t="n">
        <v>234</v>
      </c>
      <c r="E1333" t="inlineStr">
        <is>
          <t>let model = DatePriceDataModel(period: PeriodModel(datetime: datetime, period: .Month))</t>
        </is>
      </c>
    </row>
    <row r="1334">
      <c r="A1334" t="inlineStr">
        <is>
          <t>financialwell</t>
        </is>
      </c>
      <c r="B1334" t="inlineStr">
        <is>
          <t>/Users/manczg/Documents/development/financialwell/FinancialWell/Home/HomeViewController.swift</t>
        </is>
      </c>
      <c r="C1334" t="inlineStr">
        <is>
          <t>solid-15</t>
        </is>
      </c>
      <c r="D1334" t="n">
        <v>329</v>
      </c>
      <c r="E1334" t="inlineStr">
        <is>
          <t>switch rowType {</t>
        </is>
      </c>
    </row>
    <row r="1335">
      <c r="A1335" t="inlineStr">
        <is>
          <t>financialwell</t>
        </is>
      </c>
      <c r="B1335" t="inlineStr">
        <is>
          <t>/Users/manczg/Documents/development/financialwell/FinancialWell/Home/HomeViewController.swift</t>
        </is>
      </c>
      <c r="C1335" t="inlineStr">
        <is>
          <t>solid-15</t>
        </is>
      </c>
      <c r="D1335" t="n">
        <v>341</v>
      </c>
      <c r="E1335" t="inlineStr">
        <is>
          <t>switch rowType {</t>
        </is>
      </c>
    </row>
    <row r="1336">
      <c r="A1336" t="inlineStr">
        <is>
          <t>financialwell</t>
        </is>
      </c>
      <c r="B1336" t="inlineStr">
        <is>
          <t>/Users/manczg/Documents/development/financialwell/FinancialWell/Home/HomeViewController.swift</t>
        </is>
      </c>
      <c r="C1336" t="inlineStr">
        <is>
          <t>solid-15</t>
        </is>
      </c>
      <c r="D1336" t="n">
        <v>353</v>
      </c>
      <c r="E1336" t="inlineStr">
        <is>
          <t>switch rowType {</t>
        </is>
      </c>
    </row>
    <row r="1337">
      <c r="A1337" t="inlineStr">
        <is>
          <t>financialwell</t>
        </is>
      </c>
      <c r="B1337" t="inlineStr">
        <is>
          <t>/Users/manczg/Documents/development/financialwell/FinancialWell/Home/HomeViewController.swift</t>
        </is>
      </c>
      <c r="C1337" t="inlineStr">
        <is>
          <t>solid-15</t>
        </is>
      </c>
      <c r="D1337" t="n">
        <v>387</v>
      </c>
      <c r="E1337" t="inlineStr">
        <is>
          <t>switch rowType {</t>
        </is>
      </c>
    </row>
    <row r="1338">
      <c r="A1338" t="inlineStr">
        <is>
          <t>financialwell</t>
        </is>
      </c>
      <c r="B1338" t="inlineStr">
        <is>
          <t>/Users/manczg/Documents/development/financialwell/FinancialWell/Home/HomeViewController.swift</t>
        </is>
      </c>
      <c r="C1338" t="inlineStr">
        <is>
          <t>solid-15</t>
        </is>
      </c>
      <c r="D1338" t="n">
        <v>399</v>
      </c>
      <c r="E1338" t="inlineStr">
        <is>
          <t>switch rowType {</t>
        </is>
      </c>
    </row>
    <row r="1339">
      <c r="A1339" t="inlineStr">
        <is>
          <t>financialwell</t>
        </is>
      </c>
      <c r="B1339" t="inlineStr">
        <is>
          <t>/Users/manczg/Documents/development/financialwell/FinancialWell/Home/HomeViewController.swift</t>
        </is>
      </c>
      <c r="C1339" t="inlineStr">
        <is>
          <t>solid-15</t>
        </is>
      </c>
      <c r="D1339" t="n">
        <v>411</v>
      </c>
      <c r="E1339" t="inlineStr">
        <is>
          <t>switch rowType {</t>
        </is>
      </c>
    </row>
    <row r="1340">
      <c r="A1340" t="inlineStr">
        <is>
          <t>financialwell</t>
        </is>
      </c>
      <c r="B1340" t="inlineStr">
        <is>
          <t>/Users/manczg/Documents/development/financialwell/FinancialWell/Home/HomeViewController.swift</t>
        </is>
      </c>
      <c r="C1340" t="inlineStr">
        <is>
          <t>tests-01</t>
        </is>
      </c>
      <c r="D1340" t="n">
        <v>13</v>
      </c>
      <c r="E1340" t="inlineStr">
        <is>
          <t>class HomeViewController: LocalizableViewController, UITableViewDelegate, UITableViewDataSource, MFMailComposeViewControllerDelegate, HomeViewModelAction, MoreLessActions {</t>
        </is>
      </c>
    </row>
    <row r="1341">
      <c r="A1341" t="inlineStr">
        <is>
          <t>financialwell</t>
        </is>
      </c>
      <c r="B1341" t="inlineStr">
        <is>
          <t>/Users/manczg/Documents/development/financialwell/FinancialWell/ViewModels/FilterViewModel.swift</t>
        </is>
      </c>
      <c r="C1341" t="inlineStr">
        <is>
          <t>arch-08</t>
        </is>
      </c>
      <c r="D1341" t="n">
        <v>62</v>
      </c>
      <c r="E1341" t="inlineStr">
        <is>
          <t>for category in ModelManager.shared.categories.categoriesArray {</t>
        </is>
      </c>
    </row>
    <row r="1342">
      <c r="A1342" t="inlineStr">
        <is>
          <t>financialwell</t>
        </is>
      </c>
      <c r="B1342" t="inlineStr">
        <is>
          <t>/Users/manczg/Documents/development/financialwell/FinancialWell/ViewModels/FilterViewModel.swift</t>
        </is>
      </c>
      <c r="C1342" t="inlineStr">
        <is>
          <t>arch-08</t>
        </is>
      </c>
      <c r="D1342" t="n">
        <v>66</v>
      </c>
      <c r="E1342" t="inlineStr">
        <is>
          <t>item.image = ModelManager.shared.categories.getUIImage(for: category)</t>
        </is>
      </c>
    </row>
    <row r="1343">
      <c r="A1343" t="inlineStr">
        <is>
          <t>financialwell</t>
        </is>
      </c>
      <c r="B1343" t="inlineStr">
        <is>
          <t>/Users/manczg/Documents/development/financialwell/FinancialWell/ViewModels/FilterViewModel.swift</t>
        </is>
      </c>
      <c r="C1343" t="inlineStr">
        <is>
          <t>arch-08</t>
        </is>
      </c>
      <c r="D1343" t="n">
        <v>75</v>
      </c>
      <c r="E1343" t="inlineStr">
        <is>
          <t>filterCategoryViewModel.model.setup(allItems: allItems, nonArchivedItems: nonArchivedItems, showArchived: ModelManager.shared.categories.showArchivedCategories)</t>
        </is>
      </c>
    </row>
    <row r="1344">
      <c r="A1344" t="inlineStr">
        <is>
          <t>financialwell</t>
        </is>
      </c>
      <c r="B1344" t="inlineStr">
        <is>
          <t>/Users/manczg/Documents/development/financialwell/FinancialWell/ViewModels/FilterViewModel.swift</t>
        </is>
      </c>
      <c r="C1344" t="inlineStr">
        <is>
          <t>arch-08</t>
        </is>
      </c>
      <c r="D1344" t="n">
        <v>78</v>
      </c>
      <c r="E1344" t="inlineStr">
        <is>
          <t>let category = ModelManager.shared.categories.get(by: id) else { return item.name }</t>
        </is>
      </c>
    </row>
    <row r="1345">
      <c r="A1345" t="inlineStr">
        <is>
          <t>financialwell</t>
        </is>
      </c>
      <c r="B1345" t="inlineStr">
        <is>
          <t>/Users/manczg/Documents/development/financialwell/FinancialWell/ViewModels/FilterViewModel.swift</t>
        </is>
      </c>
      <c r="C1345" t="inlineStr">
        <is>
          <t>arch-08</t>
        </is>
      </c>
      <c r="D1345" t="n">
        <v>86</v>
      </c>
      <c r="E1345" t="inlineStr">
        <is>
          <t>let accountArray = ModelManager.shared.accounts.accountsArray</t>
        </is>
      </c>
    </row>
    <row r="1346">
      <c r="A1346" t="inlineStr">
        <is>
          <t>financialwell</t>
        </is>
      </c>
      <c r="B1346" t="inlineStr">
        <is>
          <t>/Users/manczg/Documents/development/financialwell/FinancialWell/ViewModels/FilterViewModel.swift</t>
        </is>
      </c>
      <c r="C1346" t="inlineStr">
        <is>
          <t>arch-08</t>
        </is>
      </c>
      <c r="D1346" t="n">
        <v>91</v>
      </c>
      <c r="E1346" t="inlineStr">
        <is>
          <t>item.image = ModelManager.shared.accounts.getUIImage(for: account)</t>
        </is>
      </c>
    </row>
    <row r="1347">
      <c r="A1347" t="inlineStr">
        <is>
          <t>financialwell</t>
        </is>
      </c>
      <c r="B1347" t="inlineStr">
        <is>
          <t>/Users/manczg/Documents/development/financialwell/FinancialWell/ViewModels/FilterViewModel.swift</t>
        </is>
      </c>
      <c r="C1347" t="inlineStr">
        <is>
          <t>arch-08</t>
        </is>
      </c>
      <c r="D1347" t="n">
        <v>100</v>
      </c>
      <c r="E1347" t="inlineStr">
        <is>
          <t>filterAccountViewModel.model.setup(allItems: allItems, nonArchivedItems: nonArchivedItems, showArchived: ModelManager.shared.accounts.showArchivedAccounts)</t>
        </is>
      </c>
    </row>
    <row r="1348">
      <c r="A1348" t="inlineStr">
        <is>
          <t>financialwell</t>
        </is>
      </c>
      <c r="B1348" t="inlineStr">
        <is>
          <t>/Users/manczg/Documents/development/financialwell/FinancialWell/ViewModels/FilterViewModel.swift</t>
        </is>
      </c>
      <c r="C1348" t="inlineStr">
        <is>
          <t>arch-08</t>
        </is>
      </c>
      <c r="D1348" t="n">
        <v>105</v>
      </c>
      <c r="E1348" t="inlineStr">
        <is>
          <t>for tag in ModelManager.shared.tags.getTagsCopy(by: nil) {</t>
        </is>
      </c>
    </row>
    <row r="1349">
      <c r="A1349" t="inlineStr">
        <is>
          <t>financialwell</t>
        </is>
      </c>
      <c r="B1349" t="inlineStr">
        <is>
          <t>/Users/manczg/Documents/development/financialwell/FinancialWell/ViewModels/FilterViewModel.swift</t>
        </is>
      </c>
      <c r="C1349" t="inlineStr">
        <is>
          <t>clarity-16</t>
        </is>
      </c>
      <c r="D1349" t="n">
        <v>259</v>
      </c>
      <c r="E1349" t="inlineStr">
        <is>
          <t>func getRowHeight(at indexPath: IndexPath) -&gt; CGFloat {</t>
        </is>
      </c>
    </row>
    <row r="1350">
      <c r="A1350" t="inlineStr">
        <is>
          <t>financialwell</t>
        </is>
      </c>
      <c r="B1350" t="inlineStr">
        <is>
          <t>/Users/manczg/Documents/development/financialwell/FinancialWell/ViewModels/FilterViewModel.swift</t>
        </is>
      </c>
      <c r="C1350" t="inlineStr">
        <is>
          <t>safety-02</t>
        </is>
      </c>
      <c r="D1350" t="n">
        <v>163</v>
      </c>
      <c r="E1350" t="inlineStr">
        <is>
          <t>return UIImage(named: "filter controls half selected.png")!</t>
        </is>
      </c>
    </row>
    <row r="1351">
      <c r="A1351" t="inlineStr">
        <is>
          <t>financialwell</t>
        </is>
      </c>
      <c r="B1351" t="inlineStr">
        <is>
          <t>/Users/manczg/Documents/development/financialwell/FinancialWell/ViewModels/FilterViewModel.swift</t>
        </is>
      </c>
      <c r="C1351" t="inlineStr">
        <is>
          <t>safety-02</t>
        </is>
      </c>
      <c r="D1351" t="n">
        <v>165</v>
      </c>
      <c r="E1351" t="inlineStr">
        <is>
          <t>return UIImage(named: "filter controls normal.png")!</t>
        </is>
      </c>
    </row>
    <row r="1352">
      <c r="A1352" t="inlineStr">
        <is>
          <t>financialwell</t>
        </is>
      </c>
      <c r="B1352" t="inlineStr">
        <is>
          <t>/Users/manczg/Documents/development/financialwell/FinancialWell/ViewModels/FilterViewModel.swift</t>
        </is>
      </c>
      <c r="C1352" t="inlineStr">
        <is>
          <t>safety-02</t>
        </is>
      </c>
      <c r="D1352" t="n">
        <v>368</v>
      </c>
      <c r="E1352" t="inlineStr">
        <is>
          <t>guard let decimalValue = Decimal.fromDoubleValue(value!) else {</t>
        </is>
      </c>
    </row>
    <row r="1353">
      <c r="A1353" t="inlineStr">
        <is>
          <t>financialwell</t>
        </is>
      </c>
      <c r="B1353" t="inlineStr">
        <is>
          <t>/Users/manczg/Documents/development/financialwell/FinancialWell/ViewModels/FilterViewModel.swift</t>
        </is>
      </c>
      <c r="C1353" t="inlineStr">
        <is>
          <t>safety-16</t>
        </is>
      </c>
      <c r="D1353" t="n">
        <v>364</v>
      </c>
      <c r="E1353" t="inlineStr">
        <is>
          <t>private func getPriceString(value: Double?) -&gt; String {</t>
        </is>
      </c>
    </row>
    <row r="1354">
      <c r="A1354" t="inlineStr">
        <is>
          <t>financialwell</t>
        </is>
      </c>
      <c r="B1354" t="inlineStr">
        <is>
          <t>/Users/manczg/Documents/development/financialwell/FinancialWell/ViewModels/FilterViewModel.swift</t>
        </is>
      </c>
      <c r="C1354" t="inlineStr">
        <is>
          <t>smells-07</t>
        </is>
      </c>
      <c r="D1354" t="n">
        <v>287</v>
      </c>
      <c r="E1354" t="inlineStr">
        <is>
          <t>return 9999 // TODO: should calculate the proper height; MaG</t>
        </is>
      </c>
    </row>
    <row r="1355">
      <c r="A1355" t="inlineStr">
        <is>
          <t>financialwell</t>
        </is>
      </c>
      <c r="B1355" t="inlineStr">
        <is>
          <t>/Users/manczg/Documents/development/financialwell/FinancialWell/ViewModels/FilterViewModel.swift</t>
        </is>
      </c>
      <c r="C1355" t="inlineStr">
        <is>
          <t>smells-08</t>
        </is>
      </c>
      <c r="D1355" t="n">
        <v>236</v>
      </c>
      <c r="E1355" t="inlineStr">
        <is>
          <t>return nil</t>
        </is>
      </c>
    </row>
    <row r="1356">
      <c r="A1356" t="inlineStr">
        <is>
          <t>financialwell</t>
        </is>
      </c>
      <c r="B1356" t="inlineStr">
        <is>
          <t>/Users/manczg/Documents/development/financialwell/FinancialWell/ViewModels/FilterViewModel.swift</t>
        </is>
      </c>
      <c r="C1356" t="inlineStr">
        <is>
          <t>smells-08</t>
        </is>
      </c>
      <c r="D1356" t="n">
        <v>247</v>
      </c>
      <c r="E1356" t="inlineStr">
        <is>
          <t>return nil</t>
        </is>
      </c>
    </row>
    <row r="1357">
      <c r="A1357" t="inlineStr">
        <is>
          <t>financialwell</t>
        </is>
      </c>
      <c r="B1357" t="inlineStr">
        <is>
          <t>/Users/manczg/Documents/development/financialwell/FinancialWell/ViewModels/FilterViewModel.swift</t>
        </is>
      </c>
      <c r="C1357" t="inlineStr">
        <is>
          <t>smells-08</t>
        </is>
      </c>
      <c r="D1357" t="n">
        <v>297</v>
      </c>
      <c r="E1357" t="inlineStr">
        <is>
          <t>return nil</t>
        </is>
      </c>
    </row>
    <row r="1358">
      <c r="A1358" t="inlineStr">
        <is>
          <t>financialwell</t>
        </is>
      </c>
      <c r="B1358" t="inlineStr">
        <is>
          <t>/Users/manczg/Documents/development/financialwell/FinancialWell/ViewModels/FilterViewModel.swift</t>
        </is>
      </c>
      <c r="C1358" t="inlineStr">
        <is>
          <t>smells-08</t>
        </is>
      </c>
      <c r="D1358" t="n">
        <v>301</v>
      </c>
      <c r="E1358" t="inlineStr">
        <is>
          <t>return nil</t>
        </is>
      </c>
    </row>
    <row r="1359">
      <c r="A1359" t="inlineStr">
        <is>
          <t>financialwell</t>
        </is>
      </c>
      <c r="B1359" t="inlineStr">
        <is>
          <t>/Users/manczg/Documents/development/financialwell/FinancialWell/ViewModels/FilterViewModel.swift</t>
        </is>
      </c>
      <c r="C1359" t="inlineStr">
        <is>
          <t>smells-08</t>
        </is>
      </c>
      <c r="D1359" t="n">
        <v>454</v>
      </c>
      <c r="E1359" t="inlineStr">
        <is>
          <t>return nil</t>
        </is>
      </c>
    </row>
    <row r="1360">
      <c r="A1360" t="inlineStr">
        <is>
          <t>financialwell</t>
        </is>
      </c>
      <c r="B1360" t="inlineStr">
        <is>
          <t>/Users/manczg/Documents/development/financialwell/FinancialWell/ViewModels/FilterViewModel.swift</t>
        </is>
      </c>
      <c r="C1360" t="inlineStr">
        <is>
          <t>smells-10</t>
        </is>
      </c>
      <c r="D1360" t="n">
        <v>62</v>
      </c>
      <c r="E1360" t="inlineStr">
        <is>
          <t>for category in ModelManager.shared.categories.categoriesArray {</t>
        </is>
      </c>
    </row>
    <row r="1361">
      <c r="A1361" t="inlineStr">
        <is>
          <t>financialwell</t>
        </is>
      </c>
      <c r="B1361" t="inlineStr">
        <is>
          <t>/Users/manczg/Documents/development/financialwell/FinancialWell/ViewModels/FilterViewModel.swift</t>
        </is>
      </c>
      <c r="C1361" t="inlineStr">
        <is>
          <t>smells-10</t>
        </is>
      </c>
      <c r="D1361" t="n">
        <v>66</v>
      </c>
      <c r="E1361" t="inlineStr">
        <is>
          <t>item.image = ModelManager.shared.categories.getUIImage(for: category)</t>
        </is>
      </c>
    </row>
    <row r="1362">
      <c r="A1362" t="inlineStr">
        <is>
          <t>financialwell</t>
        </is>
      </c>
      <c r="B1362" t="inlineStr">
        <is>
          <t>/Users/manczg/Documents/development/financialwell/FinancialWell/ViewModels/FilterViewModel.swift</t>
        </is>
      </c>
      <c r="C1362" t="inlineStr">
        <is>
          <t>smells-10</t>
        </is>
      </c>
      <c r="D1362" t="n">
        <v>75</v>
      </c>
      <c r="E1362" t="inlineStr">
        <is>
          <t>filterCategoryViewModel.model.setup(allItems: allItems, nonArchivedItems: nonArchivedItems, showArchived: ModelManager.shared.categories.showArchivedCategories)</t>
        </is>
      </c>
    </row>
    <row r="1363">
      <c r="A1363" t="inlineStr">
        <is>
          <t>financialwell</t>
        </is>
      </c>
      <c r="B1363" t="inlineStr">
        <is>
          <t>/Users/manczg/Documents/development/financialwell/FinancialWell/ViewModels/FilterViewModel.swift</t>
        </is>
      </c>
      <c r="C1363" t="inlineStr">
        <is>
          <t>smells-10</t>
        </is>
      </c>
      <c r="D1363" t="n">
        <v>78</v>
      </c>
      <c r="E1363" t="inlineStr">
        <is>
          <t>let category = ModelManager.shared.categories.get(by: id) else { return item.name }</t>
        </is>
      </c>
    </row>
    <row r="1364">
      <c r="A1364" t="inlineStr">
        <is>
          <t>financialwell</t>
        </is>
      </c>
      <c r="B1364" t="inlineStr">
        <is>
          <t>/Users/manczg/Documents/development/financialwell/FinancialWell/ViewModels/FilterViewModel.swift</t>
        </is>
      </c>
      <c r="C1364" t="inlineStr">
        <is>
          <t>smells-10</t>
        </is>
      </c>
      <c r="D1364" t="n">
        <v>86</v>
      </c>
      <c r="E1364" t="inlineStr">
        <is>
          <t>let accountArray = ModelManager.shared.accounts.accountsArray</t>
        </is>
      </c>
    </row>
    <row r="1365">
      <c r="A1365" t="inlineStr">
        <is>
          <t>financialwell</t>
        </is>
      </c>
      <c r="B1365" t="inlineStr">
        <is>
          <t>/Users/manczg/Documents/development/financialwell/FinancialWell/ViewModels/FilterViewModel.swift</t>
        </is>
      </c>
      <c r="C1365" t="inlineStr">
        <is>
          <t>smells-10</t>
        </is>
      </c>
      <c r="D1365" t="n">
        <v>91</v>
      </c>
      <c r="E1365" t="inlineStr">
        <is>
          <t>item.image = ModelManager.shared.accounts.getUIImage(for: account)</t>
        </is>
      </c>
    </row>
    <row r="1366">
      <c r="A1366" t="inlineStr">
        <is>
          <t>financialwell</t>
        </is>
      </c>
      <c r="B1366" t="inlineStr">
        <is>
          <t>/Users/manczg/Documents/development/financialwell/FinancialWell/ViewModels/FilterViewModel.swift</t>
        </is>
      </c>
      <c r="C1366" t="inlineStr">
        <is>
          <t>smells-10</t>
        </is>
      </c>
      <c r="D1366" t="n">
        <v>100</v>
      </c>
      <c r="E1366" t="inlineStr">
        <is>
          <t>filterAccountViewModel.model.setup(allItems: allItems, nonArchivedItems: nonArchivedItems, showArchived: ModelManager.shared.accounts.showArchivedAccounts)</t>
        </is>
      </c>
    </row>
    <row r="1367">
      <c r="A1367" t="inlineStr">
        <is>
          <t>financialwell</t>
        </is>
      </c>
      <c r="B1367" t="inlineStr">
        <is>
          <t>/Users/manczg/Documents/development/financialwell/FinancialWell/ViewModels/FilterViewModel.swift</t>
        </is>
      </c>
      <c r="C1367" t="inlineStr">
        <is>
          <t>smells-10</t>
        </is>
      </c>
      <c r="D1367" t="n">
        <v>105</v>
      </c>
      <c r="E1367" t="inlineStr">
        <is>
          <t>for tag in ModelManager.shared.tags.getTagsCopy(by: nil) {</t>
        </is>
      </c>
    </row>
    <row r="1368">
      <c r="A1368" t="inlineStr">
        <is>
          <t>financialwell</t>
        </is>
      </c>
      <c r="B1368" t="inlineStr">
        <is>
          <t>/Users/manczg/Documents/development/financialwell/FinancialWell/ViewModels/FilterViewModel.swift</t>
        </is>
      </c>
      <c r="C1368" t="inlineStr">
        <is>
          <t>smells-10</t>
        </is>
      </c>
      <c r="D1368" t="n">
        <v>119</v>
      </c>
      <c r="E1368" t="inlineStr">
        <is>
          <t>if filterCategoryViewModel.numberOfRows(for: FilterTypeSelectViewModel.Sections.Items.rawValue) == 0 {</t>
        </is>
      </c>
    </row>
    <row r="1369">
      <c r="A1369" t="inlineStr">
        <is>
          <t>financialwell</t>
        </is>
      </c>
      <c r="B1369" t="inlineStr">
        <is>
          <t>/Users/manczg/Documents/development/financialwell/FinancialWell/ViewModels/FilterViewModel.swift</t>
        </is>
      </c>
      <c r="C1369" t="inlineStr">
        <is>
          <t>smells-10</t>
        </is>
      </c>
      <c r="D1369" t="n">
        <v>122</v>
      </c>
      <c r="E1369" t="inlineStr">
        <is>
          <t>if filterAccountViewModel.numberOfRows(for: FilterTypeSelectViewModel.Sections.Items.rawValue) == 0 {</t>
        </is>
      </c>
    </row>
    <row r="1370">
      <c r="A1370" t="inlineStr">
        <is>
          <t>financialwell</t>
        </is>
      </c>
      <c r="B1370" t="inlineStr">
        <is>
          <t>/Users/manczg/Documents/development/financialwell/FinancialWell/ViewModels/FilterViewModel.swift</t>
        </is>
      </c>
      <c r="C1370" t="inlineStr">
        <is>
          <t>solid-06</t>
        </is>
      </c>
      <c r="D1370" t="n">
        <v>37</v>
      </c>
      <c r="E1370" t="inlineStr">
        <is>
          <t>var model = FilterModel()</t>
        </is>
      </c>
    </row>
    <row r="1371">
      <c r="A1371" t="inlineStr">
        <is>
          <t>financialwell</t>
        </is>
      </c>
      <c r="B1371" t="inlineStr">
        <is>
          <t>/Users/manczg/Documents/development/financialwell/FinancialWell/ViewModels/FilterViewModel.swift</t>
        </is>
      </c>
      <c r="C1371" t="inlineStr">
        <is>
          <t>solid-06</t>
        </is>
      </c>
      <c r="D1371" t="n">
        <v>38</v>
      </c>
      <c r="E1371" t="inlineStr">
        <is>
          <t>var filterCurrencyViewModel = FilterCurrencyViewModel()</t>
        </is>
      </c>
    </row>
    <row r="1372">
      <c r="A1372" t="inlineStr">
        <is>
          <t>financialwell</t>
        </is>
      </c>
      <c r="B1372" t="inlineStr">
        <is>
          <t>/Users/manczg/Documents/development/financialwell/FinancialWell/ViewModels/FilterViewModel.swift</t>
        </is>
      </c>
      <c r="C1372" t="inlineStr">
        <is>
          <t>solid-06</t>
        </is>
      </c>
      <c r="D1372" t="n">
        <v>39</v>
      </c>
      <c r="E1372" t="inlineStr">
        <is>
          <t>var filterCategoryViewModel = FilterTypeSelectViewModel()</t>
        </is>
      </c>
    </row>
    <row r="1373">
      <c r="A1373" t="inlineStr">
        <is>
          <t>financialwell</t>
        </is>
      </c>
      <c r="B1373" t="inlineStr">
        <is>
          <t>/Users/manczg/Documents/development/financialwell/FinancialWell/ViewModels/FilterViewModel.swift</t>
        </is>
      </c>
      <c r="C1373" t="inlineStr">
        <is>
          <t>solid-06</t>
        </is>
      </c>
      <c r="D1373" t="n">
        <v>40</v>
      </c>
      <c r="E1373" t="inlineStr">
        <is>
          <t>var filterAccountViewModel = FilterTypeSelectViewModel()</t>
        </is>
      </c>
    </row>
    <row r="1374">
      <c r="A1374" t="inlineStr">
        <is>
          <t>financialwell</t>
        </is>
      </c>
      <c r="B1374" t="inlineStr">
        <is>
          <t>/Users/manczg/Documents/development/financialwell/FinancialWell/ViewModels/FilterViewModel.swift</t>
        </is>
      </c>
      <c r="C1374" t="inlineStr">
        <is>
          <t>solid-06</t>
        </is>
      </c>
      <c r="D1374" t="n">
        <v>41</v>
      </c>
      <c r="E1374" t="inlineStr">
        <is>
          <t>var filterTagViewModel = FilterTagSelectViewModel()</t>
        </is>
      </c>
    </row>
    <row r="1375">
      <c r="A1375" t="inlineStr">
        <is>
          <t>financialwell</t>
        </is>
      </c>
      <c r="B1375" t="inlineStr">
        <is>
          <t>/Users/manczg/Documents/development/financialwell/FinancialWell/ViewModels/FilterViewModel.swift</t>
        </is>
      </c>
      <c r="C1375" t="inlineStr">
        <is>
          <t>solid-06</t>
        </is>
      </c>
      <c r="D1375" t="n">
        <v>42</v>
      </c>
      <c r="E1375" t="inlineStr">
        <is>
          <t>var selectedDatePicker: SelectedDate = .None</t>
        </is>
      </c>
    </row>
    <row r="1376">
      <c r="A1376" t="inlineStr">
        <is>
          <t>financialwell</t>
        </is>
      </c>
      <c r="B1376" t="inlineStr">
        <is>
          <t>/Users/manczg/Documents/development/financialwell/FinancialWell/ViewModels/FilterViewModel.swift</t>
        </is>
      </c>
      <c r="C1376" t="inlineStr">
        <is>
          <t>solid-08</t>
        </is>
      </c>
      <c r="D1376" t="n">
        <v>37</v>
      </c>
      <c r="E1376" t="inlineStr">
        <is>
          <t>var model = FilterModel()</t>
        </is>
      </c>
    </row>
    <row r="1377">
      <c r="A1377" t="inlineStr">
        <is>
          <t>financialwell</t>
        </is>
      </c>
      <c r="B1377" t="inlineStr">
        <is>
          <t>/Users/manczg/Documents/development/financialwell/FinancialWell/ViewModels/FilterViewModel.swift</t>
        </is>
      </c>
      <c r="C1377" t="inlineStr">
        <is>
          <t>solid-08</t>
        </is>
      </c>
      <c r="D1377" t="n">
        <v>38</v>
      </c>
      <c r="E1377" t="inlineStr">
        <is>
          <t>var filterCurrencyViewModel = FilterCurrencyViewModel()</t>
        </is>
      </c>
    </row>
    <row r="1378">
      <c r="A1378" t="inlineStr">
        <is>
          <t>financialwell</t>
        </is>
      </c>
      <c r="B1378" t="inlineStr">
        <is>
          <t>/Users/manczg/Documents/development/financialwell/FinancialWell/ViewModels/FilterViewModel.swift</t>
        </is>
      </c>
      <c r="C1378" t="inlineStr">
        <is>
          <t>solid-08</t>
        </is>
      </c>
      <c r="D1378" t="n">
        <v>39</v>
      </c>
      <c r="E1378" t="inlineStr">
        <is>
          <t>var filterCategoryViewModel = FilterTypeSelectViewModel()</t>
        </is>
      </c>
    </row>
    <row r="1379">
      <c r="A1379" t="inlineStr">
        <is>
          <t>financialwell</t>
        </is>
      </c>
      <c r="B1379" t="inlineStr">
        <is>
          <t>/Users/manczg/Documents/development/financialwell/FinancialWell/ViewModels/FilterViewModel.swift</t>
        </is>
      </c>
      <c r="C1379" t="inlineStr">
        <is>
          <t>solid-08</t>
        </is>
      </c>
      <c r="D1379" t="n">
        <v>40</v>
      </c>
      <c r="E1379" t="inlineStr">
        <is>
          <t>var filterAccountViewModel = FilterTypeSelectViewModel()</t>
        </is>
      </c>
    </row>
    <row r="1380">
      <c r="A1380" t="inlineStr">
        <is>
          <t>financialwell</t>
        </is>
      </c>
      <c r="B1380" t="inlineStr">
        <is>
          <t>/Users/manczg/Documents/development/financialwell/FinancialWell/ViewModels/FilterViewModel.swift</t>
        </is>
      </c>
      <c r="C1380" t="inlineStr">
        <is>
          <t>solid-08</t>
        </is>
      </c>
      <c r="D1380" t="n">
        <v>41</v>
      </c>
      <c r="E1380" t="inlineStr">
        <is>
          <t>var filterTagViewModel = FilterTagSelectViewModel()</t>
        </is>
      </c>
    </row>
    <row r="1381">
      <c r="A1381" t="inlineStr">
        <is>
          <t>financialwell</t>
        </is>
      </c>
      <c r="B1381" t="inlineStr">
        <is>
          <t>/Users/manczg/Documents/development/financialwell/FinancialWell/ViewModels/FilterViewModel.swift</t>
        </is>
      </c>
      <c r="C1381" t="inlineStr">
        <is>
          <t>solid-09</t>
        </is>
      </c>
      <c r="D1381" t="n">
        <v>26</v>
      </c>
      <c r="E1381" t="inlineStr">
        <is>
          <t>static var count = {</t>
        </is>
      </c>
    </row>
    <row r="1382">
      <c r="A1382" t="inlineStr">
        <is>
          <t>financialwell</t>
        </is>
      </c>
      <c r="B1382" t="inlineStr">
        <is>
          <t>/Users/manczg/Documents/development/financialwell/FinancialWell/ViewModels/FilterViewModel.swift</t>
        </is>
      </c>
      <c r="C1382" t="inlineStr">
        <is>
          <t>solid-10</t>
        </is>
      </c>
      <c r="D1382" t="n">
        <v>37</v>
      </c>
      <c r="E1382" t="inlineStr">
        <is>
          <t>var model = FilterModel()</t>
        </is>
      </c>
    </row>
    <row r="1383">
      <c r="A1383" t="inlineStr">
        <is>
          <t>financialwell</t>
        </is>
      </c>
      <c r="B1383" t="inlineStr">
        <is>
          <t>/Users/manczg/Documents/development/financialwell/FinancialWell/ViewModels/FilterViewModel.swift</t>
        </is>
      </c>
      <c r="C1383" t="inlineStr">
        <is>
          <t>solid-10</t>
        </is>
      </c>
      <c r="D1383" t="n">
        <v>38</v>
      </c>
      <c r="E1383" t="inlineStr">
        <is>
          <t>var filterCurrencyViewModel = FilterCurrencyViewModel()</t>
        </is>
      </c>
    </row>
    <row r="1384">
      <c r="A1384" t="inlineStr">
        <is>
          <t>financialwell</t>
        </is>
      </c>
      <c r="B1384" t="inlineStr">
        <is>
          <t>/Users/manczg/Documents/development/financialwell/FinancialWell/ViewModels/FilterViewModel.swift</t>
        </is>
      </c>
      <c r="C1384" t="inlineStr">
        <is>
          <t>solid-10</t>
        </is>
      </c>
      <c r="D1384" t="n">
        <v>39</v>
      </c>
      <c r="E1384" t="inlineStr">
        <is>
          <t>var filterCategoryViewModel = FilterTypeSelectViewModel()</t>
        </is>
      </c>
    </row>
    <row r="1385">
      <c r="A1385" t="inlineStr">
        <is>
          <t>financialwell</t>
        </is>
      </c>
      <c r="B1385" t="inlineStr">
        <is>
          <t>/Users/manczg/Documents/development/financialwell/FinancialWell/ViewModels/FilterViewModel.swift</t>
        </is>
      </c>
      <c r="C1385" t="inlineStr">
        <is>
          <t>solid-10</t>
        </is>
      </c>
      <c r="D1385" t="n">
        <v>40</v>
      </c>
      <c r="E1385" t="inlineStr">
        <is>
          <t>var filterAccountViewModel = FilterTypeSelectViewModel()</t>
        </is>
      </c>
    </row>
    <row r="1386">
      <c r="A1386" t="inlineStr">
        <is>
          <t>financialwell</t>
        </is>
      </c>
      <c r="B1386" t="inlineStr">
        <is>
          <t>/Users/manczg/Documents/development/financialwell/FinancialWell/ViewModels/FilterViewModel.swift</t>
        </is>
      </c>
      <c r="C1386" t="inlineStr">
        <is>
          <t>solid-10</t>
        </is>
      </c>
      <c r="D1386" t="n">
        <v>41</v>
      </c>
      <c r="E1386" t="inlineStr">
        <is>
          <t>var filterTagViewModel = FilterTagSelectViewModel()</t>
        </is>
      </c>
    </row>
    <row r="1387">
      <c r="A1387" t="inlineStr">
        <is>
          <t>financialwell</t>
        </is>
      </c>
      <c r="B1387" t="inlineStr">
        <is>
          <t>/Users/manczg/Documents/development/financialwell/FinancialWell/ViewModels/FilterViewModel.swift</t>
        </is>
      </c>
      <c r="C1387" t="inlineStr">
        <is>
          <t>solid-15</t>
        </is>
      </c>
      <c r="D1387" t="n">
        <v>264</v>
      </c>
      <c r="E1387" t="inlineStr">
        <is>
          <t>switch rowType {</t>
        </is>
      </c>
    </row>
    <row r="1388">
      <c r="A1388" t="inlineStr">
        <is>
          <t>financialwell</t>
        </is>
      </c>
      <c r="B1388" t="inlineStr">
        <is>
          <t>/Users/manczg/Documents/development/financialwell/FinancialWell/ViewModels/FilterViewModel.swift</t>
        </is>
      </c>
      <c r="C1388" t="inlineStr">
        <is>
          <t>tests-01</t>
        </is>
      </c>
      <c r="D1388" t="n">
        <v>12</v>
      </c>
      <c r="E1388" t="inlineStr">
        <is>
          <t>class FilterViewModel {</t>
        </is>
      </c>
    </row>
    <row r="1389">
      <c r="A1389" t="inlineStr">
        <is>
          <t>financialwell</t>
        </is>
      </c>
      <c r="B1389" t="inlineStr">
        <is>
          <t>/Users/manczg/Documents/development/financialwell/FinancialWell/Models/ModelCurrencies.swift</t>
        </is>
      </c>
      <c r="C1389" t="inlineStr">
        <is>
          <t>arch-08</t>
        </is>
      </c>
      <c r="D1389" t="n">
        <v>12</v>
      </c>
      <c r="E1389" t="inlineStr">
        <is>
          <t>private let fileManagerWrapper = FileManagerWrapper.shared</t>
        </is>
      </c>
    </row>
    <row r="1390">
      <c r="A1390" t="inlineStr">
        <is>
          <t>financialwell</t>
        </is>
      </c>
      <c r="B1390" t="inlineStr">
        <is>
          <t>/Users/manczg/Documents/development/financialwell/FinancialWell/Models/ModelCurrencies.swift</t>
        </is>
      </c>
      <c r="C1390" t="inlineStr">
        <is>
          <t>arch-08</t>
        </is>
      </c>
      <c r="D1390" t="n">
        <v>197</v>
      </c>
      <c r="E1390" t="inlineStr">
        <is>
          <t>let displayLocale = Locale(identifier: LanguageManager.shared.effectiveLanguageCode)</t>
        </is>
      </c>
    </row>
    <row r="1391">
      <c r="A1391" t="inlineStr">
        <is>
          <t>financialwell</t>
        </is>
      </c>
      <c r="B1391" t="inlineStr">
        <is>
          <t>/Users/manczg/Documents/development/financialwell/FinancialWell/Models/ModelCurrencies.swift</t>
        </is>
      </c>
      <c r="C1391" t="inlineStr">
        <is>
          <t>arch-08</t>
        </is>
      </c>
      <c r="D1391" t="n">
        <v>246</v>
      </c>
      <c r="E1391" t="inlineStr">
        <is>
          <t>let displayLocale = Locale(identifier: LanguageManager.shared.effectiveLanguageCode)</t>
        </is>
      </c>
    </row>
    <row r="1392">
      <c r="A1392" t="inlineStr">
        <is>
          <t>financialwell</t>
        </is>
      </c>
      <c r="B1392" t="inlineStr">
        <is>
          <t>/Users/manczg/Documents/development/financialwell/FinancialWell/Models/ModelCurrencies.swift</t>
        </is>
      </c>
      <c r="C1392" t="inlineStr">
        <is>
          <t>arch-08</t>
        </is>
      </c>
      <c r="D1392" t="n">
        <v>538</v>
      </c>
      <c r="E1392" t="inlineStr">
        <is>
          <t>return ModelManager.shared.currencies.getCurrency(by: ModelManager.shared.locationService.getCountry())</t>
        </is>
      </c>
    </row>
    <row r="1393">
      <c r="A1393" t="inlineStr">
        <is>
          <t>financialwell</t>
        </is>
      </c>
      <c r="B1393" t="inlineStr">
        <is>
          <t>/Users/manczg/Documents/development/financialwell/FinancialWell/Models/ModelCurrencies.swift</t>
        </is>
      </c>
      <c r="C1393" t="inlineStr">
        <is>
          <t>arch-11</t>
        </is>
      </c>
      <c r="D1393" t="n">
        <v>16</v>
      </c>
      <c r="E1393" t="inlineStr">
        <is>
          <t>let currencyExchangeAPILink = "https://v6.exchangerate-api.com/v6/a2a2c465700e8c983c213021/latest/EUR" // "http://data.fixer.io/api/latest?access_key=74a5bfaa74a9baeb401e981b98000a7d"</t>
        </is>
      </c>
    </row>
    <row r="1394">
      <c r="A1394" t="inlineStr">
        <is>
          <t>financialwell</t>
        </is>
      </c>
      <c r="B1394" t="inlineStr">
        <is>
          <t>/Users/manczg/Documents/development/financialwell/FinancialWell/Models/ModelCurrencies.swift</t>
        </is>
      </c>
      <c r="C1394" t="inlineStr">
        <is>
          <t>clarity-09</t>
        </is>
      </c>
      <c r="D1394" t="n">
        <v>72</v>
      </c>
      <c r="E1394" t="inlineStr">
        <is>
          <t>guard currency != nil &amp;&amp; currency!.isValid() &amp;&amp; toCurrency != nil &amp;&amp; toCurrency!.isValid() else {</t>
        </is>
      </c>
    </row>
    <row r="1395">
      <c r="A1395" t="inlineStr">
        <is>
          <t>financialwell</t>
        </is>
      </c>
      <c r="B1395" t="inlineStr">
        <is>
          <t>/Users/manczg/Documents/development/financialwell/FinancialWell/Models/ModelCurrencies.swift</t>
        </is>
      </c>
      <c r="C1395" t="inlineStr">
        <is>
          <t>clarity-09</t>
        </is>
      </c>
      <c r="D1395" t="n">
        <v>214</v>
      </c>
      <c r="E1395" t="inlineStr">
        <is>
          <t>if formatter.currencyCode == formatter.currencySymbol || formatter.currencySymbol == "" || formatter.internationalCurrencySymbol == "" {</t>
        </is>
      </c>
    </row>
    <row r="1396">
      <c r="A1396" t="inlineStr">
        <is>
          <t>financialwell</t>
        </is>
      </c>
      <c r="B1396" t="inlineStr">
        <is>
          <t>/Users/manczg/Documents/development/financialwell/FinancialWell/Models/ModelCurrencies.swift</t>
        </is>
      </c>
      <c r="C1396" t="inlineStr">
        <is>
          <t>clarity-09</t>
        </is>
      </c>
      <c r="D1396" t="n">
        <v>276</v>
      </c>
      <c r="E1396" t="inlineStr">
        <is>
          <t>if formatter.currencyCode == formatter.currencySymbol || formatter.currencySymbol == "" || formatter.internationalCurrencySymbol == "" {</t>
        </is>
      </c>
    </row>
    <row r="1397">
      <c r="A1397" t="inlineStr">
        <is>
          <t>financialwell</t>
        </is>
      </c>
      <c r="B1397" t="inlineStr">
        <is>
          <t>/Users/manczg/Documents/development/financialwell/FinancialWell/Models/ModelCurrencies.swift</t>
        </is>
      </c>
      <c r="C1397" t="inlineStr">
        <is>
          <t>clarity-16</t>
        </is>
      </c>
      <c r="D1397" t="n">
        <v>78</v>
      </c>
      <c r="E1397" t="inlineStr">
        <is>
          <t>func exchange(from currency: Currency, value: Double, toCurrency: Currency, exchangePrice: inout Double?) -&gt; Double? {</t>
        </is>
      </c>
    </row>
    <row r="1398">
      <c r="A1398" t="inlineStr">
        <is>
          <t>financialwell</t>
        </is>
      </c>
      <c r="B1398" t="inlineStr">
        <is>
          <t>/Users/manczg/Documents/development/financialwell/FinancialWell/Models/ModelCurrencies.swift</t>
        </is>
      </c>
      <c r="C1398" t="inlineStr">
        <is>
          <t>ddd-01</t>
        </is>
      </c>
      <c r="D1398" t="n">
        <v>15</v>
      </c>
      <c r="E1398" t="inlineStr">
        <is>
          <t>var useInverse: Bool = false</t>
        </is>
      </c>
    </row>
    <row r="1399">
      <c r="A1399" t="inlineStr">
        <is>
          <t>financialwell</t>
        </is>
      </c>
      <c r="B1399" t="inlineStr">
        <is>
          <t>/Users/manczg/Documents/development/financialwell/FinancialWell/Models/ModelCurrencies.swift</t>
        </is>
      </c>
      <c r="C1399" t="inlineStr">
        <is>
          <t>ddd-01</t>
        </is>
      </c>
      <c r="D1399" t="n">
        <v>23</v>
      </c>
      <c r="E1399" t="inlineStr">
        <is>
          <t>var currencyDict: [String: Currency] = Dictionary()</t>
        </is>
      </c>
    </row>
    <row r="1400">
      <c r="A1400" t="inlineStr">
        <is>
          <t>financialwell</t>
        </is>
      </c>
      <c r="B1400" t="inlineStr">
        <is>
          <t>/Users/manczg/Documents/development/financialwell/FinancialWell/Models/ModelCurrencies.swift</t>
        </is>
      </c>
      <c r="C1400" t="inlineStr">
        <is>
          <t>ddd-01</t>
        </is>
      </c>
      <c r="D1400" t="n">
        <v>24</v>
      </c>
      <c r="E1400" t="inlineStr">
        <is>
          <t>var currencyArray: [Currency] = []</t>
        </is>
      </c>
    </row>
    <row r="1401">
      <c r="A1401" t="inlineStr">
        <is>
          <t>financialwell</t>
        </is>
      </c>
      <c r="B1401" t="inlineStr">
        <is>
          <t>/Users/manczg/Documents/development/financialwell/FinancialWell/Models/ModelCurrencies.swift</t>
        </is>
      </c>
      <c r="C1401" t="inlineStr">
        <is>
          <t>safety-02</t>
        </is>
      </c>
      <c r="D1401" t="n">
        <v>75</v>
      </c>
      <c r="E1401" t="inlineStr">
        <is>
          <t>return exchange(from: currency!, value: value, toCurrency: toCurrency!, exchangePrice: &amp;exchangePrice)</t>
        </is>
      </c>
    </row>
    <row r="1402">
      <c r="A1402" t="inlineStr">
        <is>
          <t>financialwell</t>
        </is>
      </c>
      <c r="B1402" t="inlineStr">
        <is>
          <t>/Users/manczg/Documents/development/financialwell/FinancialWell/Models/ModelCurrencies.swift</t>
        </is>
      </c>
      <c r="C1402" t="inlineStr">
        <is>
          <t>safety-02</t>
        </is>
      </c>
      <c r="D1402" t="n">
        <v>97</v>
      </c>
      <c r="E1402" t="inlineStr">
        <is>
          <t>return value * exchangePrice!</t>
        </is>
      </c>
    </row>
    <row r="1403">
      <c r="A1403" t="inlineStr">
        <is>
          <t>financialwell</t>
        </is>
      </c>
      <c r="B1403" t="inlineStr">
        <is>
          <t>/Users/manczg/Documents/development/financialwell/FinancialWell/Models/ModelCurrencies.swift</t>
        </is>
      </c>
      <c r="C1403" t="inlineStr">
        <is>
          <t>safety-02</t>
        </is>
      </c>
      <c r="D1403" t="n">
        <v>104</v>
      </c>
      <c r="E1403" t="inlineStr">
        <is>
          <t>return value * exchangePrice!</t>
        </is>
      </c>
    </row>
    <row r="1404">
      <c r="A1404" t="inlineStr">
        <is>
          <t>financialwell</t>
        </is>
      </c>
      <c r="B1404" t="inlineStr">
        <is>
          <t>/Users/manczg/Documents/development/financialwell/FinancialWell/Models/ModelCurrencies.swift</t>
        </is>
      </c>
      <c r="C1404" t="inlineStr">
        <is>
          <t>safety-02</t>
        </is>
      </c>
      <c r="D1404" t="n">
        <v>116</v>
      </c>
      <c r="E1404" t="inlineStr">
        <is>
          <t>return value / exchangePrice!</t>
        </is>
      </c>
    </row>
    <row r="1405">
      <c r="A1405" t="inlineStr">
        <is>
          <t>financialwell</t>
        </is>
      </c>
      <c r="B1405" t="inlineStr">
        <is>
          <t>/Users/manczg/Documents/development/financialwell/FinancialWell/Models/ModelCurrencies.swift</t>
        </is>
      </c>
      <c r="C1405" t="inlineStr">
        <is>
          <t>safety-02</t>
        </is>
      </c>
      <c r="D1405" t="n">
        <v>128</v>
      </c>
      <c r="E1405" t="inlineStr">
        <is>
          <t>return value * exchangePrice!</t>
        </is>
      </c>
    </row>
    <row r="1406">
      <c r="A1406" t="inlineStr">
        <is>
          <t>financialwell</t>
        </is>
      </c>
      <c r="B1406" t="inlineStr">
        <is>
          <t>/Users/manczg/Documents/development/financialwell/FinancialWell/Models/ModelCurrencies.swift</t>
        </is>
      </c>
      <c r="C1406" t="inlineStr">
        <is>
          <t>safety-02</t>
        </is>
      </c>
      <c r="D1406" t="n">
        <v>140</v>
      </c>
      <c r="E1406" t="inlineStr">
        <is>
          <t>return value / exchangePrice!</t>
        </is>
      </c>
    </row>
    <row r="1407">
      <c r="A1407" t="inlineStr">
        <is>
          <t>financialwell</t>
        </is>
      </c>
      <c r="B1407" t="inlineStr">
        <is>
          <t>/Users/manczg/Documents/development/financialwell/FinancialWell/Models/ModelCurrencies.swift</t>
        </is>
      </c>
      <c r="C1407" t="inlineStr">
        <is>
          <t>safety-02</t>
        </is>
      </c>
      <c r="D1407" t="n">
        <v>147</v>
      </c>
      <c r="E1407" t="inlineStr">
        <is>
          <t>return value * exchangePrice!</t>
        </is>
      </c>
    </row>
    <row r="1408">
      <c r="A1408" t="inlineStr">
        <is>
          <t>financialwell</t>
        </is>
      </c>
      <c r="B1408" t="inlineStr">
        <is>
          <t>/Users/manczg/Documents/development/financialwell/FinancialWell/Models/ModelCurrencies.swift</t>
        </is>
      </c>
      <c r="C1408" t="inlineStr">
        <is>
          <t>safety-02</t>
        </is>
      </c>
      <c r="D1408" t="n">
        <v>154</v>
      </c>
      <c r="E1408" t="inlineStr">
        <is>
          <t>return value * exchangePrice!</t>
        </is>
      </c>
    </row>
    <row r="1409">
      <c r="A1409" t="inlineStr">
        <is>
          <t>financialwell</t>
        </is>
      </c>
      <c r="B1409" t="inlineStr">
        <is>
          <t>/Users/manczg/Documents/development/financialwell/FinancialWell/Models/ModelCurrencies.swift</t>
        </is>
      </c>
      <c r="C1409" t="inlineStr">
        <is>
          <t>safety-02</t>
        </is>
      </c>
      <c r="D1409" t="n">
        <v>211</v>
      </c>
      <c r="E1409" t="inlineStr">
        <is>
          <t>curr.name = name!</t>
        </is>
      </c>
    </row>
    <row r="1410">
      <c r="A1410" t="inlineStr">
        <is>
          <t>financialwell</t>
        </is>
      </c>
      <c r="B1410" t="inlineStr">
        <is>
          <t>/Users/manczg/Documents/development/financialwell/FinancialWell/Models/ModelCurrencies.swift</t>
        </is>
      </c>
      <c r="C1410" t="inlineStr">
        <is>
          <t>safety-02</t>
        </is>
      </c>
      <c r="D1410" t="n">
        <v>225</v>
      </c>
      <c r="E1410" t="inlineStr">
        <is>
          <t>// print("\(locale),\(country!),\(curr.code),\(curr.symbol)")</t>
        </is>
      </c>
    </row>
    <row r="1411">
      <c r="A1411" t="inlineStr">
        <is>
          <t>financialwell</t>
        </is>
      </c>
      <c r="B1411" t="inlineStr">
        <is>
          <t>/Users/manczg/Documents/development/financialwell/FinancialWell/Models/ModelCurrencies.swift</t>
        </is>
      </c>
      <c r="C1411" t="inlineStr">
        <is>
          <t>safety-02</t>
        </is>
      </c>
      <c r="D1411" t="n">
        <v>279</v>
      </c>
      <c r="E1411" t="inlineStr">
        <is>
          <t>let code = formatter.currencyCode!</t>
        </is>
      </c>
    </row>
    <row r="1412">
      <c r="A1412" t="inlineStr">
        <is>
          <t>financialwell</t>
        </is>
      </c>
      <c r="B1412" t="inlineStr">
        <is>
          <t>/Users/manczg/Documents/development/financialwell/FinancialWell/Models/ModelCurrencies.swift</t>
        </is>
      </c>
      <c r="C1412" t="inlineStr">
        <is>
          <t>safety-02</t>
        </is>
      </c>
      <c r="D1412" t="n">
        <v>282</v>
      </c>
      <c r="E1412" t="inlineStr">
        <is>
          <t>let symbol = (formatter.currencySymbol != "") ? formatter.currencySymbol! : formatter.internationalCurrencySymbol!</t>
        </is>
      </c>
    </row>
    <row r="1413">
      <c r="A1413" t="inlineStr">
        <is>
          <t>financialwell</t>
        </is>
      </c>
      <c r="B1413" t="inlineStr">
        <is>
          <t>/Users/manczg/Documents/development/financialwell/FinancialWell/Models/ModelCurrencies.swift</t>
        </is>
      </c>
      <c r="C1413" t="inlineStr">
        <is>
          <t>safety-02</t>
        </is>
      </c>
      <c r="D1413" t="n">
        <v>306</v>
      </c>
      <c r="E1413" t="inlineStr">
        <is>
          <t>currency.euroPrice = rates[currency.code] as! Double</t>
        </is>
      </c>
    </row>
    <row r="1414">
      <c r="A1414" t="inlineStr">
        <is>
          <t>financialwell</t>
        </is>
      </c>
      <c r="B1414" t="inlineStr">
        <is>
          <t>/Users/manczg/Documents/development/financialwell/FinancialWell/Models/ModelCurrencies.swift</t>
        </is>
      </c>
      <c r="C1414" t="inlineStr">
        <is>
          <t>safety-02</t>
        </is>
      </c>
      <c r="D1414" t="n">
        <v>314</v>
      </c>
      <c r="E1414" t="inlineStr">
        <is>
          <t>currencyDict[currency.code]?.country = (currencyDict[currency.code]?.country.union(currency.country))!</t>
        </is>
      </c>
    </row>
    <row r="1415">
      <c r="A1415" t="inlineStr">
        <is>
          <t>financialwell</t>
        </is>
      </c>
      <c r="B1415" t="inlineStr">
        <is>
          <t>/Users/manczg/Documents/development/financialwell/FinancialWell/Models/ModelCurrencies.swift</t>
        </is>
      </c>
      <c r="C1415" t="inlineStr">
        <is>
          <t>safety-02</t>
        </is>
      </c>
      <c r="D1415" t="n">
        <v>315</v>
      </c>
      <c r="E1415" t="inlineStr">
        <is>
          <t>currencyDict[currency.code]?.localeIdentifier = (currencyDict[currency.code]?.localeIdentifier.union(currency.localeIdentifier))!</t>
        </is>
      </c>
    </row>
    <row r="1416">
      <c r="A1416" t="inlineStr">
        <is>
          <t>financialwell</t>
        </is>
      </c>
      <c r="B1416" t="inlineStr">
        <is>
          <t>/Users/manczg/Documents/development/financialwell/FinancialWell/Models/ModelCurrencies.swift</t>
        </is>
      </c>
      <c r="C1416" t="inlineStr">
        <is>
          <t>safety-02</t>
        </is>
      </c>
      <c r="D1416" t="n">
        <v>356</v>
      </c>
      <c r="E1416" t="inlineStr">
        <is>
          <t>result = serialize(data: data!)</t>
        </is>
      </c>
    </row>
    <row r="1417">
      <c r="A1417" t="inlineStr">
        <is>
          <t>financialwell</t>
        </is>
      </c>
      <c r="B1417" t="inlineStr">
        <is>
          <t>/Users/manczg/Documents/development/financialwell/FinancialWell/Models/ModelCurrencies.swift</t>
        </is>
      </c>
      <c r="C1417" t="inlineStr">
        <is>
          <t>safety-02</t>
        </is>
      </c>
      <c r="D1417" t="n">
        <v>377</v>
      </c>
      <c r="E1417" t="inlineStr">
        <is>
          <t>let urlRequest = URLRequest(url: apiUrl!)</t>
        </is>
      </c>
    </row>
    <row r="1418">
      <c r="A1418" t="inlineStr">
        <is>
          <t>financialwell</t>
        </is>
      </c>
      <c r="B1418" t="inlineStr">
        <is>
          <t>/Users/manczg/Documents/development/financialwell/FinancialWell/Models/ModelCurrencies.swift</t>
        </is>
      </c>
      <c r="C1418" t="inlineStr">
        <is>
          <t>safety-02</t>
        </is>
      </c>
      <c r="D1418" t="n">
        <v>381</v>
      </c>
      <c r="E1418" t="inlineStr">
        <is>
          <t>AppLog.fail(error!, message: "Couldn't request JSON from the Internet: \(urlRequest.debugDescription)", skipAssert: true)</t>
        </is>
      </c>
    </row>
    <row r="1419">
      <c r="A1419" t="inlineStr">
        <is>
          <t>financialwell</t>
        </is>
      </c>
      <c r="B1419" t="inlineStr">
        <is>
          <t>/Users/manczg/Documents/development/financialwell/FinancialWell/Models/ModelCurrencies.swift</t>
        </is>
      </c>
      <c r="C1419" t="inlineStr">
        <is>
          <t>safety-02</t>
        </is>
      </c>
      <c r="D1419" t="n">
        <v>443</v>
      </c>
      <c r="E1419" t="inlineStr">
        <is>
          <t>let currency = currencyDict[locale.currencyCode!]</t>
        </is>
      </c>
    </row>
    <row r="1420">
      <c r="A1420" t="inlineStr">
        <is>
          <t>financialwell</t>
        </is>
      </c>
      <c r="B1420" t="inlineStr">
        <is>
          <t>/Users/manczg/Documents/development/financialwell/FinancialWell/Models/ModelCurrencies.swift</t>
        </is>
      </c>
      <c r="C1420" t="inlineStr">
        <is>
          <t>safety-02</t>
        </is>
      </c>
      <c r="D1420" t="n">
        <v>468</v>
      </c>
      <c r="E1420" t="inlineStr">
        <is>
          <t>let name = locale.localizedString(forCurrencyCode: locale.currencyCode!)</t>
        </is>
      </c>
    </row>
    <row r="1421">
      <c r="A1421" t="inlineStr">
        <is>
          <t>financialwell</t>
        </is>
      </c>
      <c r="B1421" t="inlineStr">
        <is>
          <t>/Users/manczg/Documents/development/financialwell/FinancialWell/Models/ModelCurrencies.swift</t>
        </is>
      </c>
      <c r="C1421" t="inlineStr">
        <is>
          <t>safety-02</t>
        </is>
      </c>
      <c r="D1421" t="n">
        <v>470</v>
      </c>
      <c r="E1421" t="inlineStr">
        <is>
          <t>base.name = name!</t>
        </is>
      </c>
    </row>
    <row r="1422">
      <c r="A1422" t="inlineStr">
        <is>
          <t>financialwell</t>
        </is>
      </c>
      <c r="B1422" t="inlineStr">
        <is>
          <t>/Users/manczg/Documents/development/financialwell/FinancialWell/Models/ModelCurrencies.swift</t>
        </is>
      </c>
      <c r="C1422" t="inlineStr">
        <is>
          <t>safety-02</t>
        </is>
      </c>
      <c r="D1422" t="n">
        <v>521</v>
      </c>
      <c r="E1422" t="inlineStr">
        <is>
          <t>if curr.value.country.contains(country!) {</t>
        </is>
      </c>
    </row>
    <row r="1423">
      <c r="A1423" t="inlineStr">
        <is>
          <t>financialwell</t>
        </is>
      </c>
      <c r="B1423" t="inlineStr">
        <is>
          <t>/Users/manczg/Documents/development/financialwell/FinancialWell/Models/ModelCurrencies.swift</t>
        </is>
      </c>
      <c r="C1423" t="inlineStr">
        <is>
          <t>safety-06</t>
        </is>
      </c>
      <c r="D1423" t="n">
        <v>425</v>
      </c>
      <c r="E1423" t="inlineStr">
        <is>
          <t>currencyDG.wait()</t>
        </is>
      </c>
    </row>
    <row r="1424">
      <c r="A1424" t="inlineStr">
        <is>
          <t>financialwell</t>
        </is>
      </c>
      <c r="B1424" t="inlineStr">
        <is>
          <t>/Users/manczg/Documents/development/financialwell/FinancialWell/Models/ModelCurrencies.swift</t>
        </is>
      </c>
      <c r="C1424" t="inlineStr">
        <is>
          <t>safety-13</t>
        </is>
      </c>
      <c r="D1424" t="n">
        <v>106</v>
      </c>
      <c r="E1424" t="inlineStr">
        <is>
          <t>assertionFailure("exchange implementation error: euro to ...")</t>
        </is>
      </c>
    </row>
    <row r="1425">
      <c r="A1425" t="inlineStr">
        <is>
          <t>financialwell</t>
        </is>
      </c>
      <c r="B1425" t="inlineStr">
        <is>
          <t>/Users/manczg/Documents/development/financialwell/FinancialWell/Models/ModelCurrencies.swift</t>
        </is>
      </c>
      <c r="C1425" t="inlineStr">
        <is>
          <t>safety-13</t>
        </is>
      </c>
      <c r="D1425" t="n">
        <v>130</v>
      </c>
      <c r="E1425" t="inlineStr">
        <is>
          <t>assertionFailure("exchange implementation error: local to ...")</t>
        </is>
      </c>
    </row>
    <row r="1426">
      <c r="A1426" t="inlineStr">
        <is>
          <t>financialwell</t>
        </is>
      </c>
      <c r="B1426" t="inlineStr">
        <is>
          <t>/Users/manczg/Documents/development/financialwell/FinancialWell/Models/ModelCurrencies.swift</t>
        </is>
      </c>
      <c r="C1426" t="inlineStr">
        <is>
          <t>safety-13</t>
        </is>
      </c>
      <c r="D1426" t="n">
        <v>156</v>
      </c>
      <c r="E1426" t="inlineStr">
        <is>
          <t>assertionFailure("exchange implementation error: foreign to ...")</t>
        </is>
      </c>
    </row>
    <row r="1427">
      <c r="A1427" t="inlineStr">
        <is>
          <t>financialwell</t>
        </is>
      </c>
      <c r="B1427" t="inlineStr">
        <is>
          <t>/Users/manczg/Documents/development/financialwell/FinancialWell/Models/ModelCurrencies.swift</t>
        </is>
      </c>
      <c r="C1427" t="inlineStr">
        <is>
          <t>safety-13</t>
        </is>
      </c>
      <c r="D1427" t="n">
        <v>159</v>
      </c>
      <c r="E1427" t="inlineStr">
        <is>
          <t>assertionFailure("exchange implementation error: unknown")</t>
        </is>
      </c>
    </row>
    <row r="1428">
      <c r="A1428" t="inlineStr">
        <is>
          <t>financialwell</t>
        </is>
      </c>
      <c r="B1428" t="inlineStr">
        <is>
          <t>/Users/manczg/Documents/development/financialwell/FinancialWell/Models/ModelCurrencies.swift</t>
        </is>
      </c>
      <c r="C1428" t="inlineStr">
        <is>
          <t>safety-13</t>
        </is>
      </c>
      <c r="D1428" t="n">
        <v>456</v>
      </c>
      <c r="E1428" t="inlineStr">
        <is>
          <t>assertionFailure() // must exists</t>
        </is>
      </c>
    </row>
    <row r="1429">
      <c r="A1429" t="inlineStr">
        <is>
          <t>financialwell</t>
        </is>
      </c>
      <c r="B1429" t="inlineStr">
        <is>
          <t>/Users/manczg/Documents/development/financialwell/FinancialWell/Models/ModelCurrencies.swift</t>
        </is>
      </c>
      <c r="C1429" t="inlineStr">
        <is>
          <t>safety-13</t>
        </is>
      </c>
      <c r="D1429" t="n">
        <v>461</v>
      </c>
      <c r="E1429" t="inlineStr">
        <is>
          <t>assert(locale.currencyCode != nil)</t>
        </is>
      </c>
    </row>
    <row r="1430">
      <c r="A1430" t="inlineStr">
        <is>
          <t>financialwell</t>
        </is>
      </c>
      <c r="B1430" t="inlineStr">
        <is>
          <t>/Users/manczg/Documents/development/financialwell/FinancialWell/Models/ModelCurrencies.swift</t>
        </is>
      </c>
      <c r="C1430" t="inlineStr">
        <is>
          <t>safety-13</t>
        </is>
      </c>
      <c r="D1430" t="n">
        <v>464</v>
      </c>
      <c r="E1430" t="inlineStr">
        <is>
          <t>assert(locale.countryCode != nil)</t>
        </is>
      </c>
    </row>
    <row r="1431">
      <c r="A1431" t="inlineStr">
        <is>
          <t>financialwell</t>
        </is>
      </c>
      <c r="B1431" t="inlineStr">
        <is>
          <t>/Users/manczg/Documents/development/financialwell/FinancialWell/Models/ModelCurrencies.swift</t>
        </is>
      </c>
      <c r="C1431" t="inlineStr">
        <is>
          <t>safety-13</t>
        </is>
      </c>
      <c r="D1431" t="n">
        <v>466</v>
      </c>
      <c r="E1431" t="inlineStr">
        <is>
          <t>assert(!country.isEmpty)</t>
        </is>
      </c>
    </row>
    <row r="1432">
      <c r="A1432" t="inlineStr">
        <is>
          <t>financialwell</t>
        </is>
      </c>
      <c r="B1432" t="inlineStr">
        <is>
          <t>/Users/manczg/Documents/development/financialwell/FinancialWell/Models/ModelCurrencies.swift</t>
        </is>
      </c>
      <c r="C1432" t="inlineStr">
        <is>
          <t>safety-13</t>
        </is>
      </c>
      <c r="D1432" t="n">
        <v>469</v>
      </c>
      <c r="E1432" t="inlineStr">
        <is>
          <t>assert(name != nil)</t>
        </is>
      </c>
    </row>
    <row r="1433">
      <c r="A1433" t="inlineStr">
        <is>
          <t>financialwell</t>
        </is>
      </c>
      <c r="B1433" t="inlineStr">
        <is>
          <t>/Users/manczg/Documents/development/financialwell/FinancialWell/Models/ModelCurrencies.swift</t>
        </is>
      </c>
      <c r="C1433" t="inlineStr">
        <is>
          <t>smells-02</t>
        </is>
      </c>
      <c r="D1433" t="n">
        <v>69</v>
      </c>
      <c r="E1433" t="inlineStr">
        <is>
          <t>func exchange(from currencyCode: String, value: Double, toCurrencyCode: String, exchangePrice: inout Double?) -&gt; Double? {</t>
        </is>
      </c>
    </row>
    <row r="1434">
      <c r="A1434" t="inlineStr">
        <is>
          <t>financialwell</t>
        </is>
      </c>
      <c r="B1434" t="inlineStr">
        <is>
          <t>/Users/manczg/Documents/development/financialwell/FinancialWell/Models/ModelCurrencies.swift</t>
        </is>
      </c>
      <c r="C1434" t="inlineStr">
        <is>
          <t>smells-02</t>
        </is>
      </c>
      <c r="D1434" t="n">
        <v>78</v>
      </c>
      <c r="E1434" t="inlineStr">
        <is>
          <t>func exchange(from currency: Currency, value: Double, toCurrency: Currency, exchangePrice: inout Double?) -&gt; Double? {</t>
        </is>
      </c>
    </row>
    <row r="1435">
      <c r="A1435" t="inlineStr">
        <is>
          <t>financialwell</t>
        </is>
      </c>
      <c r="B1435" t="inlineStr">
        <is>
          <t>/Users/manczg/Documents/development/financialwell/FinancialWell/Models/ModelCurrencies.swift</t>
        </is>
      </c>
      <c r="C1435" t="inlineStr">
        <is>
          <t>smells-06</t>
        </is>
      </c>
      <c r="D1435" t="n">
        <v>34</v>
      </c>
      <c r="E1435" t="inlineStr">
        <is>
          <t>//        for country in countries {</t>
        </is>
      </c>
    </row>
    <row r="1436">
      <c r="A1436" t="inlineStr">
        <is>
          <t>financialwell</t>
        </is>
      </c>
      <c r="B1436" t="inlineStr">
        <is>
          <t>/Users/manczg/Documents/development/financialwell/FinancialWell/Models/ModelCurrencies.swift</t>
        </is>
      </c>
      <c r="C1436" t="inlineStr">
        <is>
          <t>smells-06</t>
        </is>
      </c>
      <c r="D1436" t="n">
        <v>35</v>
      </c>
      <c r="E1436" t="inlineStr">
        <is>
          <t>//            let locale = Locale(identifier: country.preferredLocale)</t>
        </is>
      </c>
    </row>
    <row r="1437">
      <c r="A1437" t="inlineStr">
        <is>
          <t>financialwell</t>
        </is>
      </c>
      <c r="B1437" t="inlineStr">
        <is>
          <t>/Users/manczg/Documents/development/financialwell/FinancialWell/Models/ModelCurrencies.swift</t>
        </is>
      </c>
      <c r="C1437" t="inlineStr">
        <is>
          <t>smells-06</t>
        </is>
      </c>
      <c r="D1437" t="n">
        <v>36</v>
      </c>
      <c r="E1437" t="inlineStr">
        <is>
          <t>//            print("(Locale(identifier: \"\(country.preferredLocale)\") as Locale, 0), // \(country.country), [\(locale.groupingSeparator ?? "")|\(locale.decimalSeparator ?? "")] (\(locale.currencySymbol ?? "")) \(locale.currency?.identifier ?? "")")</t>
        </is>
      </c>
    </row>
    <row r="1438">
      <c r="A1438" t="inlineStr">
        <is>
          <t>financialwell</t>
        </is>
      </c>
      <c r="B1438" t="inlineStr">
        <is>
          <t>/Users/manczg/Documents/development/financialwell/FinancialWell/Models/ModelCurrencies.swift</t>
        </is>
      </c>
      <c r="C1438" t="inlineStr">
        <is>
          <t>smells-06</t>
        </is>
      </c>
      <c r="D1438" t="n">
        <v>37</v>
      </c>
      <c r="E1438" t="inlineStr">
        <is>
          <t>//        }</t>
        </is>
      </c>
    </row>
    <row r="1439">
      <c r="A1439" t="inlineStr">
        <is>
          <t>financialwell</t>
        </is>
      </c>
      <c r="B1439" t="inlineStr">
        <is>
          <t>/Users/manczg/Documents/development/financialwell/FinancialWell/Models/ModelCurrencies.swift</t>
        </is>
      </c>
      <c r="C1439" t="inlineStr">
        <is>
          <t>smells-06</t>
        </is>
      </c>
      <c r="D1439" t="n">
        <v>38</v>
      </c>
      <c r="E1439" t="inlineStr">
        <is>
          <t>//        for country in countries {</t>
        </is>
      </c>
    </row>
    <row r="1440">
      <c r="A1440" t="inlineStr">
        <is>
          <t>financialwell</t>
        </is>
      </c>
      <c r="B1440" t="inlineStr">
        <is>
          <t>/Users/manczg/Documents/development/financialwell/FinancialWell/Models/ModelCurrencies.swift</t>
        </is>
      </c>
      <c r="C1440" t="inlineStr">
        <is>
          <t>smells-06</t>
        </is>
      </c>
      <c r="D1440" t="n">
        <v>39</v>
      </c>
      <c r="E1440" t="inlineStr">
        <is>
          <t>//            let locale = Locale(identifier: country.preferredLocale)</t>
        </is>
      </c>
    </row>
    <row r="1441">
      <c r="A1441" t="inlineStr">
        <is>
          <t>financialwell</t>
        </is>
      </c>
      <c r="B1441" t="inlineStr">
        <is>
          <t>/Users/manczg/Documents/development/financialwell/FinancialWell/Models/ModelCurrencies.swift</t>
        </is>
      </c>
      <c r="C1441" t="inlineStr">
        <is>
          <t>smells-06</t>
        </is>
      </c>
      <c r="D1441" t="n">
        <v>40</v>
      </c>
      <c r="E1441" t="inlineStr">
        <is>
          <t>//            let comment = "\"(Locale(identifier: \"\(country.preferredLocale)\"), 0),\""</t>
        </is>
      </c>
    </row>
    <row r="1442">
      <c r="A1442" t="inlineStr">
        <is>
          <t>financialwell</t>
        </is>
      </c>
      <c r="B1442" t="inlineStr">
        <is>
          <t>/Users/manczg/Documents/development/financialwell/FinancialWell/Models/ModelCurrencies.swift</t>
        </is>
      </c>
      <c r="C1442" t="inlineStr">
        <is>
          <t>smells-06</t>
        </is>
      </c>
      <c r="D1442" t="n">
        <v>41</v>
      </c>
      <c r="E1442" t="inlineStr">
        <is>
          <t>//            print("\(country.country),\"\(locale.groupingSeparator ?? "")\",\"\(locale.decimalSeparator ?? "")\",\(locale.currencySymbol ?? ""),\(locale.currency?.identifier ?? ""),\(comment)")</t>
        </is>
      </c>
    </row>
    <row r="1443">
      <c r="A1443" t="inlineStr">
        <is>
          <t>financialwell</t>
        </is>
      </c>
      <c r="B1443" t="inlineStr">
        <is>
          <t>/Users/manczg/Documents/development/financialwell/FinancialWell/Models/ModelCurrencies.swift</t>
        </is>
      </c>
      <c r="C1443" t="inlineStr">
        <is>
          <t>smells-06</t>
        </is>
      </c>
      <c r="D1443" t="n">
        <v>42</v>
      </c>
      <c r="E1443" t="inlineStr">
        <is>
          <t>//        }</t>
        </is>
      </c>
    </row>
    <row r="1444">
      <c r="A1444" t="inlineStr">
        <is>
          <t>financialwell</t>
        </is>
      </c>
      <c r="B1444" t="inlineStr">
        <is>
          <t>/Users/manczg/Documents/development/financialwell/FinancialWell/Models/ModelCurrencies.swift</t>
        </is>
      </c>
      <c r="C1444" t="inlineStr">
        <is>
          <t>smells-06</t>
        </is>
      </c>
      <c r="D1444" t="n">
        <v>225</v>
      </c>
      <c r="E1444" t="inlineStr">
        <is>
          <t>// print("\(locale),\(country!),\(curr.code),\(curr.symbol)")</t>
        </is>
      </c>
    </row>
    <row r="1445">
      <c r="A1445" t="inlineStr">
        <is>
          <t>financialwell</t>
        </is>
      </c>
      <c r="B1445" t="inlineStr">
        <is>
          <t>/Users/manczg/Documents/development/financialwell/FinancialWell/Models/ModelCurrencies.swift</t>
        </is>
      </c>
      <c r="C1445" t="inlineStr">
        <is>
          <t>smells-06</t>
        </is>
      </c>
      <c r="D1445" t="n">
        <v>230</v>
      </c>
      <c r="E1445" t="inlineStr">
        <is>
          <t>//            print("\(formatter.locale.identifier) - \(formatter.locale.region?.identifier) - \(formatter.currencyCode) - \(curr.code) =  \(formatter.currencySymbol) - \(curr.symbol)")</t>
        </is>
      </c>
    </row>
    <row r="1446">
      <c r="A1446" t="inlineStr">
        <is>
          <t>financialwell</t>
        </is>
      </c>
      <c r="B1446" t="inlineStr">
        <is>
          <t>/Users/manczg/Documents/development/financialwell/FinancialWell/Models/ModelCurrencies.swift</t>
        </is>
      </c>
      <c r="C1446" t="inlineStr">
        <is>
          <t>smells-06</t>
        </is>
      </c>
      <c r="D1446" t="n">
        <v>293</v>
      </c>
      <c r="E1446" t="inlineStr">
        <is>
          <t>// print(exchangeDict.description)</t>
        </is>
      </c>
    </row>
    <row r="1447">
      <c r="A1447" t="inlineStr">
        <is>
          <t>financialwell</t>
        </is>
      </c>
      <c r="B1447" t="inlineStr">
        <is>
          <t>/Users/manczg/Documents/development/financialwell/FinancialWell/Models/ModelCurrencies.swift</t>
        </is>
      </c>
      <c r="C1447" t="inlineStr">
        <is>
          <t>smells-08</t>
        </is>
      </c>
      <c r="D1447" t="n">
        <v>73</v>
      </c>
      <c r="E1447" t="inlineStr">
        <is>
          <t>return nil</t>
        </is>
      </c>
    </row>
    <row r="1448">
      <c r="A1448" t="inlineStr">
        <is>
          <t>financialwell</t>
        </is>
      </c>
      <c r="B1448" t="inlineStr">
        <is>
          <t>/Users/manczg/Documents/development/financialwell/FinancialWell/Models/ModelCurrencies.swift</t>
        </is>
      </c>
      <c r="C1448" t="inlineStr">
        <is>
          <t>smells-08</t>
        </is>
      </c>
      <c r="D1448" t="n">
        <v>80</v>
      </c>
      <c r="E1448" t="inlineStr">
        <is>
          <t>return nil</t>
        </is>
      </c>
    </row>
    <row r="1449">
      <c r="A1449" t="inlineStr">
        <is>
          <t>financialwell</t>
        </is>
      </c>
      <c r="B1449" t="inlineStr">
        <is>
          <t>/Users/manczg/Documents/development/financialwell/FinancialWell/Models/ModelCurrencies.swift</t>
        </is>
      </c>
      <c r="C1449" t="inlineStr">
        <is>
          <t>smells-08</t>
        </is>
      </c>
      <c r="D1449" t="n">
        <v>107</v>
      </c>
      <c r="E1449" t="inlineStr">
        <is>
          <t>return nil</t>
        </is>
      </c>
    </row>
    <row r="1450">
      <c r="A1450" t="inlineStr">
        <is>
          <t>financialwell</t>
        </is>
      </c>
      <c r="B1450" t="inlineStr">
        <is>
          <t>/Users/manczg/Documents/development/financialwell/FinancialWell/Models/ModelCurrencies.swift</t>
        </is>
      </c>
      <c r="C1450" t="inlineStr">
        <is>
          <t>smells-08</t>
        </is>
      </c>
      <c r="D1450" t="n">
        <v>131</v>
      </c>
      <c r="E1450" t="inlineStr">
        <is>
          <t>return nil</t>
        </is>
      </c>
    </row>
    <row r="1451">
      <c r="A1451" t="inlineStr">
        <is>
          <t>financialwell</t>
        </is>
      </c>
      <c r="B1451" t="inlineStr">
        <is>
          <t>/Users/manczg/Documents/development/financialwell/FinancialWell/Models/ModelCurrencies.swift</t>
        </is>
      </c>
      <c r="C1451" t="inlineStr">
        <is>
          <t>smells-08</t>
        </is>
      </c>
      <c r="D1451" t="n">
        <v>157</v>
      </c>
      <c r="E1451" t="inlineStr">
        <is>
          <t>return nil</t>
        </is>
      </c>
    </row>
    <row r="1452">
      <c r="A1452" t="inlineStr">
        <is>
          <t>financialwell</t>
        </is>
      </c>
      <c r="B1452" t="inlineStr">
        <is>
          <t>/Users/manczg/Documents/development/financialwell/FinancialWell/Models/ModelCurrencies.swift</t>
        </is>
      </c>
      <c r="C1452" t="inlineStr">
        <is>
          <t>smells-08</t>
        </is>
      </c>
      <c r="D1452" t="n">
        <v>160</v>
      </c>
      <c r="E1452" t="inlineStr">
        <is>
          <t>return nil</t>
        </is>
      </c>
    </row>
    <row r="1453">
      <c r="A1453" t="inlineStr">
        <is>
          <t>financialwell</t>
        </is>
      </c>
      <c r="B1453" t="inlineStr">
        <is>
          <t>/Users/manczg/Documents/development/financialwell/FinancialWell/Models/ModelCurrencies.swift</t>
        </is>
      </c>
      <c r="C1453" t="inlineStr">
        <is>
          <t>smells-08</t>
        </is>
      </c>
      <c r="D1453" t="n">
        <v>511</v>
      </c>
      <c r="E1453" t="inlineStr">
        <is>
          <t>return nil</t>
        </is>
      </c>
    </row>
    <row r="1454">
      <c r="A1454" t="inlineStr">
        <is>
          <t>financialwell</t>
        </is>
      </c>
      <c r="B1454" t="inlineStr">
        <is>
          <t>/Users/manczg/Documents/development/financialwell/FinancialWell/Models/ModelCurrencies.swift</t>
        </is>
      </c>
      <c r="C1454" t="inlineStr">
        <is>
          <t>smells-10</t>
        </is>
      </c>
      <c r="D1454" t="n">
        <v>33</v>
      </c>
      <c r="E1454" t="inlineStr">
        <is>
          <t>return ModelCurrencies.regionCurrency.values.sorted(by: { $0.country &lt; $1.country })</t>
        </is>
      </c>
    </row>
    <row r="1455">
      <c r="A1455" t="inlineStr">
        <is>
          <t>financialwell</t>
        </is>
      </c>
      <c r="B1455" t="inlineStr">
        <is>
          <t>/Users/manczg/Documents/development/financialwell/FinancialWell/Models/ModelCurrencies.swift</t>
        </is>
      </c>
      <c r="C1455" t="inlineStr">
        <is>
          <t>smells-10</t>
        </is>
      </c>
      <c r="D1455" t="n">
        <v>521</v>
      </c>
      <c r="E1455" t="inlineStr">
        <is>
          <t>if curr.value.country.contains(country!) {</t>
        </is>
      </c>
    </row>
    <row r="1456">
      <c r="A1456" t="inlineStr">
        <is>
          <t>financialwell</t>
        </is>
      </c>
      <c r="B1456" t="inlineStr">
        <is>
          <t>/Users/manczg/Documents/development/financialwell/FinancialWell/Models/ModelCurrencies.swift</t>
        </is>
      </c>
      <c r="C1456" t="inlineStr">
        <is>
          <t>smells-10</t>
        </is>
      </c>
      <c r="D1456" t="n">
        <v>538</v>
      </c>
      <c r="E1456" t="inlineStr">
        <is>
          <t>return ModelManager.shared.currencies.getCurrency(by: ModelManager.shared.locationService.getCountry())</t>
        </is>
      </c>
    </row>
    <row r="1457">
      <c r="A1457" t="inlineStr">
        <is>
          <t>financialwell</t>
        </is>
      </c>
      <c r="B1457" t="inlineStr">
        <is>
          <t>/Users/manczg/Documents/development/financialwell/FinancialWell/Models/ModelCurrencies.swift</t>
        </is>
      </c>
      <c r="C1457" t="inlineStr">
        <is>
          <t>smells-12</t>
        </is>
      </c>
      <c r="D1457" t="n">
        <v>343</v>
      </c>
      <c r="E1457" t="inlineStr">
        <is>
          <t>} catch {}</t>
        </is>
      </c>
    </row>
    <row r="1458">
      <c r="A1458" t="inlineStr">
        <is>
          <t>financialwell</t>
        </is>
      </c>
      <c r="B1458" t="inlineStr">
        <is>
          <t>/Users/manczg/Documents/development/financialwell/FinancialWell/Models/ModelCurrencies.swift</t>
        </is>
      </c>
      <c r="C1458" t="inlineStr">
        <is>
          <t>solid-06</t>
        </is>
      </c>
      <c r="D1458" t="n">
        <v>13</v>
      </c>
      <c r="E1458" t="inlineStr">
        <is>
          <t>var base = Currency()</t>
        </is>
      </c>
    </row>
    <row r="1459">
      <c r="A1459" t="inlineStr">
        <is>
          <t>financialwell</t>
        </is>
      </c>
      <c r="B1459" t="inlineStr">
        <is>
          <t>/Users/manczg/Documents/development/financialwell/FinancialWell/Models/ModelCurrencies.swift</t>
        </is>
      </c>
      <c r="C1459" t="inlineStr">
        <is>
          <t>solid-06</t>
        </is>
      </c>
      <c r="D1459" t="n">
        <v>14</v>
      </c>
      <c r="E1459" t="inlineStr">
        <is>
          <t>var baseNumberFormatter = NumberFormatter()</t>
        </is>
      </c>
    </row>
    <row r="1460">
      <c r="A1460" t="inlineStr">
        <is>
          <t>financialwell</t>
        </is>
      </c>
      <c r="B1460" t="inlineStr">
        <is>
          <t>/Users/manczg/Documents/development/financialwell/FinancialWell/Models/ModelCurrencies.swift</t>
        </is>
      </c>
      <c r="C1460" t="inlineStr">
        <is>
          <t>solid-06</t>
        </is>
      </c>
      <c r="D1460" t="n">
        <v>15</v>
      </c>
      <c r="E1460" t="inlineStr">
        <is>
          <t>var useInverse: Bool = false</t>
        </is>
      </c>
    </row>
    <row r="1461">
      <c r="A1461" t="inlineStr">
        <is>
          <t>financialwell</t>
        </is>
      </c>
      <c r="B1461" t="inlineStr">
        <is>
          <t>/Users/manczg/Documents/development/financialwell/FinancialWell/Models/ModelCurrencies.swift</t>
        </is>
      </c>
      <c r="C1461" t="inlineStr">
        <is>
          <t>solid-06</t>
        </is>
      </c>
      <c r="D1461" t="n">
        <v>21</v>
      </c>
      <c r="E1461" t="inlineStr">
        <is>
          <t>static var regionCurrency: [String: CountryCurrency] = [:] // Country : CountryCurrency pairs</t>
        </is>
      </c>
    </row>
    <row r="1462">
      <c r="A1462" t="inlineStr">
        <is>
          <t>financialwell</t>
        </is>
      </c>
      <c r="B1462" t="inlineStr">
        <is>
          <t>/Users/manczg/Documents/development/financialwell/FinancialWell/Models/ModelCurrencies.swift</t>
        </is>
      </c>
      <c r="C1462" t="inlineStr">
        <is>
          <t>solid-06</t>
        </is>
      </c>
      <c r="D1462" t="n">
        <v>22</v>
      </c>
      <c r="E1462" t="inlineStr">
        <is>
          <t>static var allCurrencies: [Currency] = []</t>
        </is>
      </c>
    </row>
    <row r="1463">
      <c r="A1463" t="inlineStr">
        <is>
          <t>financialwell</t>
        </is>
      </c>
      <c r="B1463" t="inlineStr">
        <is>
          <t>/Users/manczg/Documents/development/financialwell/FinancialWell/Models/ModelCurrencies.swift</t>
        </is>
      </c>
      <c r="C1463" t="inlineStr">
        <is>
          <t>solid-06</t>
        </is>
      </c>
      <c r="D1463" t="n">
        <v>23</v>
      </c>
      <c r="E1463" t="inlineStr">
        <is>
          <t>var currencyDict: [String: Currency] = Dictionary()</t>
        </is>
      </c>
    </row>
    <row r="1464">
      <c r="A1464" t="inlineStr">
        <is>
          <t>financialwell</t>
        </is>
      </c>
      <c r="B1464" t="inlineStr">
        <is>
          <t>/Users/manczg/Documents/development/financialwell/FinancialWell/Models/ModelCurrencies.swift</t>
        </is>
      </c>
      <c r="C1464" t="inlineStr">
        <is>
          <t>solid-06</t>
        </is>
      </c>
      <c r="D1464" t="n">
        <v>24</v>
      </c>
      <c r="E1464" t="inlineStr">
        <is>
          <t>var currencyArray: [Currency] = []</t>
        </is>
      </c>
    </row>
    <row r="1465">
      <c r="A1465" t="inlineStr">
        <is>
          <t>financialwell</t>
        </is>
      </c>
      <c r="B1465" t="inlineStr">
        <is>
          <t>/Users/manczg/Documents/development/financialwell/FinancialWell/Models/ModelCurrencies.swift</t>
        </is>
      </c>
      <c r="C1465" t="inlineStr">
        <is>
          <t>solid-06</t>
        </is>
      </c>
      <c r="D1465" t="n">
        <v>25</v>
      </c>
      <c r="E1465" t="inlineStr">
        <is>
          <t>var currencyDG = DispatchGroup()</t>
        </is>
      </c>
    </row>
    <row r="1466">
      <c r="A1466" t="inlineStr">
        <is>
          <t>financialwell</t>
        </is>
      </c>
      <c r="B1466" t="inlineStr">
        <is>
          <t>/Users/manczg/Documents/development/financialwell/FinancialWell/Models/ModelCurrencies.swift</t>
        </is>
      </c>
      <c r="C1466" t="inlineStr">
        <is>
          <t>solid-06</t>
        </is>
      </c>
      <c r="D1466" t="n">
        <v>26</v>
      </c>
      <c r="E1466" t="inlineStr">
        <is>
          <t>var waitForCurrencyDG = true</t>
        </is>
      </c>
    </row>
    <row r="1467">
      <c r="A1467" t="inlineStr">
        <is>
          <t>financialwell</t>
        </is>
      </c>
      <c r="B1467" t="inlineStr">
        <is>
          <t>/Users/manczg/Documents/development/financialwell/FinancialWell/Models/ModelCurrencies.swift</t>
        </is>
      </c>
      <c r="C1467" t="inlineStr">
        <is>
          <t>solid-07</t>
        </is>
      </c>
      <c r="D1467" t="n">
        <v>62</v>
      </c>
      <c r="E1467" t="inlineStr">
        <is>
          <t>func isBase(currencyCode: String) -&gt; Bool {</t>
        </is>
      </c>
    </row>
    <row r="1468">
      <c r="A1468" t="inlineStr">
        <is>
          <t>financialwell</t>
        </is>
      </c>
      <c r="B1468" t="inlineStr">
        <is>
          <t>/Users/manczg/Documents/development/financialwell/FinancialWell/Models/ModelCurrencies.swift</t>
        </is>
      </c>
      <c r="C1468" t="inlineStr">
        <is>
          <t>solid-07</t>
        </is>
      </c>
      <c r="D1468" t="n">
        <v>69</v>
      </c>
      <c r="E1468" t="inlineStr">
        <is>
          <t>func exchange(from currencyCode: String, value: Double, toCurrencyCode: String, exchangePrice: inout Double?) -&gt; Double? {</t>
        </is>
      </c>
    </row>
    <row r="1469">
      <c r="A1469" t="inlineStr">
        <is>
          <t>financialwell</t>
        </is>
      </c>
      <c r="B1469" t="inlineStr">
        <is>
          <t>/Users/manczg/Documents/development/financialwell/FinancialWell/Models/ModelCurrencies.swift</t>
        </is>
      </c>
      <c r="C1469" t="inlineStr">
        <is>
          <t>solid-07</t>
        </is>
      </c>
      <c r="D1469" t="n">
        <v>187</v>
      </c>
      <c r="E1469" t="inlineStr">
        <is>
          <t>static func getCountryName(localeIdentifier: String, countryCode: String) -&gt; String? {</t>
        </is>
      </c>
    </row>
    <row r="1470">
      <c r="A1470" t="inlineStr">
        <is>
          <t>financialwell</t>
        </is>
      </c>
      <c r="B1470" t="inlineStr">
        <is>
          <t>/Users/manczg/Documents/development/financialwell/FinancialWell/Models/ModelCurrencies.swift</t>
        </is>
      </c>
      <c r="C1470" t="inlineStr">
        <is>
          <t>solid-08</t>
        </is>
      </c>
      <c r="D1470" t="n">
        <v>14</v>
      </c>
      <c r="E1470" t="inlineStr">
        <is>
          <t>var baseNumberFormatter = NumberFormatter()</t>
        </is>
      </c>
    </row>
    <row r="1471">
      <c r="A1471" t="inlineStr">
        <is>
          <t>financialwell</t>
        </is>
      </c>
      <c r="B1471" t="inlineStr">
        <is>
          <t>/Users/manczg/Documents/development/financialwell/FinancialWell/Models/ModelCurrencies.swift</t>
        </is>
      </c>
      <c r="C1471" t="inlineStr">
        <is>
          <t>solid-08</t>
        </is>
      </c>
      <c r="D1471" t="n">
        <v>15</v>
      </c>
      <c r="E1471" t="inlineStr">
        <is>
          <t>var useInverse: Bool = false</t>
        </is>
      </c>
    </row>
    <row r="1472">
      <c r="A1472" t="inlineStr">
        <is>
          <t>financialwell</t>
        </is>
      </c>
      <c r="B1472" t="inlineStr">
        <is>
          <t>/Users/manczg/Documents/development/financialwell/FinancialWell/Models/ModelCurrencies.swift</t>
        </is>
      </c>
      <c r="C1472" t="inlineStr">
        <is>
          <t>solid-08</t>
        </is>
      </c>
      <c r="D1472" t="n">
        <v>24</v>
      </c>
      <c r="E1472" t="inlineStr">
        <is>
          <t>var currencyArray: [Currency] = []</t>
        </is>
      </c>
    </row>
    <row r="1473">
      <c r="A1473" t="inlineStr">
        <is>
          <t>financialwell</t>
        </is>
      </c>
      <c r="B1473" t="inlineStr">
        <is>
          <t>/Users/manczg/Documents/development/financialwell/FinancialWell/Models/ModelCurrencies.swift</t>
        </is>
      </c>
      <c r="C1473" t="inlineStr">
        <is>
          <t>solid-08</t>
        </is>
      </c>
      <c r="D1473" t="n">
        <v>25</v>
      </c>
      <c r="E1473" t="inlineStr">
        <is>
          <t>var currencyDG = DispatchGroup()</t>
        </is>
      </c>
    </row>
    <row r="1474">
      <c r="A1474" t="inlineStr">
        <is>
          <t>financialwell</t>
        </is>
      </c>
      <c r="B1474" t="inlineStr">
        <is>
          <t>/Users/manczg/Documents/development/financialwell/FinancialWell/Models/ModelCurrencies.swift</t>
        </is>
      </c>
      <c r="C1474" t="inlineStr">
        <is>
          <t>solid-08</t>
        </is>
      </c>
      <c r="D1474" t="n">
        <v>26</v>
      </c>
      <c r="E1474" t="inlineStr">
        <is>
          <t>var waitForCurrencyDG = true</t>
        </is>
      </c>
    </row>
    <row r="1475">
      <c r="A1475" t="inlineStr">
        <is>
          <t>financialwell</t>
        </is>
      </c>
      <c r="B1475" t="inlineStr">
        <is>
          <t>/Users/manczg/Documents/development/financialwell/FinancialWell/Models/ModelCurrencies.swift</t>
        </is>
      </c>
      <c r="C1475" t="inlineStr">
        <is>
          <t>solid-09</t>
        </is>
      </c>
      <c r="D1475" t="n">
        <v>21</v>
      </c>
      <c r="E1475" t="inlineStr">
        <is>
          <t>static var regionCurrency: [String: CountryCurrency] = [:] // Country : CountryCurrency pairs</t>
        </is>
      </c>
    </row>
    <row r="1476">
      <c r="A1476" t="inlineStr">
        <is>
          <t>financialwell</t>
        </is>
      </c>
      <c r="B1476" t="inlineStr">
        <is>
          <t>/Users/manczg/Documents/development/financialwell/FinancialWell/Models/ModelCurrencies.swift</t>
        </is>
      </c>
      <c r="C1476" t="inlineStr">
        <is>
          <t>solid-09</t>
        </is>
      </c>
      <c r="D1476" t="n">
        <v>22</v>
      </c>
      <c r="E1476" t="inlineStr">
        <is>
          <t>static var allCurrencies: [Currency] = []</t>
        </is>
      </c>
    </row>
    <row r="1477">
      <c r="A1477" t="inlineStr">
        <is>
          <t>financialwell</t>
        </is>
      </c>
      <c r="B1477" t="inlineStr">
        <is>
          <t>/Users/manczg/Documents/development/financialwell/FinancialWell/Models/ModelCurrencies.swift</t>
        </is>
      </c>
      <c r="C1477" t="inlineStr">
        <is>
          <t>solid-10</t>
        </is>
      </c>
      <c r="D1477" t="n">
        <v>193</v>
      </c>
      <c r="E1477" t="inlineStr">
        <is>
          <t>let logger = PerformanceLogger()</t>
        </is>
      </c>
    </row>
    <row r="1478">
      <c r="A1478" t="inlineStr">
        <is>
          <t>financialwell</t>
        </is>
      </c>
      <c r="B1478" t="inlineStr">
        <is>
          <t>/Users/manczg/Documents/development/financialwell/FinancialWell/Models/ModelCurrencies.swift</t>
        </is>
      </c>
      <c r="C1478" t="inlineStr">
        <is>
          <t>solid-10</t>
        </is>
      </c>
      <c r="D1478" t="n">
        <v>329</v>
      </c>
      <c r="E1478" t="inlineStr">
        <is>
          <t>let logger = PerformanceLogger()</t>
        </is>
      </c>
    </row>
    <row r="1479">
      <c r="A1479" t="inlineStr">
        <is>
          <t>financialwell</t>
        </is>
      </c>
      <c r="B1479" t="inlineStr">
        <is>
          <t>/Users/manczg/Documents/development/financialwell/FinancialWell/Models/ModelCurrencies.swift</t>
        </is>
      </c>
      <c r="C1479" t="inlineStr">
        <is>
          <t>solid-10</t>
        </is>
      </c>
      <c r="D1479" t="n">
        <v>369</v>
      </c>
      <c r="E1479" t="inlineStr">
        <is>
          <t>let logger = PerformanceLogger()</t>
        </is>
      </c>
    </row>
    <row r="1480">
      <c r="A1480" t="inlineStr">
        <is>
          <t>financialwell</t>
        </is>
      </c>
      <c r="B1480" t="inlineStr">
        <is>
          <t>/Users/manczg/Documents/development/financialwell/FinancialWell/Models/ModelCurrencies.swift</t>
        </is>
      </c>
      <c r="C1480" t="inlineStr">
        <is>
          <t>solid-12</t>
        </is>
      </c>
      <c r="D1480" t="n">
        <v>36</v>
      </c>
      <c r="E1480" t="inlineStr">
        <is>
          <t>//            print("(Locale(identifier: \"\(country.preferredLocale)\") as Locale, 0), // \(country.country), [\(locale.groupingSeparator ?? "")|\(locale.decimalSeparator ?? "")] (\(locale.currencySymbol ?? "")) \(locale.currency?.identifier ?? "")")</t>
        </is>
      </c>
    </row>
    <row r="1481">
      <c r="A1481" t="inlineStr">
        <is>
          <t>financialwell</t>
        </is>
      </c>
      <c r="B1481" t="inlineStr">
        <is>
          <t>/Users/manczg/Documents/development/financialwell/FinancialWell/Models/ModelCurrencies.swift</t>
        </is>
      </c>
      <c r="C1481" t="inlineStr">
        <is>
          <t>solid-12</t>
        </is>
      </c>
      <c r="D1481" t="n">
        <v>41</v>
      </c>
      <c r="E1481" t="inlineStr">
        <is>
          <t>//            print("\(country.country),\"\(locale.groupingSeparator ?? "")\",\"\(locale.decimalSeparator ?? "")\",\(locale.currencySymbol ?? ""),\(locale.currency?.identifier ?? ""),\(comment)")</t>
        </is>
      </c>
    </row>
    <row r="1482">
      <c r="A1482" t="inlineStr">
        <is>
          <t>financialwell</t>
        </is>
      </c>
      <c r="B1482" t="inlineStr">
        <is>
          <t>/Users/manczg/Documents/development/financialwell/FinancialWell/Models/ModelCurrencies.swift</t>
        </is>
      </c>
      <c r="C1482" t="inlineStr">
        <is>
          <t>solid-12</t>
        </is>
      </c>
      <c r="D1482" t="n">
        <v>166</v>
      </c>
      <c r="E1482" t="inlineStr">
        <is>
          <t>AppLog.warning(false, "Can't get country code for localeId: \(localeIdentifier).")</t>
        </is>
      </c>
    </row>
    <row r="1483">
      <c r="A1483" t="inlineStr">
        <is>
          <t>financialwell</t>
        </is>
      </c>
      <c r="B1483" t="inlineStr">
        <is>
          <t>/Users/manczg/Documents/development/financialwell/FinancialWell/Models/ModelCurrencies.swift</t>
        </is>
      </c>
      <c r="C1483" t="inlineStr">
        <is>
          <t>solid-12</t>
        </is>
      </c>
      <c r="D1483" t="n">
        <v>183</v>
      </c>
      <c r="E1483" t="inlineStr">
        <is>
          <t>AppLog.warning(false, "Couldn't get the country name for localeId: \(localeIdentifier)")</t>
        </is>
      </c>
    </row>
    <row r="1484">
      <c r="A1484" t="inlineStr">
        <is>
          <t>financialwell</t>
        </is>
      </c>
      <c r="B1484" t="inlineStr">
        <is>
          <t>/Users/manczg/Documents/development/financialwell/FinancialWell/Models/ModelCurrencies.swift</t>
        </is>
      </c>
      <c r="C1484" t="inlineStr">
        <is>
          <t>solid-12</t>
        </is>
      </c>
      <c r="D1484" t="n">
        <v>225</v>
      </c>
      <c r="E1484" t="inlineStr">
        <is>
          <t>// print("\(locale),\(country!),\(curr.code),\(curr.symbol)")</t>
        </is>
      </c>
    </row>
    <row r="1485">
      <c r="A1485" t="inlineStr">
        <is>
          <t>financialwell</t>
        </is>
      </c>
      <c r="B1485" t="inlineStr">
        <is>
          <t>/Users/manczg/Documents/development/financialwell/FinancialWell/Models/ModelCurrencies.swift</t>
        </is>
      </c>
      <c r="C1485" t="inlineStr">
        <is>
          <t>solid-12</t>
        </is>
      </c>
      <c r="D1485" t="n">
        <v>230</v>
      </c>
      <c r="E1485" t="inlineStr">
        <is>
          <t>//            print("\(formatter.locale.identifier) - \(formatter.locale.region?.identifier) - \(formatter.currencyCode) - \(curr.code) =  \(formatter.currencySymbol) - \(curr.symbol)")</t>
        </is>
      </c>
    </row>
    <row r="1486">
      <c r="A1486" t="inlineStr">
        <is>
          <t>financialwell</t>
        </is>
      </c>
      <c r="B1486" t="inlineStr">
        <is>
          <t>/Users/manczg/Documents/development/financialwell/FinancialWell/Models/ModelCurrencies.swift</t>
        </is>
      </c>
      <c r="C1486" t="inlineStr">
        <is>
          <t>solid-12</t>
        </is>
      </c>
      <c r="D1486" t="n">
        <v>290</v>
      </c>
      <c r="E1486" t="inlineStr">
        <is>
          <t>AppLog.fail(message: "Couldn't parse currencies: Could not convert JSON to dictionary")</t>
        </is>
      </c>
    </row>
    <row r="1487">
      <c r="A1487" t="inlineStr">
        <is>
          <t>financialwell</t>
        </is>
      </c>
      <c r="B1487" t="inlineStr">
        <is>
          <t>/Users/manczg/Documents/development/financialwell/FinancialWell/Models/ModelCurrencies.swift</t>
        </is>
      </c>
      <c r="C1487" t="inlineStr">
        <is>
          <t>solid-12</t>
        </is>
      </c>
      <c r="D1487" t="n">
        <v>293</v>
      </c>
      <c r="E1487" t="inlineStr">
        <is>
          <t>// print(exchangeDict.description)</t>
        </is>
      </c>
    </row>
    <row r="1488">
      <c r="A1488" t="inlineStr">
        <is>
          <t>financialwell</t>
        </is>
      </c>
      <c r="B1488" t="inlineStr">
        <is>
          <t>/Users/manczg/Documents/development/financialwell/FinancialWell/Models/ModelCurrencies.swift</t>
        </is>
      </c>
      <c r="C1488" t="inlineStr">
        <is>
          <t>solid-12</t>
        </is>
      </c>
      <c r="D1488" t="n">
        <v>321</v>
      </c>
      <c r="E1488" t="inlineStr">
        <is>
          <t>AppLog.fail(error, message: "Getting currency: Error trying to convert JSON to dictionary")</t>
        </is>
      </c>
    </row>
    <row r="1489">
      <c r="A1489" t="inlineStr">
        <is>
          <t>financialwell</t>
        </is>
      </c>
      <c r="B1489" t="inlineStr">
        <is>
          <t>/Users/manczg/Documents/development/financialwell/FinancialWell/Models/ModelCurrencies.swift</t>
        </is>
      </c>
      <c r="C1489" t="inlineStr">
        <is>
          <t>solid-12</t>
        </is>
      </c>
      <c r="D1489" t="n">
        <v>358</v>
      </c>
      <c r="E1489" t="inlineStr">
        <is>
          <t>AppLog.fail(error, message: "Failed to load local exchange rates.")</t>
        </is>
      </c>
    </row>
    <row r="1490">
      <c r="A1490" t="inlineStr">
        <is>
          <t>financialwell</t>
        </is>
      </c>
      <c r="B1490" t="inlineStr">
        <is>
          <t>/Users/manczg/Documents/development/financialwell/FinancialWell/Models/ModelCurrencies.swift</t>
        </is>
      </c>
      <c r="C1490" t="inlineStr">
        <is>
          <t>solid-12</t>
        </is>
      </c>
      <c r="D1490" t="n">
        <v>381</v>
      </c>
      <c r="E1490" t="inlineStr">
        <is>
          <t>AppLog.fail(error!, message: "Couldn't request JSON from the Internet: \(urlRequest.debugDescription)", skipAssert: true)</t>
        </is>
      </c>
    </row>
    <row r="1491">
      <c r="A1491" t="inlineStr">
        <is>
          <t>financialwell</t>
        </is>
      </c>
      <c r="B1491" t="inlineStr">
        <is>
          <t>/Users/manczg/Documents/development/financialwell/FinancialWell/Models/ModelCurrencies.swift</t>
        </is>
      </c>
      <c r="C1491" t="inlineStr">
        <is>
          <t>solid-12</t>
        </is>
      </c>
      <c r="D1491" t="n">
        <v>388</v>
      </c>
      <c r="E1491" t="inlineStr">
        <is>
          <t>AppLog.fail(message: "Error fetching currency data: HTTP error: \(httpResponse.statusCode)")</t>
        </is>
      </c>
    </row>
    <row r="1492">
      <c r="A1492" t="inlineStr">
        <is>
          <t>financialwell</t>
        </is>
      </c>
      <c r="B1492" t="inlineStr">
        <is>
          <t>/Users/manczg/Documents/development/financialwell/FinancialWell/Models/ModelCurrencies.swift</t>
        </is>
      </c>
      <c r="C1492" t="inlineStr">
        <is>
          <t>solid-12</t>
        </is>
      </c>
      <c r="D1492" t="n">
        <v>395</v>
      </c>
      <c r="E1492" t="inlineStr">
        <is>
          <t>AppLog.warning(message: "No currency data received")</t>
        </is>
      </c>
    </row>
    <row r="1493">
      <c r="A1493" t="inlineStr">
        <is>
          <t>financialwell</t>
        </is>
      </c>
      <c r="B1493" t="inlineStr">
        <is>
          <t>/Users/manczg/Documents/development/financialwell/FinancialWell/Models/ModelCurrencies.swift</t>
        </is>
      </c>
      <c r="C1493" t="inlineStr">
        <is>
          <t>solid-12</t>
        </is>
      </c>
      <c r="D1493" t="n">
        <v>403</v>
      </c>
      <c r="E1493" t="inlineStr">
        <is>
          <t>AppLog.warning(message: "Couldn't parse currency data from online")</t>
        </is>
      </c>
    </row>
    <row r="1494">
      <c r="A1494" t="inlineStr">
        <is>
          <t>financialwell</t>
        </is>
      </c>
      <c r="B1494" t="inlineStr">
        <is>
          <t>/Users/manczg/Documents/development/financialwell/FinancialWell/Models/ModelCurrencies.swift</t>
        </is>
      </c>
      <c r="C1494" t="inlineStr">
        <is>
          <t>solid-12</t>
        </is>
      </c>
      <c r="D1494" t="n">
        <v>412</v>
      </c>
      <c r="E1494" t="inlineStr">
        <is>
          <t>AppLog.fail(error, message: "Failed to write exchange rates file")</t>
        </is>
      </c>
    </row>
    <row r="1495">
      <c r="A1495" t="inlineStr">
        <is>
          <t>financialwell</t>
        </is>
      </c>
      <c r="B1495" t="inlineStr">
        <is>
          <t>/Users/manczg/Documents/development/financialwell/FinancialWell/Models/ModelCurrencies.swift</t>
        </is>
      </c>
      <c r="C1495" t="inlineStr">
        <is>
          <t>solid-12</t>
        </is>
      </c>
      <c r="D1495" t="n">
        <v>424</v>
      </c>
      <c r="E1495" t="inlineStr">
        <is>
          <t>AppLog.info(message: "Start waiting for currencies...")</t>
        </is>
      </c>
    </row>
    <row r="1496">
      <c r="A1496" t="inlineStr">
        <is>
          <t>financialwell</t>
        </is>
      </c>
      <c r="B1496" t="inlineStr">
        <is>
          <t>/Users/manczg/Documents/development/financialwell/FinancialWell/Models/ModelCurrencies.swift</t>
        </is>
      </c>
      <c r="C1496" t="inlineStr">
        <is>
          <t>solid-12</t>
        </is>
      </c>
      <c r="D1496" t="n">
        <v>426</v>
      </c>
      <c r="E1496" t="inlineStr">
        <is>
          <t>AppLog.info(message: "End waiting for currencies. Elapsed time: \(stopper.elapsedTime())")</t>
        </is>
      </c>
    </row>
    <row r="1497">
      <c r="A1497" t="inlineStr">
        <is>
          <t>financialwell</t>
        </is>
      </c>
      <c r="B1497" t="inlineStr">
        <is>
          <t>/Users/manczg/Documents/development/financialwell/FinancialWell/Models/ModelCurrencies.swift</t>
        </is>
      </c>
      <c r="C1497" t="inlineStr">
        <is>
          <t>solid-15</t>
        </is>
      </c>
      <c r="D1497" t="n">
        <v>86</v>
      </c>
      <c r="E1497" t="inlineStr">
        <is>
          <t>if currency.code == "EUR" {</t>
        </is>
      </c>
    </row>
    <row r="1498">
      <c r="A1498" t="inlineStr">
        <is>
          <t>financialwell</t>
        </is>
      </c>
      <c r="B1498" t="inlineStr">
        <is>
          <t>/Users/manczg/Documents/development/financialwell/FinancialWell/Models/ModelCurrencies.swift</t>
        </is>
      </c>
      <c r="C1498" t="inlineStr">
        <is>
          <t>solid-15</t>
        </is>
      </c>
      <c r="D1498" t="n">
        <v>88</v>
      </c>
      <c r="E1498" t="inlineStr">
        <is>
          <t>if toCurrency.code == "EUR" {</t>
        </is>
      </c>
    </row>
    <row r="1499">
      <c r="A1499" t="inlineStr">
        <is>
          <t>financialwell</t>
        </is>
      </c>
      <c r="B1499" t="inlineStr">
        <is>
          <t>/Users/manczg/Documents/development/financialwell/FinancialWell/Models/ModelCurrencies.swift</t>
        </is>
      </c>
      <c r="C1499" t="inlineStr">
        <is>
          <t>solid-15</t>
        </is>
      </c>
      <c r="D1499" t="n">
        <v>112</v>
      </c>
      <c r="E1499" t="inlineStr">
        <is>
          <t>if toCurrency.code == "EUR" {</t>
        </is>
      </c>
    </row>
    <row r="1500">
      <c r="A1500" t="inlineStr">
        <is>
          <t>financialwell</t>
        </is>
      </c>
      <c r="B1500" t="inlineStr">
        <is>
          <t>/Users/manczg/Documents/development/financialwell/FinancialWell/Models/ModelCurrencies.swift</t>
        </is>
      </c>
      <c r="C1500" t="inlineStr">
        <is>
          <t>solid-15</t>
        </is>
      </c>
      <c r="D1500" t="n">
        <v>136</v>
      </c>
      <c r="E1500" t="inlineStr">
        <is>
          <t>if toCurrency.code == "EUR" {</t>
        </is>
      </c>
    </row>
    <row r="1501">
      <c r="A1501" t="inlineStr">
        <is>
          <t>financialwell</t>
        </is>
      </c>
      <c r="B1501" t="inlineStr">
        <is>
          <t>/Users/manczg/Documents/development/financialwell/FinancialWell/Models/ModelCurrencies.swift</t>
        </is>
      </c>
      <c r="C1501" t="inlineStr">
        <is>
          <t>solid-15</t>
        </is>
      </c>
      <c r="D1501" t="n">
        <v>297</v>
      </c>
      <c r="E1501" t="inlineStr">
        <is>
          <t>if currency.code == "EUR" {</t>
        </is>
      </c>
    </row>
    <row r="1502">
      <c r="A1502" t="inlineStr">
        <is>
          <t>financialwell</t>
        </is>
      </c>
      <c r="B1502" t="inlineStr">
        <is>
          <t>/Users/manczg/Documents/development/financialwell/FinancialWell/Models/ModelCurrencies.swift</t>
        </is>
      </c>
      <c r="C1502" t="inlineStr">
        <is>
          <t>tests-01</t>
        </is>
      </c>
      <c r="D1502" t="n">
        <v>11</v>
      </c>
      <c r="E1502" t="inlineStr">
        <is>
          <t>class ModelCurrencies: NSObject {</t>
        </is>
      </c>
    </row>
    <row r="1503">
      <c r="A1503" t="inlineStr">
        <is>
          <t>financialwell</t>
        </is>
      </c>
      <c r="B1503" t="inlineStr">
        <is>
          <t>/Users/manczg/Documents/development/financialwell/FinancialWell/Models/TransactionModel.swift</t>
        </is>
      </c>
      <c r="C1503" t="inlineStr">
        <is>
          <t>arch-08</t>
        </is>
      </c>
      <c r="D1503" t="n">
        <v>15</v>
      </c>
      <c r="E1503" t="inlineStr">
        <is>
          <t>return ModelManager.shared.currencies.getBaseCurrency()</t>
        </is>
      </c>
    </row>
    <row r="1504">
      <c r="A1504" t="inlineStr">
        <is>
          <t>financialwell</t>
        </is>
      </c>
      <c r="B1504" t="inlineStr">
        <is>
          <t>/Users/manczg/Documents/development/financialwell/FinancialWell/Models/TransactionModel.swift</t>
        </is>
      </c>
      <c r="C1504" t="inlineStr">
        <is>
          <t>arch-08</t>
        </is>
      </c>
      <c r="D1504" t="n">
        <v>19</v>
      </c>
      <c r="E1504" t="inlineStr">
        <is>
          <t>return ModelManager.shared.currencies.getDefaultCurrency()</t>
        </is>
      </c>
    </row>
    <row r="1505">
      <c r="A1505" t="inlineStr">
        <is>
          <t>financialwell</t>
        </is>
      </c>
      <c r="B1505" t="inlineStr">
        <is>
          <t>/Users/manczg/Documents/development/financialwell/FinancialWell/Models/TransactionModel.swift</t>
        </is>
      </c>
      <c r="C1505" t="inlineStr">
        <is>
          <t>arch-08</t>
        </is>
      </c>
      <c r="D1505" t="n">
        <v>186</v>
      </c>
      <c r="E1505" t="inlineStr">
        <is>
          <t>let newCurrency = ModelManager.shared.currencies.getCurrency(from: code)</t>
        </is>
      </c>
    </row>
    <row r="1506">
      <c r="A1506" t="inlineStr">
        <is>
          <t>financialwell</t>
        </is>
      </c>
      <c r="B1506" t="inlineStr">
        <is>
          <t>/Users/manczg/Documents/development/financialwell/FinancialWell/Models/TransactionModel.swift</t>
        </is>
      </c>
      <c r="C1506" t="inlineStr">
        <is>
          <t>arch-08</t>
        </is>
      </c>
      <c r="D1506" t="n">
        <v>198</v>
      </c>
      <c r="E1506" t="inlineStr">
        <is>
          <t>guard !ModelManager.shared.currencies.isBase(currency: currency) else {</t>
        </is>
      </c>
    </row>
    <row r="1507">
      <c r="A1507" t="inlineStr">
        <is>
          <t>financialwell</t>
        </is>
      </c>
      <c r="B1507" t="inlineStr">
        <is>
          <t>/Users/manczg/Documents/development/financialwell/FinancialWell/Models/TransactionModel.swift</t>
        </is>
      </c>
      <c r="C1507" t="inlineStr">
        <is>
          <t>arch-08</t>
        </is>
      </c>
      <c r="D1507" t="n">
        <v>200</v>
      </c>
      <c r="E1507" t="inlineStr">
        <is>
          <t>AppLog.assertion(!ModelManager.shared.currencies.isBase(currency: currency))</t>
        </is>
      </c>
    </row>
    <row r="1508">
      <c r="A1508" t="inlineStr">
        <is>
          <t>financialwell</t>
        </is>
      </c>
      <c r="B1508" t="inlineStr">
        <is>
          <t>/Users/manczg/Documents/development/financialwell/FinancialWell/Models/TransactionModel.swift</t>
        </is>
      </c>
      <c r="C1508" t="inlineStr">
        <is>
          <t>arch-08</t>
        </is>
      </c>
      <c r="D1508" t="n">
        <v>264</v>
      </c>
      <c r="E1508" t="inlineStr">
        <is>
          <t>let location = ModelManager.shared.locationService.location</t>
        </is>
      </c>
    </row>
    <row r="1509">
      <c r="A1509" t="inlineStr">
        <is>
          <t>financialwell</t>
        </is>
      </c>
      <c r="B1509" t="inlineStr">
        <is>
          <t>/Users/manczg/Documents/development/financialwell/FinancialWell/Models/TransactionModel.swift</t>
        </is>
      </c>
      <c r="C1509" t="inlineStr">
        <is>
          <t>arch-08</t>
        </is>
      </c>
      <c r="D1509" t="n">
        <v>310</v>
      </c>
      <c r="E1509" t="inlineStr">
        <is>
          <t>let formatter = ModelManager.shared.currencies.baseNumberFormatter.copy() as! NumberFormatter</t>
        </is>
      </c>
    </row>
    <row r="1510">
      <c r="A1510" t="inlineStr">
        <is>
          <t>financialwell</t>
        </is>
      </c>
      <c r="B1510" t="inlineStr">
        <is>
          <t>/Users/manczg/Documents/development/financialwell/FinancialWell/Models/TransactionModel.swift</t>
        </is>
      </c>
      <c r="C1510" t="inlineStr">
        <is>
          <t>arch-08</t>
        </is>
      </c>
      <c r="D1510" t="n">
        <v>371</v>
      </c>
      <c r="E1510" t="inlineStr">
        <is>
          <t>self.tags = ModelManager.shared.tags.filter(tags: tags, for: dbValue.id, with: category)</t>
        </is>
      </c>
    </row>
    <row r="1511">
      <c r="A1511" t="inlineStr">
        <is>
          <t>financialwell</t>
        </is>
      </c>
      <c r="B1511" t="inlineStr">
        <is>
          <t>/Users/manczg/Documents/development/financialwell/FinancialWell/Models/TransactionModel.swift</t>
        </is>
      </c>
      <c r="C1511" t="inlineStr">
        <is>
          <t>arch-08</t>
        </is>
      </c>
      <c r="D1511" t="n">
        <v>375</v>
      </c>
      <c r="E1511" t="inlineStr">
        <is>
          <t>self.tags = ModelManager.shared.tags.filter(tags: tags, for: dbValue.id, with: category)</t>
        </is>
      </c>
    </row>
    <row r="1512">
      <c r="A1512" t="inlineStr">
        <is>
          <t>financialwell</t>
        </is>
      </c>
      <c r="B1512" t="inlineStr">
        <is>
          <t>/Users/manczg/Documents/development/financialwell/FinancialWell/Models/TransactionModel.swift</t>
        </is>
      </c>
      <c r="C1512" t="inlineStr">
        <is>
          <t>arch-08</t>
        </is>
      </c>
      <c r="D1512" t="n">
        <v>433</v>
      </c>
      <c r="E1512" t="inlineStr">
        <is>
          <t>guard let currency = ModelManager.shared.currencies.getCurrency(from: transaction.currency) else {</t>
        </is>
      </c>
    </row>
    <row r="1513">
      <c r="A1513" t="inlineStr">
        <is>
          <t>financialwell</t>
        </is>
      </c>
      <c r="B1513" t="inlineStr">
        <is>
          <t>/Users/manczg/Documents/development/financialwell/FinancialWell/Models/TransactionModel.swift</t>
        </is>
      </c>
      <c r="C1513" t="inlineStr">
        <is>
          <t>arch-08</t>
        </is>
      </c>
      <c r="D1513" t="n">
        <v>437</v>
      </c>
      <c r="E1513" t="inlineStr">
        <is>
          <t>guard let account = ModelManager.shared.accounts.get(by: transaction.accountId) else {</t>
        </is>
      </c>
    </row>
    <row r="1514">
      <c r="A1514" t="inlineStr">
        <is>
          <t>financialwell</t>
        </is>
      </c>
      <c r="B1514" t="inlineStr">
        <is>
          <t>/Users/manczg/Documents/development/financialwell/FinancialWell/Models/TransactionModel.swift</t>
        </is>
      </c>
      <c r="C1514" t="inlineStr">
        <is>
          <t>arch-08</t>
        </is>
      </c>
      <c r="D1514" t="n">
        <v>441</v>
      </c>
      <c r="E1514" t="inlineStr">
        <is>
          <t>guard let category = ModelManager.shared.categories.get(by: transaction.categoryId) else {</t>
        </is>
      </c>
    </row>
    <row r="1515">
      <c r="A1515" t="inlineStr">
        <is>
          <t>financialwell</t>
        </is>
      </c>
      <c r="B1515" t="inlineStr">
        <is>
          <t>/Users/manczg/Documents/development/financialwell/FinancialWell/Models/TransactionModel.swift</t>
        </is>
      </c>
      <c r="C1515" t="inlineStr">
        <is>
          <t>arch-08</t>
        </is>
      </c>
      <c r="D1515" t="n">
        <v>447</v>
      </c>
      <c r="E1515" t="inlineStr">
        <is>
          <t>if !ModelManager.shared.currencies.isBase(currency: self.currency) {</t>
        </is>
      </c>
    </row>
    <row r="1516">
      <c r="A1516" t="inlineStr">
        <is>
          <t>financialwell</t>
        </is>
      </c>
      <c r="B1516" t="inlineStr">
        <is>
          <t>/Users/manczg/Documents/development/financialwell/FinancialWell/Models/TransactionModel.swift</t>
        </is>
      </c>
      <c r="C1516" t="inlineStr">
        <is>
          <t>arch-08</t>
        </is>
      </c>
      <c r="D1516" t="n">
        <v>453</v>
      </c>
      <c r="E1516" t="inlineStr">
        <is>
          <t>let priceInDevisa = ModelManager.shared.currencies.exchange(from: currency, value: dbValue.priceInBase.doubleValue, toCurrency: ModelManager.shared.currencies.getBaseCurrency(), exchangePrice: &amp;exchangePrice)</t>
        </is>
      </c>
    </row>
    <row r="1517">
      <c r="A1517" t="inlineStr">
        <is>
          <t>financialwell</t>
        </is>
      </c>
      <c r="B1517" t="inlineStr">
        <is>
          <t>/Users/manczg/Documents/development/financialwell/FinancialWell/Models/TransactionModel.swift</t>
        </is>
      </c>
      <c r="C1517" t="inlineStr">
        <is>
          <t>arch-08</t>
        </is>
      </c>
      <c r="D1517" t="n">
        <v>460</v>
      </c>
      <c r="E1517" t="inlineStr">
        <is>
          <t>let priceInBase = ModelManager.shared.currencies.exchange(from: currency, value: dbValue.priceInDevisa!.doubleValue, toCurrency: ModelManager.shared.currencies.getBaseCurrency(), exchangePrice: &amp;exchangePrice)</t>
        </is>
      </c>
    </row>
    <row r="1518">
      <c r="A1518" t="inlineStr">
        <is>
          <t>financialwell</t>
        </is>
      </c>
      <c r="B1518" t="inlineStr">
        <is>
          <t>/Users/manczg/Documents/development/financialwell/FinancialWell/Models/TransactionModel.swift</t>
        </is>
      </c>
      <c r="C1518" t="inlineStr">
        <is>
          <t>arch-08</t>
        </is>
      </c>
      <c r="D1518" t="n">
        <v>470</v>
      </c>
      <c r="E1518" t="inlineStr">
        <is>
          <t>if let place = ModelManager.shared.places.getPlace(by: dbValue.placeId) {</t>
        </is>
      </c>
    </row>
    <row r="1519">
      <c r="A1519" t="inlineStr">
        <is>
          <t>financialwell</t>
        </is>
      </c>
      <c r="B1519" t="inlineStr">
        <is>
          <t>/Users/manczg/Documents/development/financialwell/FinancialWell/Models/TransactionModel.swift</t>
        </is>
      </c>
      <c r="C1519" t="inlineStr">
        <is>
          <t>arch-08</t>
        </is>
      </c>
      <c r="D1519" t="n">
        <v>476</v>
      </c>
      <c r="E1519" t="inlineStr">
        <is>
          <t>self.tags = ModelManager.shared.tags.filter(byTransactionId: dbValue.id)</t>
        </is>
      </c>
    </row>
    <row r="1520">
      <c r="A1520" t="inlineStr">
        <is>
          <t>financialwell</t>
        </is>
      </c>
      <c r="B1520" t="inlineStr">
        <is>
          <t>/Users/manczg/Documents/development/financialwell/FinancialWell/Models/TransactionModel.swift</t>
        </is>
      </c>
      <c r="C1520" t="inlineStr">
        <is>
          <t>clarity-09</t>
        </is>
      </c>
      <c r="D1520" t="n">
        <v>273</v>
      </c>
      <c r="E1520" t="inlineStr">
        <is>
          <t>AppLog.assertion((dbValue.useDevisa &amp;&amp; dbValue.priceInDevisa != nil &amp;&amp; dbValue.exchangePrice != nil) || (!dbValue.useDevisa &amp;&amp; dbValue.priceInDevisa == nil &amp;&amp; dbValue.exchangePrice == nil))</t>
        </is>
      </c>
    </row>
    <row r="1521">
      <c r="A1521" t="inlineStr">
        <is>
          <t>financialwell</t>
        </is>
      </c>
      <c r="B1521" t="inlineStr">
        <is>
          <t>/Users/manczg/Documents/development/financialwell/FinancialWell/Models/TransactionModel.swift</t>
        </is>
      </c>
      <c r="C1521" t="inlineStr">
        <is>
          <t>clarity-09</t>
        </is>
      </c>
      <c r="D1521" t="n">
        <v>278</v>
      </c>
      <c r="E1521" t="inlineStr">
        <is>
          <t>if !((dbValue.priceInBase &lt; 0 &amp;&amp; dbValue.isExpense) || (dbValue.priceInBase &gt; 0 &amp;&amp; !dbValue.isExpense) || dbValue.priceInBase == 0) {</t>
        </is>
      </c>
    </row>
    <row r="1522">
      <c r="A1522" t="inlineStr">
        <is>
          <t>financialwell</t>
        </is>
      </c>
      <c r="B1522" t="inlineStr">
        <is>
          <t>/Users/manczg/Documents/development/financialwell/FinancialWell/Models/TransactionModel.swift</t>
        </is>
      </c>
      <c r="C1522" t="inlineStr">
        <is>
          <t>clarity-09</t>
        </is>
      </c>
      <c r="D1522" t="n">
        <v>520</v>
      </c>
      <c r="E1522" t="inlineStr">
        <is>
          <t>guard !account.isValid() &amp;&amp; !category.isValid() &amp;&amp; tags.isEmpty &amp;&amp; !recurrency.isValid() else {</t>
        </is>
      </c>
    </row>
    <row r="1523">
      <c r="A1523" t="inlineStr">
        <is>
          <t>financialwell</t>
        </is>
      </c>
      <c r="B1523" t="inlineStr">
        <is>
          <t>/Users/manczg/Documents/development/financialwell/FinancialWell/Models/TransactionModel.swift</t>
        </is>
      </c>
      <c r="C1523" t="inlineStr">
        <is>
          <t>clarity-16</t>
        </is>
      </c>
      <c r="D1523" t="n">
        <v>120</v>
      </c>
      <c r="E1523" t="inlineStr">
        <is>
          <t>func getRecurrencyInText() -&gt; String {</t>
        </is>
      </c>
    </row>
    <row r="1524">
      <c r="A1524" t="inlineStr">
        <is>
          <t>financialwell</t>
        </is>
      </c>
      <c r="B1524" t="inlineStr">
        <is>
          <t>/Users/manczg/Documents/development/financialwell/FinancialWell/Models/TransactionModel.swift</t>
        </is>
      </c>
      <c r="C1524" t="inlineStr">
        <is>
          <t>clarity-16</t>
        </is>
      </c>
      <c r="D1524" t="n">
        <v>146</v>
      </c>
      <c r="E1524" t="inlineStr">
        <is>
          <t>func getRecurrencyFrequencyText() -&gt; String {</t>
        </is>
      </c>
    </row>
    <row r="1525">
      <c r="A1525" t="inlineStr">
        <is>
          <t>financialwell</t>
        </is>
      </c>
      <c r="B1525" t="inlineStr">
        <is>
          <t>/Users/manczg/Documents/development/financialwell/FinancialWell/Models/TransactionModel.swift</t>
        </is>
      </c>
      <c r="C1525" t="inlineStr">
        <is>
          <t>clarity-16</t>
        </is>
      </c>
      <c r="D1525" t="n">
        <v>432</v>
      </c>
      <c r="E1525" t="inlineStr">
        <is>
          <t>func set(transaction: Transaction, tags: [Transaction_Tag]? = nil) {</t>
        </is>
      </c>
    </row>
    <row r="1526">
      <c r="A1526" t="inlineStr">
        <is>
          <t>financialwell</t>
        </is>
      </c>
      <c r="B1526" t="inlineStr">
        <is>
          <t>/Users/manczg/Documents/development/financialwell/FinancialWell/Models/TransactionModel.swift</t>
        </is>
      </c>
      <c r="C1526" t="inlineStr">
        <is>
          <t>safety-02</t>
        </is>
      </c>
      <c r="D1526" t="n">
        <v>208</v>
      </c>
      <c r="E1526" t="inlineStr">
        <is>
          <t>updatePrice(from: dbValue.priceInDevisa!, currency: currency, exchangePrice: Decimal(doubleValue))</t>
        </is>
      </c>
    </row>
    <row r="1527">
      <c r="A1527" t="inlineStr">
        <is>
          <t>financialwell</t>
        </is>
      </c>
      <c r="B1527" t="inlineStr">
        <is>
          <t>/Users/manczg/Documents/development/financialwell/FinancialWell/Models/TransactionModel.swift</t>
        </is>
      </c>
      <c r="C1527" t="inlineStr">
        <is>
          <t>safety-02</t>
        </is>
      </c>
      <c r="D1527" t="n">
        <v>240</v>
      </c>
      <c r="E1527" t="inlineStr">
        <is>
          <t>updatePrice(from: decValue!, currency: currency, setIsExpense: setIsExpense)</t>
        </is>
      </c>
    </row>
    <row r="1528">
      <c r="A1528" t="inlineStr">
        <is>
          <t>financialwell</t>
        </is>
      </c>
      <c r="B1528" t="inlineStr">
        <is>
          <t>/Users/manczg/Documents/development/financialwell/FinancialWell/Models/TransactionModel.swift</t>
        </is>
      </c>
      <c r="C1528" t="inlineStr">
        <is>
          <t>safety-02</t>
        </is>
      </c>
      <c r="D1528" t="n">
        <v>310</v>
      </c>
      <c r="E1528" t="inlineStr">
        <is>
          <t>let formatter = ModelManager.shared.currencies.baseNumberFormatter.copy() as! NumberFormatter</t>
        </is>
      </c>
    </row>
    <row r="1529">
      <c r="A1529" t="inlineStr">
        <is>
          <t>financialwell</t>
        </is>
      </c>
      <c r="B1529" t="inlineStr">
        <is>
          <t>/Users/manczg/Documents/development/financialwell/FinancialWell/Models/TransactionModel.swift</t>
        </is>
      </c>
      <c r="C1529" t="inlineStr">
        <is>
          <t>safety-02</t>
        </is>
      </c>
      <c r="D1529" t="n">
        <v>312</v>
      </c>
      <c r="E1529" t="inlineStr">
        <is>
          <t>formatter.maximumFractionDigits = numberOfDigits!</t>
        </is>
      </c>
    </row>
    <row r="1530">
      <c r="A1530" t="inlineStr">
        <is>
          <t>financialwell</t>
        </is>
      </c>
      <c r="B1530" t="inlineStr">
        <is>
          <t>/Users/manczg/Documents/development/financialwell/FinancialWell/Models/TransactionModel.swift</t>
        </is>
      </c>
      <c r="C1530" t="inlineStr">
        <is>
          <t>safety-02</t>
        </is>
      </c>
      <c r="D1530" t="n">
        <v>314</v>
      </c>
      <c r="E1530" t="inlineStr">
        <is>
          <t>return formatter.string(from: price as NSDecimalNumber)!</t>
        </is>
      </c>
    </row>
    <row r="1531">
      <c r="A1531" t="inlineStr">
        <is>
          <t>financialwell</t>
        </is>
      </c>
      <c r="B1531" t="inlineStr">
        <is>
          <t>/Users/manczg/Documents/development/financialwell/FinancialWell/Models/TransactionModel.swift</t>
        </is>
      </c>
      <c r="C1531" t="inlineStr">
        <is>
          <t>safety-02</t>
        </is>
      </c>
      <c r="D1531" t="n">
        <v>322</v>
      </c>
      <c r="E1531" t="inlineStr">
        <is>
          <t>return result!</t>
        </is>
      </c>
    </row>
    <row r="1532">
      <c r="A1532" t="inlineStr">
        <is>
          <t>financialwell</t>
        </is>
      </c>
      <c r="B1532" t="inlineStr">
        <is>
          <t>/Users/manczg/Documents/development/financialwell/FinancialWell/Models/TransactionModel.swift</t>
        </is>
      </c>
      <c r="C1532" t="inlineStr">
        <is>
          <t>safety-02</t>
        </is>
      </c>
      <c r="D1532" t="n">
        <v>332</v>
      </c>
      <c r="E1532" t="inlineStr">
        <is>
          <t>let result = priceInText(price: dbValue.priceInDevisa!, numberOfDigits)</t>
        </is>
      </c>
    </row>
    <row r="1533">
      <c r="A1533" t="inlineStr">
        <is>
          <t>financialwell</t>
        </is>
      </c>
      <c r="B1533" t="inlineStr">
        <is>
          <t>/Users/manczg/Documents/development/financialwell/FinancialWell/Models/TransactionModel.swift</t>
        </is>
      </c>
      <c r="C1533" t="inlineStr">
        <is>
          <t>safety-02</t>
        </is>
      </c>
      <c r="D1533" t="n">
        <v>336</v>
      </c>
      <c r="E1533" t="inlineStr">
        <is>
          <t>return result!</t>
        </is>
      </c>
    </row>
    <row r="1534">
      <c r="A1534" t="inlineStr">
        <is>
          <t>financialwell</t>
        </is>
      </c>
      <c r="B1534" t="inlineStr">
        <is>
          <t>/Users/manczg/Documents/development/financialwell/FinancialWell/Models/TransactionModel.swift</t>
        </is>
      </c>
      <c r="C1534" t="inlineStr">
        <is>
          <t>safety-02</t>
        </is>
      </c>
      <c r="D1534" t="n">
        <v>397</v>
      </c>
      <c r="E1534" t="inlineStr">
        <is>
          <t>let tmp = Transaction_Tag(name: tag.name, category: tag.category!, transactionId: tag.transactionId)</t>
        </is>
      </c>
    </row>
    <row r="1535">
      <c r="A1535" t="inlineStr">
        <is>
          <t>financialwell</t>
        </is>
      </c>
      <c r="B1535" t="inlineStr">
        <is>
          <t>/Users/manczg/Documents/development/financialwell/FinancialWell/Models/TransactionModel.swift</t>
        </is>
      </c>
      <c r="C1535" t="inlineStr">
        <is>
          <t>safety-02</t>
        </is>
      </c>
      <c r="D1535" t="n">
        <v>445</v>
      </c>
      <c r="E1535" t="inlineStr">
        <is>
          <t>self.currency = currency.copy() // set currency before dbvalue to prevent exchange price overwrite!</t>
        </is>
      </c>
    </row>
    <row r="1536">
      <c r="A1536" t="inlineStr">
        <is>
          <t>financialwell</t>
        </is>
      </c>
      <c r="B1536" t="inlineStr">
        <is>
          <t>/Users/manczg/Documents/development/financialwell/FinancialWell/Models/TransactionModel.swift</t>
        </is>
      </c>
      <c r="C1536" t="inlineStr">
        <is>
          <t>safety-02</t>
        </is>
      </c>
      <c r="D1536" t="n">
        <v>461</v>
      </c>
      <c r="E1536" t="inlineStr">
        <is>
          <t>AppLog.warning(priceInBase != nil &amp;&amp; priceInBase!.equal(dbValue.priceInBase.doubleValue, precise: 4), "Devisa exchange check: Wrong base or devisa price saved! tID:\(dbValue.id ?? -1)")</t>
        </is>
      </c>
    </row>
    <row r="1537">
      <c r="A1537" t="inlineStr">
        <is>
          <t>financialwell</t>
        </is>
      </c>
      <c r="B1537" t="inlineStr">
        <is>
          <t>/Users/manczg/Documents/development/financialwell/FinancialWell/Models/TransactionModel.swift</t>
        </is>
      </c>
      <c r="C1537" t="inlineStr">
        <is>
          <t>safety-02</t>
        </is>
      </c>
      <c r="D1537" t="n">
        <v>478</v>
      </c>
      <c r="E1537" t="inlineStr">
        <is>
          <t>self.tags = tags!</t>
        </is>
      </c>
    </row>
    <row r="1538">
      <c r="A1538" t="inlineStr">
        <is>
          <t>financialwell</t>
        </is>
      </c>
      <c r="B1538" t="inlineStr">
        <is>
          <t>/Users/manczg/Documents/development/financialwell/FinancialWell/Models/TransactionModel.swift</t>
        </is>
      </c>
      <c r="C1538" t="inlineStr">
        <is>
          <t>safety-02</t>
        </is>
      </c>
      <c r="D1538" t="n">
        <v>504</v>
      </c>
      <c r="E1538" t="inlineStr">
        <is>
          <t>if isExpense() &amp;&amp; dbValue.priceInDevisa! &gt; 0 {</t>
        </is>
      </c>
    </row>
    <row r="1539">
      <c r="A1539" t="inlineStr">
        <is>
          <t>financialwell</t>
        </is>
      </c>
      <c r="B1539" t="inlineStr">
        <is>
          <t>/Users/manczg/Documents/development/financialwell/FinancialWell/Models/TransactionModel.swift</t>
        </is>
      </c>
      <c r="C1539" t="inlineStr">
        <is>
          <t>safety-02</t>
        </is>
      </c>
      <c r="D1539" t="n">
        <v>505</v>
      </c>
      <c r="E1539" t="inlineStr">
        <is>
          <t>dbValue.priceInDevisa = dbValue.priceInDevisa! * -1</t>
        </is>
      </c>
    </row>
    <row r="1540">
      <c r="A1540" t="inlineStr">
        <is>
          <t>financialwell</t>
        </is>
      </c>
      <c r="B1540" t="inlineStr">
        <is>
          <t>/Users/manczg/Documents/development/financialwell/FinancialWell/Models/TransactionModel.swift</t>
        </is>
      </c>
      <c r="C1540" t="inlineStr">
        <is>
          <t>safety-02</t>
        </is>
      </c>
      <c r="D1540" t="n">
        <v>507</v>
      </c>
      <c r="E1540" t="inlineStr">
        <is>
          <t>if !isExpense() &amp;&amp; dbValue.priceInDevisa! &lt; 0 {</t>
        </is>
      </c>
    </row>
    <row r="1541">
      <c r="A1541" t="inlineStr">
        <is>
          <t>financialwell</t>
        </is>
      </c>
      <c r="B1541" t="inlineStr">
        <is>
          <t>/Users/manczg/Documents/development/financialwell/FinancialWell/Models/TransactionModel.swift</t>
        </is>
      </c>
      <c r="C1541" t="inlineStr">
        <is>
          <t>safety-11</t>
        </is>
      </c>
      <c r="D1541" t="n">
        <v>247</v>
      </c>
      <c r="E1541" t="inlineStr">
        <is>
          <t>dbValue.updateDatetime = Date()</t>
        </is>
      </c>
    </row>
    <row r="1542">
      <c r="A1542" t="inlineStr">
        <is>
          <t>financialwell</t>
        </is>
      </c>
      <c r="B1542" t="inlineStr">
        <is>
          <t>/Users/manczg/Documents/development/financialwell/FinancialWell/Models/TransactionModel.swift</t>
        </is>
      </c>
      <c r="C1542" t="inlineStr">
        <is>
          <t>safety-11</t>
        </is>
      </c>
      <c r="D1542" t="n">
        <v>252</v>
      </c>
      <c r="E1542" t="inlineStr">
        <is>
          <t>dbValue.updateDatetime = Date()</t>
        </is>
      </c>
    </row>
    <row r="1543">
      <c r="A1543" t="inlineStr">
        <is>
          <t>financialwell</t>
        </is>
      </c>
      <c r="B1543" t="inlineStr">
        <is>
          <t>/Users/manczg/Documents/development/financialwell/FinancialWell/Models/TransactionModel.swift</t>
        </is>
      </c>
      <c r="C1543" t="inlineStr">
        <is>
          <t>safety-11</t>
        </is>
      </c>
      <c r="D1543" t="n">
        <v>344</v>
      </c>
      <c r="E1543" t="inlineStr">
        <is>
          <t>dbValue.datetime = Date()</t>
        </is>
      </c>
    </row>
    <row r="1544">
      <c r="A1544" t="inlineStr">
        <is>
          <t>financialwell</t>
        </is>
      </c>
      <c r="B1544" t="inlineStr">
        <is>
          <t>/Users/manczg/Documents/development/financialwell/FinancialWell/Models/TransactionModel.swift</t>
        </is>
      </c>
      <c r="C1544" t="inlineStr">
        <is>
          <t>safety-16</t>
        </is>
      </c>
      <c r="D1544" t="n">
        <v>193</v>
      </c>
      <c r="E1544" t="inlineStr">
        <is>
          <t>func updateExchangePrice(doubleValue: Double) {</t>
        </is>
      </c>
    </row>
    <row r="1545">
      <c r="A1545" t="inlineStr">
        <is>
          <t>financialwell</t>
        </is>
      </c>
      <c r="B1545" t="inlineStr">
        <is>
          <t>/Users/manczg/Documents/development/financialwell/FinancialWell/Models/TransactionModel.swift</t>
        </is>
      </c>
      <c r="C1545" t="inlineStr">
        <is>
          <t>safety-16</t>
        </is>
      </c>
      <c r="D1545" t="n">
        <v>452</v>
      </c>
      <c r="E1545" t="inlineStr">
        <is>
          <t>var exchangePrice: Double? = 0.0</t>
        </is>
      </c>
    </row>
    <row r="1546">
      <c r="A1546" t="inlineStr">
        <is>
          <t>financialwell</t>
        </is>
      </c>
      <c r="B1546" t="inlineStr">
        <is>
          <t>/Users/manczg/Documents/development/financialwell/FinancialWell/Models/TransactionModel.swift</t>
        </is>
      </c>
      <c r="C1546" t="inlineStr">
        <is>
          <t>safety-16</t>
        </is>
      </c>
      <c r="D1546" t="n">
        <v>459</v>
      </c>
      <c r="E1546" t="inlineStr">
        <is>
          <t>var exchangePrice: Double? = dbValue.exchangePrice?.doubleValue ?? nil</t>
        </is>
      </c>
    </row>
    <row r="1547">
      <c r="A1547" t="inlineStr">
        <is>
          <t>financialwell</t>
        </is>
      </c>
      <c r="B1547" t="inlineStr">
        <is>
          <t>/Users/manczg/Documents/development/financialwell/FinancialWell/Models/TransactionModel.swift</t>
        </is>
      </c>
      <c r="C1547" t="inlineStr">
        <is>
          <t>smells-02</t>
        </is>
      </c>
      <c r="D1547" t="n">
        <v>211</v>
      </c>
      <c r="E1547" t="inlineStr">
        <is>
          <t>func updatePrice(from decimalValue: Decimal, currency: Currency? = nil, exchangePrice: Decimal? = nil, setIsExpense: Bool? = nil) {</t>
        </is>
      </c>
    </row>
    <row r="1548">
      <c r="A1548" t="inlineStr">
        <is>
          <t>financialwell</t>
        </is>
      </c>
      <c r="B1548" t="inlineStr">
        <is>
          <t>/Users/manczg/Documents/development/financialwell/FinancialWell/Models/TransactionModel.swift</t>
        </is>
      </c>
      <c r="C1548" t="inlineStr">
        <is>
          <t>smells-03</t>
        </is>
      </c>
      <c r="D1548" t="n">
        <v>211</v>
      </c>
      <c r="E1548" t="inlineStr">
        <is>
          <t>func updatePrice(from decimalValue: Decimal, currency: Currency? = nil, exchangePrice: Decimal? = nil, setIsExpense: Bool? = nil) {</t>
        </is>
      </c>
    </row>
    <row r="1549">
      <c r="A1549" t="inlineStr">
        <is>
          <t>financialwell</t>
        </is>
      </c>
      <c r="B1549" t="inlineStr">
        <is>
          <t>/Users/manczg/Documents/development/financialwell/FinancialWell/Models/TransactionModel.swift</t>
        </is>
      </c>
      <c r="C1549" t="inlineStr">
        <is>
          <t>smells-03</t>
        </is>
      </c>
      <c r="D1549" t="n">
        <v>231</v>
      </c>
      <c r="E1549" t="inlineStr">
        <is>
          <t>func updatePrice(from stringValue: String, currency: Currency? = nil, setIsExpense: Bool? = nil) {</t>
        </is>
      </c>
    </row>
    <row r="1550">
      <c r="A1550" t="inlineStr">
        <is>
          <t>financialwell</t>
        </is>
      </c>
      <c r="B1550" t="inlineStr">
        <is>
          <t>/Users/manczg/Documents/development/financialwell/FinancialWell/Models/TransactionModel.swift</t>
        </is>
      </c>
      <c r="C1550" t="inlineStr">
        <is>
          <t>smells-08</t>
        </is>
      </c>
      <c r="D1550" t="n">
        <v>211</v>
      </c>
      <c r="E1550" t="inlineStr">
        <is>
          <t>func updatePrice(from decimalValue: Decimal, currency: Currency? = nil, exchangePrice: Decimal? = nil, setIsExpense: Bool? = nil) {</t>
        </is>
      </c>
    </row>
    <row r="1551">
      <c r="A1551" t="inlineStr">
        <is>
          <t>financialwell</t>
        </is>
      </c>
      <c r="B1551" t="inlineStr">
        <is>
          <t>/Users/manczg/Documents/development/financialwell/FinancialWell/Models/TransactionModel.swift</t>
        </is>
      </c>
      <c r="C1551" t="inlineStr">
        <is>
          <t>smells-08</t>
        </is>
      </c>
      <c r="D1551" t="n">
        <v>231</v>
      </c>
      <c r="E1551" t="inlineStr">
        <is>
          <t>func updatePrice(from stringValue: String, currency: Currency? = nil, setIsExpense: Bool? = nil) {</t>
        </is>
      </c>
    </row>
    <row r="1552">
      <c r="A1552" t="inlineStr">
        <is>
          <t>financialwell</t>
        </is>
      </c>
      <c r="B1552" t="inlineStr">
        <is>
          <t>/Users/manczg/Documents/development/financialwell/FinancialWell/Models/TransactionModel.swift</t>
        </is>
      </c>
      <c r="C1552" t="inlineStr">
        <is>
          <t>smells-08</t>
        </is>
      </c>
      <c r="D1552" t="n">
        <v>317</v>
      </c>
      <c r="E1552" t="inlineStr">
        <is>
          <t>func basePriceInText(_ numberOfDigits: Int? = nil) -&gt; String {</t>
        </is>
      </c>
    </row>
    <row r="1553">
      <c r="A1553" t="inlineStr">
        <is>
          <t>financialwell</t>
        </is>
      </c>
      <c r="B1553" t="inlineStr">
        <is>
          <t>/Users/manczg/Documents/development/financialwell/FinancialWell/Models/TransactionModel.swift</t>
        </is>
      </c>
      <c r="C1553" t="inlineStr">
        <is>
          <t>smells-08</t>
        </is>
      </c>
      <c r="D1553" t="n">
        <v>325</v>
      </c>
      <c r="E1553" t="inlineStr">
        <is>
          <t>func devisaPriceInText(_ numberOfDigits: Int? = nil) -&gt; String? {</t>
        </is>
      </c>
    </row>
    <row r="1554">
      <c r="A1554" t="inlineStr">
        <is>
          <t>financialwell</t>
        </is>
      </c>
      <c r="B1554" t="inlineStr">
        <is>
          <t>/Users/manczg/Documents/development/financialwell/FinancialWell/Models/TransactionModel.swift</t>
        </is>
      </c>
      <c r="C1554" t="inlineStr">
        <is>
          <t>smells-08</t>
        </is>
      </c>
      <c r="D1554" t="n">
        <v>327</v>
      </c>
      <c r="E1554" t="inlineStr">
        <is>
          <t>return nil</t>
        </is>
      </c>
    </row>
    <row r="1555">
      <c r="A1555" t="inlineStr">
        <is>
          <t>financialwell</t>
        </is>
      </c>
      <c r="B1555" t="inlineStr">
        <is>
          <t>/Users/manczg/Documents/development/financialwell/FinancialWell/Models/TransactionModel.swift</t>
        </is>
      </c>
      <c r="C1555" t="inlineStr">
        <is>
          <t>smells-08</t>
        </is>
      </c>
      <c r="D1555" t="n">
        <v>330</v>
      </c>
      <c r="E1555" t="inlineStr">
        <is>
          <t>return nil</t>
        </is>
      </c>
    </row>
    <row r="1556">
      <c r="A1556" t="inlineStr">
        <is>
          <t>financialwell</t>
        </is>
      </c>
      <c r="B1556" t="inlineStr">
        <is>
          <t>/Users/manczg/Documents/development/financialwell/FinancialWell/Models/TransactionModel.swift</t>
        </is>
      </c>
      <c r="C1556" t="inlineStr">
        <is>
          <t>smells-08</t>
        </is>
      </c>
      <c r="D1556" t="n">
        <v>384</v>
      </c>
      <c r="E1556" t="inlineStr">
        <is>
          <t>init(from transaction: Transaction, tags: [Transaction_Tag]? = nil) {</t>
        </is>
      </c>
    </row>
    <row r="1557">
      <c r="A1557" t="inlineStr">
        <is>
          <t>financialwell</t>
        </is>
      </c>
      <c r="B1557" t="inlineStr">
        <is>
          <t>/Users/manczg/Documents/development/financialwell/FinancialWell/Models/TransactionModel.swift</t>
        </is>
      </c>
      <c r="C1557" t="inlineStr">
        <is>
          <t>smells-08</t>
        </is>
      </c>
      <c r="D1557" t="n">
        <v>432</v>
      </c>
      <c r="E1557" t="inlineStr">
        <is>
          <t>func set(transaction: Transaction, tags: [Transaction_Tag]? = nil) {</t>
        </is>
      </c>
    </row>
    <row r="1558">
      <c r="A1558" t="inlineStr">
        <is>
          <t>financialwell</t>
        </is>
      </c>
      <c r="B1558" t="inlineStr">
        <is>
          <t>/Users/manczg/Documents/development/financialwell/FinancialWell/Models/TransactionModel.swift</t>
        </is>
      </c>
      <c r="C1558" t="inlineStr">
        <is>
          <t>smells-10</t>
        </is>
      </c>
      <c r="D1558" t="n">
        <v>15</v>
      </c>
      <c r="E1558" t="inlineStr">
        <is>
          <t>return ModelManager.shared.currencies.getBaseCurrency()</t>
        </is>
      </c>
    </row>
    <row r="1559">
      <c r="A1559" t="inlineStr">
        <is>
          <t>financialwell</t>
        </is>
      </c>
      <c r="B1559" t="inlineStr">
        <is>
          <t>/Users/manczg/Documents/development/financialwell/FinancialWell/Models/TransactionModel.swift</t>
        </is>
      </c>
      <c r="C1559" t="inlineStr">
        <is>
          <t>smells-10</t>
        </is>
      </c>
      <c r="D1559" t="n">
        <v>19</v>
      </c>
      <c r="E1559" t="inlineStr">
        <is>
          <t>return ModelManager.shared.currencies.getDefaultCurrency()</t>
        </is>
      </c>
    </row>
    <row r="1560">
      <c r="A1560" t="inlineStr">
        <is>
          <t>financialwell</t>
        </is>
      </c>
      <c r="B1560" t="inlineStr">
        <is>
          <t>/Users/manczg/Documents/development/financialwell/FinancialWell/Models/TransactionModel.swift</t>
        </is>
      </c>
      <c r="C1560" t="inlineStr">
        <is>
          <t>smells-10</t>
        </is>
      </c>
      <c r="D1560" t="n">
        <v>186</v>
      </c>
      <c r="E1560" t="inlineStr">
        <is>
          <t>let newCurrency = ModelManager.shared.currencies.getCurrency(from: code)</t>
        </is>
      </c>
    </row>
    <row r="1561">
      <c r="A1561" t="inlineStr">
        <is>
          <t>financialwell</t>
        </is>
      </c>
      <c r="B1561" t="inlineStr">
        <is>
          <t>/Users/manczg/Documents/development/financialwell/FinancialWell/Models/TransactionModel.swift</t>
        </is>
      </c>
      <c r="C1561" t="inlineStr">
        <is>
          <t>smells-10</t>
        </is>
      </c>
      <c r="D1561" t="n">
        <v>198</v>
      </c>
      <c r="E1561" t="inlineStr">
        <is>
          <t>guard !ModelManager.shared.currencies.isBase(currency: currency) else {</t>
        </is>
      </c>
    </row>
    <row r="1562">
      <c r="A1562" t="inlineStr">
        <is>
          <t>financialwell</t>
        </is>
      </c>
      <c r="B1562" t="inlineStr">
        <is>
          <t>/Users/manczg/Documents/development/financialwell/FinancialWell/Models/TransactionModel.swift</t>
        </is>
      </c>
      <c r="C1562" t="inlineStr">
        <is>
          <t>smells-10</t>
        </is>
      </c>
      <c r="D1562" t="n">
        <v>200</v>
      </c>
      <c r="E1562" t="inlineStr">
        <is>
          <t>AppLog.assertion(!ModelManager.shared.currencies.isBase(currency: currency))</t>
        </is>
      </c>
    </row>
    <row r="1563">
      <c r="A1563" t="inlineStr">
        <is>
          <t>financialwell</t>
        </is>
      </c>
      <c r="B1563" t="inlineStr">
        <is>
          <t>/Users/manczg/Documents/development/financialwell/FinancialWell/Models/TransactionModel.swift</t>
        </is>
      </c>
      <c r="C1563" t="inlineStr">
        <is>
          <t>smells-10</t>
        </is>
      </c>
      <c r="D1563" t="n">
        <v>264</v>
      </c>
      <c r="E1563" t="inlineStr">
        <is>
          <t>let location = ModelManager.shared.locationService.location</t>
        </is>
      </c>
    </row>
    <row r="1564">
      <c r="A1564" t="inlineStr">
        <is>
          <t>financialwell</t>
        </is>
      </c>
      <c r="B1564" t="inlineStr">
        <is>
          <t>/Users/manczg/Documents/development/financialwell/FinancialWell/Models/TransactionModel.swift</t>
        </is>
      </c>
      <c r="C1564" t="inlineStr">
        <is>
          <t>smells-10</t>
        </is>
      </c>
      <c r="D1564" t="n">
        <v>310</v>
      </c>
      <c r="E1564" t="inlineStr">
        <is>
          <t>let formatter = ModelManager.shared.currencies.baseNumberFormatter.copy() as! NumberFormatter</t>
        </is>
      </c>
    </row>
    <row r="1565">
      <c r="A1565" t="inlineStr">
        <is>
          <t>financialwell</t>
        </is>
      </c>
      <c r="B1565" t="inlineStr">
        <is>
          <t>/Users/manczg/Documents/development/financialwell/FinancialWell/Models/TransactionModel.swift</t>
        </is>
      </c>
      <c r="C1565" t="inlineStr">
        <is>
          <t>smells-10</t>
        </is>
      </c>
      <c r="D1565" t="n">
        <v>371</v>
      </c>
      <c r="E1565" t="inlineStr">
        <is>
          <t>self.tags = ModelManager.shared.tags.filter(tags: tags, for: dbValue.id, with: category)</t>
        </is>
      </c>
    </row>
    <row r="1566">
      <c r="A1566" t="inlineStr">
        <is>
          <t>financialwell</t>
        </is>
      </c>
      <c r="B1566" t="inlineStr">
        <is>
          <t>/Users/manczg/Documents/development/financialwell/FinancialWell/Models/TransactionModel.swift</t>
        </is>
      </c>
      <c r="C1566" t="inlineStr">
        <is>
          <t>smells-10</t>
        </is>
      </c>
      <c r="D1566" t="n">
        <v>375</v>
      </c>
      <c r="E1566" t="inlineStr">
        <is>
          <t>self.tags = ModelManager.shared.tags.filter(tags: tags, for: dbValue.id, with: category)</t>
        </is>
      </c>
    </row>
    <row r="1567">
      <c r="A1567" t="inlineStr">
        <is>
          <t>financialwell</t>
        </is>
      </c>
      <c r="B1567" t="inlineStr">
        <is>
          <t>/Users/manczg/Documents/development/financialwell/FinancialWell/Models/TransactionModel.swift</t>
        </is>
      </c>
      <c r="C1567" t="inlineStr">
        <is>
          <t>smells-10</t>
        </is>
      </c>
      <c r="D1567" t="n">
        <v>433</v>
      </c>
      <c r="E1567" t="inlineStr">
        <is>
          <t>guard let currency = ModelManager.shared.currencies.getCurrency(from: transaction.currency) else {</t>
        </is>
      </c>
    </row>
    <row r="1568">
      <c r="A1568" t="inlineStr">
        <is>
          <t>financialwell</t>
        </is>
      </c>
      <c r="B1568" t="inlineStr">
        <is>
          <t>/Users/manczg/Documents/development/financialwell/FinancialWell/Models/TransactionModel.swift</t>
        </is>
      </c>
      <c r="C1568" t="inlineStr">
        <is>
          <t>smells-10</t>
        </is>
      </c>
      <c r="D1568" t="n">
        <v>437</v>
      </c>
      <c r="E1568" t="inlineStr">
        <is>
          <t>guard let account = ModelManager.shared.accounts.get(by: transaction.accountId) else {</t>
        </is>
      </c>
    </row>
    <row r="1569">
      <c r="A1569" t="inlineStr">
        <is>
          <t>financialwell</t>
        </is>
      </c>
      <c r="B1569" t="inlineStr">
        <is>
          <t>/Users/manczg/Documents/development/financialwell/FinancialWell/Models/TransactionModel.swift</t>
        </is>
      </c>
      <c r="C1569" t="inlineStr">
        <is>
          <t>smells-10</t>
        </is>
      </c>
      <c r="D1569" t="n">
        <v>441</v>
      </c>
      <c r="E1569" t="inlineStr">
        <is>
          <t>guard let category = ModelManager.shared.categories.get(by: transaction.categoryId) else {</t>
        </is>
      </c>
    </row>
    <row r="1570">
      <c r="A1570" t="inlineStr">
        <is>
          <t>financialwell</t>
        </is>
      </c>
      <c r="B1570" t="inlineStr">
        <is>
          <t>/Users/manczg/Documents/development/financialwell/FinancialWell/Models/TransactionModel.swift</t>
        </is>
      </c>
      <c r="C1570" t="inlineStr">
        <is>
          <t>smells-10</t>
        </is>
      </c>
      <c r="D1570" t="n">
        <v>447</v>
      </c>
      <c r="E1570" t="inlineStr">
        <is>
          <t>if !ModelManager.shared.currencies.isBase(currency: self.currency) {</t>
        </is>
      </c>
    </row>
    <row r="1571">
      <c r="A1571" t="inlineStr">
        <is>
          <t>financialwell</t>
        </is>
      </c>
      <c r="B1571" t="inlineStr">
        <is>
          <t>/Users/manczg/Documents/development/financialwell/FinancialWell/Models/TransactionModel.swift</t>
        </is>
      </c>
      <c r="C1571" t="inlineStr">
        <is>
          <t>smells-10</t>
        </is>
      </c>
      <c r="D1571" t="n">
        <v>448</v>
      </c>
      <c r="E1571" t="inlineStr">
        <is>
          <t>self.currency.basePrice = self.dbValue.exchangePrice?.doubleValue ?? 1.0</t>
        </is>
      </c>
    </row>
    <row r="1572">
      <c r="A1572" t="inlineStr">
        <is>
          <t>financialwell</t>
        </is>
      </c>
      <c r="B1572" t="inlineStr">
        <is>
          <t>/Users/manczg/Documents/development/financialwell/FinancialWell/Models/TransactionModel.swift</t>
        </is>
      </c>
      <c r="C1572" t="inlineStr">
        <is>
          <t>smells-10</t>
        </is>
      </c>
      <c r="D1572" t="n">
        <v>453</v>
      </c>
      <c r="E1572" t="inlineStr">
        <is>
          <t>let priceInDevisa = ModelManager.shared.currencies.exchange(from: currency, value: dbValue.priceInBase.doubleValue, toCurrency: ModelManager.shared.currencies.getBaseCurrency(), exchangePrice: &amp;exchangePrice)</t>
        </is>
      </c>
    </row>
    <row r="1573">
      <c r="A1573" t="inlineStr">
        <is>
          <t>financialwell</t>
        </is>
      </c>
      <c r="B1573" t="inlineStr">
        <is>
          <t>/Users/manczg/Documents/development/financialwell/FinancialWell/Models/TransactionModel.swift</t>
        </is>
      </c>
      <c r="C1573" t="inlineStr">
        <is>
          <t>smells-10</t>
        </is>
      </c>
      <c r="D1573" t="n">
        <v>460</v>
      </c>
      <c r="E1573" t="inlineStr">
        <is>
          <t>let priceInBase = ModelManager.shared.currencies.exchange(from: currency, value: dbValue.priceInDevisa!.doubleValue, toCurrency: ModelManager.shared.currencies.getBaseCurrency(), exchangePrice: &amp;exchangePrice)</t>
        </is>
      </c>
    </row>
    <row r="1574">
      <c r="A1574" t="inlineStr">
        <is>
          <t>financialwell</t>
        </is>
      </c>
      <c r="B1574" t="inlineStr">
        <is>
          <t>/Users/manczg/Documents/development/financialwell/FinancialWell/Models/TransactionModel.swift</t>
        </is>
      </c>
      <c r="C1574" t="inlineStr">
        <is>
          <t>smells-10</t>
        </is>
      </c>
      <c r="D1574" t="n">
        <v>470</v>
      </c>
      <c r="E1574" t="inlineStr">
        <is>
          <t>if let place = ModelManager.shared.places.getPlace(by: dbValue.placeId) {</t>
        </is>
      </c>
    </row>
    <row r="1575">
      <c r="A1575" t="inlineStr">
        <is>
          <t>financialwell</t>
        </is>
      </c>
      <c r="B1575" t="inlineStr">
        <is>
          <t>/Users/manczg/Documents/development/financialwell/FinancialWell/Models/TransactionModel.swift</t>
        </is>
      </c>
      <c r="C1575" t="inlineStr">
        <is>
          <t>smells-10</t>
        </is>
      </c>
      <c r="D1575" t="n">
        <v>476</v>
      </c>
      <c r="E1575" t="inlineStr">
        <is>
          <t>self.tags = ModelManager.shared.tags.filter(byTransactionId: dbValue.id)</t>
        </is>
      </c>
    </row>
    <row r="1576">
      <c r="A1576" t="inlineStr">
        <is>
          <t>financialwell</t>
        </is>
      </c>
      <c r="B1576" t="inlineStr">
        <is>
          <t>/Users/manczg/Documents/development/financialwell/FinancialWell/Models/TransactionModel.swift</t>
        </is>
      </c>
      <c r="C1576" t="inlineStr">
        <is>
          <t>smells-21</t>
        </is>
      </c>
      <c r="D1576" t="n">
        <v>14</v>
      </c>
      <c r="E1576" t="inlineStr">
        <is>
          <t>var baseCurrency: Currency! {</t>
        </is>
      </c>
    </row>
    <row r="1577">
      <c r="A1577" t="inlineStr">
        <is>
          <t>financialwell</t>
        </is>
      </c>
      <c r="B1577" t="inlineStr">
        <is>
          <t>/Users/manczg/Documents/development/financialwell/FinancialWell/Models/TransactionModel.swift</t>
        </is>
      </c>
      <c r="C1577" t="inlineStr">
        <is>
          <t>smells-21</t>
        </is>
      </c>
      <c r="D1577" t="n">
        <v>18</v>
      </c>
      <c r="E1577" t="inlineStr">
        <is>
          <t>var defaultCurrency: Currency! {</t>
        </is>
      </c>
    </row>
    <row r="1578">
      <c r="A1578" t="inlineStr">
        <is>
          <t>financialwell</t>
        </is>
      </c>
      <c r="B1578" t="inlineStr">
        <is>
          <t>/Users/manczg/Documents/development/financialwell/FinancialWell/Models/TransactionModel.swift</t>
        </is>
      </c>
      <c r="C1578" t="inlineStr">
        <is>
          <t>solid-06</t>
        </is>
      </c>
      <c r="D1578" t="n">
        <v>13</v>
      </c>
      <c r="E1578" t="inlineStr">
        <is>
          <t>var dbValue = Transaction()</t>
        </is>
      </c>
    </row>
    <row r="1579">
      <c r="A1579" t="inlineStr">
        <is>
          <t>financialwell</t>
        </is>
      </c>
      <c r="B1579" t="inlineStr">
        <is>
          <t>/Users/manczg/Documents/development/financialwell/FinancialWell/Models/TransactionModel.swift</t>
        </is>
      </c>
      <c r="C1579" t="inlineStr">
        <is>
          <t>solid-06</t>
        </is>
      </c>
      <c r="D1579" t="n">
        <v>108</v>
      </c>
      <c r="E1579" t="inlineStr">
        <is>
          <t>var recurrency = RecurrentTransactionModel()</t>
        </is>
      </c>
    </row>
    <row r="1580">
      <c r="A1580" t="inlineStr">
        <is>
          <t>financialwell</t>
        </is>
      </c>
      <c r="B1580" t="inlineStr">
        <is>
          <t>/Users/manczg/Documents/development/financialwell/FinancialWell/Models/TransactionModel.swift</t>
        </is>
      </c>
      <c r="C1580" t="inlineStr">
        <is>
          <t>solid-10</t>
        </is>
      </c>
      <c r="D1580" t="n">
        <v>108</v>
      </c>
      <c r="E1580" t="inlineStr">
        <is>
          <t>var recurrency = RecurrentTransactionModel()</t>
        </is>
      </c>
    </row>
    <row r="1581">
      <c r="A1581" t="inlineStr">
        <is>
          <t>financialwell</t>
        </is>
      </c>
      <c r="B1581" t="inlineStr">
        <is>
          <t>/Users/manczg/Documents/development/financialwell/FinancialWell/Models/TransactionModel.swift</t>
        </is>
      </c>
      <c r="C1581" t="inlineStr">
        <is>
          <t>solid-12</t>
        </is>
      </c>
      <c r="D1581" t="n">
        <v>199</v>
      </c>
      <c r="E1581" t="inlineStr">
        <is>
          <t>AppLog.warning(message: "Can't update exchange price when using local currency")</t>
        </is>
      </c>
    </row>
    <row r="1582">
      <c r="A1582" t="inlineStr">
        <is>
          <t>financialwell</t>
        </is>
      </c>
      <c r="B1582" t="inlineStr">
        <is>
          <t>/Users/manczg/Documents/development/financialwell/FinancialWell/Models/TransactionModel.swift</t>
        </is>
      </c>
      <c r="C1582" t="inlineStr">
        <is>
          <t>solid-12</t>
        </is>
      </c>
      <c r="D1582" t="n">
        <v>204</v>
      </c>
      <c r="E1582" t="inlineStr">
        <is>
          <t>AppLog.warning(message: "devisa price missing")</t>
        </is>
      </c>
    </row>
    <row r="1583">
      <c r="A1583" t="inlineStr">
        <is>
          <t>financialwell</t>
        </is>
      </c>
      <c r="B1583" t="inlineStr">
        <is>
          <t>/Users/manczg/Documents/development/financialwell/FinancialWell/Models/TransactionModel.swift</t>
        </is>
      </c>
      <c r="C1583" t="inlineStr">
        <is>
          <t>solid-12</t>
        </is>
      </c>
      <c r="D1583" t="n">
        <v>279</v>
      </c>
      <c r="E1583" t="inlineStr">
        <is>
          <t>AppLog.warning(message: "Invalid isExpense, fixing in runtime")</t>
        </is>
      </c>
    </row>
    <row r="1584">
      <c r="A1584" t="inlineStr">
        <is>
          <t>financialwell</t>
        </is>
      </c>
      <c r="B1584" t="inlineStr">
        <is>
          <t>/Users/manczg/Documents/development/financialwell/FinancialWell/Models/TransactionModel.swift</t>
        </is>
      </c>
      <c r="C1584" t="inlineStr">
        <is>
          <t>solid-12</t>
        </is>
      </c>
      <c r="D1584" t="n">
        <v>461</v>
      </c>
      <c r="E1584" t="inlineStr">
        <is>
          <t>AppLog.warning(priceInBase != nil &amp;&amp; priceInBase!.equal(dbValue.priceInBase.doubleValue, precise: 4), "Devisa exchange check: Wrong base or devisa price saved! tID:\(dbValue.id ?? -1)")</t>
        </is>
      </c>
    </row>
    <row r="1585">
      <c r="A1585" t="inlineStr">
        <is>
          <t>financialwell</t>
        </is>
      </c>
      <c r="B1585" t="inlineStr">
        <is>
          <t>/Users/manczg/Documents/development/financialwell/FinancialWell/Models/TransactionModel.swift</t>
        </is>
      </c>
      <c r="C1585" t="inlineStr">
        <is>
          <t>solid-12</t>
        </is>
      </c>
      <c r="D1585" t="n">
        <v>501</v>
      </c>
      <c r="E1585" t="inlineStr">
        <is>
          <t>AppLog.warning(message: "Price in devisa shouldn't be nil. Set devisa price to 0.")</t>
        </is>
      </c>
    </row>
    <row r="1586">
      <c r="A1586" t="inlineStr">
        <is>
          <t>financialwell</t>
        </is>
      </c>
      <c r="B1586" t="inlineStr">
        <is>
          <t>/Users/manczg/Documents/development/financialwell/FinancialWell/Models/TransactionModel.swift</t>
        </is>
      </c>
      <c r="C1586" t="inlineStr">
        <is>
          <t>tests-01</t>
        </is>
      </c>
      <c r="D1586" t="n">
        <v>12</v>
      </c>
      <c r="E1586" t="inlineStr">
        <is>
          <t>class TransactionModel: CopyProtocol {</t>
        </is>
      </c>
    </row>
    <row r="1587">
      <c r="A1587" t="inlineStr">
        <is>
          <t>financialwell</t>
        </is>
      </c>
      <c r="B1587" t="inlineStr">
        <is>
          <t>/Users/manczg/Documents/development/financialwell/FinancialWell/Import/Import.swift</t>
        </is>
      </c>
      <c r="C1587" t="inlineStr">
        <is>
          <t>arch-08</t>
        </is>
      </c>
      <c r="D1587" t="n">
        <v>30</v>
      </c>
      <c r="E1587" t="inlineStr">
        <is>
          <t>let importedRows = ModelManager.shared.transactions.fetchImported(from: minDate!, to: maxDate!)</t>
        </is>
      </c>
    </row>
    <row r="1588">
      <c r="A1588" t="inlineStr">
        <is>
          <t>financialwell</t>
        </is>
      </c>
      <c r="B1588" t="inlineStr">
        <is>
          <t>/Users/manczg/Documents/development/financialwell/FinancialWell/Import/Import.swift</t>
        </is>
      </c>
      <c r="C1588" t="inlineStr">
        <is>
          <t>arch-08</t>
        </is>
      </c>
      <c r="D1588" t="n">
        <v>117</v>
      </c>
      <c r="E1588" t="inlineStr">
        <is>
          <t>private let fileManagerWrapper = FileManagerWrapper.shared</t>
        </is>
      </c>
    </row>
    <row r="1589">
      <c r="A1589" t="inlineStr">
        <is>
          <t>financialwell</t>
        </is>
      </c>
      <c r="B1589" t="inlineStr">
        <is>
          <t>/Users/manczg/Documents/development/financialwell/FinancialWell/Import/Import.swift</t>
        </is>
      </c>
      <c r="C1589" t="inlineStr">
        <is>
          <t>clarity-09</t>
        </is>
      </c>
      <c r="D1589" t="n">
        <v>55</v>
      </c>
      <c r="E1589" t="inlineStr">
        <is>
          <t>while !foundRow &amp;&amp; middleIdxMax &lt; maxIdx &amp;&amp; importedRows[middleIdxMax].datetime == transaction.dbValue.datetime {</t>
        </is>
      </c>
    </row>
    <row r="1590">
      <c r="A1590" t="inlineStr">
        <is>
          <t>financialwell</t>
        </is>
      </c>
      <c r="B1590" t="inlineStr">
        <is>
          <t>/Users/manczg/Documents/development/financialwell/FinancialWell/Import/Import.swift</t>
        </is>
      </c>
      <c r="C1590" t="inlineStr">
        <is>
          <t>clarity-09</t>
        </is>
      </c>
      <c r="D1590" t="n">
        <v>64</v>
      </c>
      <c r="E1590" t="inlineStr">
        <is>
          <t>while !foundRow &amp;&amp; middleIdxMin &gt;= minIdx &amp;&amp; importedRows[middleIdxMin].datetime == transaction.dbValue.datetime {</t>
        </is>
      </c>
    </row>
    <row r="1591">
      <c r="A1591" t="inlineStr">
        <is>
          <t>financialwell</t>
        </is>
      </c>
      <c r="B1591" t="inlineStr">
        <is>
          <t>/Users/manczg/Documents/development/financialwell/FinancialWell/Import/Import.swift</t>
        </is>
      </c>
      <c r="C1591" t="inlineStr">
        <is>
          <t>clarity-16</t>
        </is>
      </c>
      <c r="D1591" t="n">
        <v>22</v>
      </c>
      <c r="E1591" t="inlineStr">
        <is>
          <t>func skipAlreadyImported(transactions: inout [TransactionModel], minDate: Date?, maxDate: Date?, result: inout ThirdPartyDataImportEvents.ImportResult) {</t>
        </is>
      </c>
    </row>
    <row r="1592">
      <c r="A1592" t="inlineStr">
        <is>
          <t>financialwell</t>
        </is>
      </c>
      <c r="B1592" t="inlineStr">
        <is>
          <t>/Users/manczg/Documents/development/financialwell/FinancialWell/Import/Import.swift</t>
        </is>
      </c>
      <c r="C1592" t="inlineStr">
        <is>
          <t>ddd-01</t>
        </is>
      </c>
      <c r="D1592" t="n">
        <v>118</v>
      </c>
      <c r="E1592" t="inlineStr">
        <is>
          <t>var linkedHeaderIDs: ImportHeader.TLinkedHeaders = [:]</t>
        </is>
      </c>
    </row>
    <row r="1593">
      <c r="A1593" t="inlineStr">
        <is>
          <t>financialwell</t>
        </is>
      </c>
      <c r="B1593" t="inlineStr">
        <is>
          <t>/Users/manczg/Documents/development/financialwell/FinancialWell/Import/Import.swift</t>
        </is>
      </c>
      <c r="C1593" t="inlineStr">
        <is>
          <t>ddd-01</t>
        </is>
      </c>
      <c r="D1593" t="n">
        <v>119</v>
      </c>
      <c r="E1593" t="inlineStr">
        <is>
          <t>var handler: SheetImporter!</t>
        </is>
      </c>
    </row>
    <row r="1594">
      <c r="A1594" t="inlineStr">
        <is>
          <t>financialwell</t>
        </is>
      </c>
      <c r="B1594" t="inlineStr">
        <is>
          <t>/Users/manczg/Documents/development/financialwell/FinancialWell/Import/Import.swift</t>
        </is>
      </c>
      <c r="C1594" t="inlineStr">
        <is>
          <t>ddd-01</t>
        </is>
      </c>
      <c r="D1594" t="n">
        <v>122</v>
      </c>
      <c r="E1594" t="inlineStr">
        <is>
          <t>var delegate: ThirdPartyDataImportEvents? = nil</t>
        </is>
      </c>
    </row>
    <row r="1595">
      <c r="A1595" t="inlineStr">
        <is>
          <t>financialwell</t>
        </is>
      </c>
      <c r="B1595" t="inlineStr">
        <is>
          <t>/Users/manczg/Documents/development/financialwell/FinancialWell/Import/Import.swift</t>
        </is>
      </c>
      <c r="C1595" t="inlineStr">
        <is>
          <t>safety-02</t>
        </is>
      </c>
      <c r="D1595" t="n">
        <v>30</v>
      </c>
      <c r="E1595" t="inlineStr">
        <is>
          <t>let importedRows = ModelManager.shared.transactions.fetchImported(from: minDate!, to: maxDate!)</t>
        </is>
      </c>
    </row>
    <row r="1596">
      <c r="A1596" t="inlineStr">
        <is>
          <t>financialwell</t>
        </is>
      </c>
      <c r="B1596" t="inlineStr">
        <is>
          <t>/Users/manczg/Documents/development/financialwell/FinancialWell/Import/Import.swift</t>
        </is>
      </c>
      <c r="C1596" t="inlineStr">
        <is>
          <t>safety-02</t>
        </is>
      </c>
      <c r="D1596" t="n">
        <v>40</v>
      </c>
      <c r="E1596" t="inlineStr">
        <is>
          <t>let checkRow = { middleIdx -&gt; Bool in transaction.dbValue.datetime == importedRows[middleIdx].datetime &amp;&amp; transaction.account.id! == importedRows[middleIdx].accountId &amp;&amp; transaction.category.id! == importedRows[middleIdx].categoryId &amp;&amp; transaction.currency.code == importedRows[middleIdx].currency &amp;&amp; transaction.isExpense() == importedRows[middleIdx].isExpense &amp;&amp; transaction.basePrice() == importedRows[middleIdx].priceInBase }</t>
        </is>
      </c>
    </row>
    <row r="1597">
      <c r="A1597" t="inlineStr">
        <is>
          <t>financialwell</t>
        </is>
      </c>
      <c r="B1597" t="inlineStr">
        <is>
          <t>/Users/manczg/Documents/development/financialwell/FinancialWell/Import/Import.swift</t>
        </is>
      </c>
      <c r="C1597" t="inlineStr">
        <is>
          <t>smells-02</t>
        </is>
      </c>
      <c r="D1597" t="n">
        <v>22</v>
      </c>
      <c r="E1597" t="inlineStr">
        <is>
          <t>func skipAlreadyImported(transactions: inout [TransactionModel], minDate: Date?, maxDate: Date?, result: inout ThirdPartyDataImportEvents.ImportResult) {</t>
        </is>
      </c>
    </row>
    <row r="1598">
      <c r="A1598" t="inlineStr">
        <is>
          <t>financialwell</t>
        </is>
      </c>
      <c r="B1598" t="inlineStr">
        <is>
          <t>/Users/manczg/Documents/development/financialwell/FinancialWell/Import/Import.swift</t>
        </is>
      </c>
      <c r="C1598" t="inlineStr">
        <is>
          <t>smells-10</t>
        </is>
      </c>
      <c r="D1598" t="n">
        <v>30</v>
      </c>
      <c r="E1598" t="inlineStr">
        <is>
          <t>let importedRows = ModelManager.shared.transactions.fetchImported(from: minDate!, to: maxDate!)</t>
        </is>
      </c>
    </row>
    <row r="1599">
      <c r="A1599" t="inlineStr">
        <is>
          <t>financialwell</t>
        </is>
      </c>
      <c r="B1599" t="inlineStr">
        <is>
          <t>/Users/manczg/Documents/development/financialwell/FinancialWell/Import/Import.swift</t>
        </is>
      </c>
      <c r="C1599" t="inlineStr">
        <is>
          <t>smells-12</t>
        </is>
      </c>
      <c r="D1599" t="n">
        <v>143</v>
      </c>
      <c r="E1599" t="inlineStr">
        <is>
          <t>} catch {</t>
        </is>
      </c>
    </row>
    <row r="1600">
      <c r="A1600" t="inlineStr">
        <is>
          <t>financialwell</t>
        </is>
      </c>
      <c r="B1600" t="inlineStr">
        <is>
          <t>/Users/manczg/Documents/development/financialwell/FinancialWell/Import/Import.swift</t>
        </is>
      </c>
      <c r="C1600" t="inlineStr">
        <is>
          <t>smells-12</t>
        </is>
      </c>
      <c r="D1600" t="n">
        <v>152</v>
      </c>
      <c r="E1600" t="inlineStr">
        <is>
          <t>} catch {}</t>
        </is>
      </c>
    </row>
    <row r="1601">
      <c r="A1601" t="inlineStr">
        <is>
          <t>financialwell</t>
        </is>
      </c>
      <c r="B1601" t="inlineStr">
        <is>
          <t>/Users/manczg/Documents/development/financialwell/FinancialWell/Import/Import.swift</t>
        </is>
      </c>
      <c r="C1601" t="inlineStr">
        <is>
          <t>smells-21</t>
        </is>
      </c>
      <c r="D1601" t="n">
        <v>119</v>
      </c>
      <c r="E1601" t="inlineStr">
        <is>
          <t>var handler: SheetImporter!</t>
        </is>
      </c>
    </row>
    <row r="1602">
      <c r="A1602" t="inlineStr">
        <is>
          <t>financialwell</t>
        </is>
      </c>
      <c r="B1602" t="inlineStr">
        <is>
          <t>/Users/manczg/Documents/development/financialwell/FinancialWell/Import/Import.swift</t>
        </is>
      </c>
      <c r="C1602" t="inlineStr">
        <is>
          <t>solid-06</t>
        </is>
      </c>
      <c r="D1602" t="n">
        <v>118</v>
      </c>
      <c r="E1602" t="inlineStr">
        <is>
          <t>var linkedHeaderIDs: ImportHeader.TLinkedHeaders = [:]</t>
        </is>
      </c>
    </row>
    <row r="1603">
      <c r="A1603" t="inlineStr">
        <is>
          <t>financialwell</t>
        </is>
      </c>
      <c r="B1603" t="inlineStr">
        <is>
          <t>/Users/manczg/Documents/development/financialwell/FinancialWell/Import/Import.swift</t>
        </is>
      </c>
      <c r="C1603" t="inlineStr">
        <is>
          <t>solid-06</t>
        </is>
      </c>
      <c r="D1603" t="n">
        <v>119</v>
      </c>
      <c r="E1603" t="inlineStr">
        <is>
          <t>var handler: SheetImporter!</t>
        </is>
      </c>
    </row>
    <row r="1604">
      <c r="A1604" t="inlineStr">
        <is>
          <t>financialwell</t>
        </is>
      </c>
      <c r="B1604" t="inlineStr">
        <is>
          <t>/Users/manczg/Documents/development/financialwell/FinancialWell/Import/Import.swift</t>
        </is>
      </c>
      <c r="C1604" t="inlineStr">
        <is>
          <t>solid-06</t>
        </is>
      </c>
      <c r="D1604" t="n">
        <v>121</v>
      </c>
      <c r="E1604" t="inlineStr">
        <is>
          <t>var supportedFormatProtocols = [ThirdPartyDataImportProtocol]()</t>
        </is>
      </c>
    </row>
    <row r="1605">
      <c r="A1605" t="inlineStr">
        <is>
          <t>financialwell</t>
        </is>
      </c>
      <c r="B1605" t="inlineStr">
        <is>
          <t>/Users/manczg/Documents/development/financialwell/FinancialWell/Import/Import.swift</t>
        </is>
      </c>
      <c r="C1605" t="inlineStr">
        <is>
          <t>solid-06</t>
        </is>
      </c>
      <c r="D1605" t="n">
        <v>122</v>
      </c>
      <c r="E1605" t="inlineStr">
        <is>
          <t>var delegate: ThirdPartyDataImportEvents? = nil</t>
        </is>
      </c>
    </row>
    <row r="1606">
      <c r="A1606" t="inlineStr">
        <is>
          <t>financialwell</t>
        </is>
      </c>
      <c r="B1606" t="inlineStr">
        <is>
          <t>/Users/manczg/Documents/development/financialwell/FinancialWell/Import/Import.swift</t>
        </is>
      </c>
      <c r="C1606" t="inlineStr">
        <is>
          <t>solid-08</t>
        </is>
      </c>
      <c r="D1606" t="n">
        <v>91</v>
      </c>
      <c r="E1606" t="inlineStr">
        <is>
          <t>var newAccounts = [Account]()</t>
        </is>
      </c>
    </row>
    <row r="1607">
      <c r="A1607" t="inlineStr">
        <is>
          <t>financialwell</t>
        </is>
      </c>
      <c r="B1607" t="inlineStr">
        <is>
          <t>/Users/manczg/Documents/development/financialwell/FinancialWell/Import/Import.swift</t>
        </is>
      </c>
      <c r="C1607" t="inlineStr">
        <is>
          <t>solid-08</t>
        </is>
      </c>
      <c r="D1607" t="n">
        <v>92</v>
      </c>
      <c r="E1607" t="inlineStr">
        <is>
          <t>var newCategories = [Category]()</t>
        </is>
      </c>
    </row>
    <row r="1608">
      <c r="A1608" t="inlineStr">
        <is>
          <t>financialwell</t>
        </is>
      </c>
      <c r="B1608" t="inlineStr">
        <is>
          <t>/Users/manczg/Documents/development/financialwell/FinancialWell/Import/Import.swift</t>
        </is>
      </c>
      <c r="C1608" t="inlineStr">
        <is>
          <t>solid-08</t>
        </is>
      </c>
      <c r="D1608" t="n">
        <v>93</v>
      </c>
      <c r="E1608" t="inlineStr">
        <is>
          <t>var numberOfTransactions = 0</t>
        </is>
      </c>
    </row>
    <row r="1609">
      <c r="A1609" t="inlineStr">
        <is>
          <t>financialwell</t>
        </is>
      </c>
      <c r="B1609" t="inlineStr">
        <is>
          <t>/Users/manczg/Documents/development/financialwell/FinancialWell/Import/Import.swift</t>
        </is>
      </c>
      <c r="C1609" t="inlineStr">
        <is>
          <t>solid-08</t>
        </is>
      </c>
      <c r="D1609" t="n">
        <v>94</v>
      </c>
      <c r="E1609" t="inlineStr">
        <is>
          <t>var numberOfImportedTransactions = 0</t>
        </is>
      </c>
    </row>
    <row r="1610">
      <c r="A1610" t="inlineStr">
        <is>
          <t>financialwell</t>
        </is>
      </c>
      <c r="B1610" t="inlineStr">
        <is>
          <t>/Users/manczg/Documents/development/financialwell/FinancialWell/Import/Import.swift</t>
        </is>
      </c>
      <c r="C1610" t="inlineStr">
        <is>
          <t>solid-08</t>
        </is>
      </c>
      <c r="D1610" t="n">
        <v>95</v>
      </c>
      <c r="E1610" t="inlineStr">
        <is>
          <t>var numberOfSkippedTransactions = 0</t>
        </is>
      </c>
    </row>
    <row r="1611">
      <c r="A1611" t="inlineStr">
        <is>
          <t>financialwell</t>
        </is>
      </c>
      <c r="B1611" t="inlineStr">
        <is>
          <t>/Users/manczg/Documents/development/financialwell/FinancialWell/Import/Import.swift</t>
        </is>
      </c>
      <c r="C1611" t="inlineStr">
        <is>
          <t>solid-08</t>
        </is>
      </c>
      <c r="D1611" t="n">
        <v>96</v>
      </c>
      <c r="E1611" t="inlineStr">
        <is>
          <t>var numberOfAlreadyImportedTransactions = 0</t>
        </is>
      </c>
    </row>
    <row r="1612">
      <c r="A1612" t="inlineStr">
        <is>
          <t>financialwell</t>
        </is>
      </c>
      <c r="B1612" t="inlineStr">
        <is>
          <t>/Users/manczg/Documents/development/financialwell/FinancialWell/Import/Import.swift</t>
        </is>
      </c>
      <c r="C1612" t="inlineStr">
        <is>
          <t>solid-08</t>
        </is>
      </c>
      <c r="D1612" t="n">
        <v>118</v>
      </c>
      <c r="E1612" t="inlineStr">
        <is>
          <t>var linkedHeaderIDs: ImportHeader.TLinkedHeaders = [:]</t>
        </is>
      </c>
    </row>
    <row r="1613">
      <c r="A1613" t="inlineStr">
        <is>
          <t>financialwell</t>
        </is>
      </c>
      <c r="B1613" t="inlineStr">
        <is>
          <t>/Users/manczg/Documents/development/financialwell/FinancialWell/Import/Import.swift</t>
        </is>
      </c>
      <c r="C1613" t="inlineStr">
        <is>
          <t>solid-08</t>
        </is>
      </c>
      <c r="D1613" t="n">
        <v>122</v>
      </c>
      <c r="E1613" t="inlineStr">
        <is>
          <t>var delegate: ThirdPartyDataImportEvents? = nil</t>
        </is>
      </c>
    </row>
    <row r="1614">
      <c r="A1614" t="inlineStr">
        <is>
          <t>financialwell</t>
        </is>
      </c>
      <c r="B1614" t="inlineStr">
        <is>
          <t>/Users/manczg/Documents/development/financialwell/FinancialWell/Import/Import.swift</t>
        </is>
      </c>
      <c r="C1614" t="inlineStr">
        <is>
          <t>tests-01</t>
        </is>
      </c>
      <c r="D1614" t="n">
        <v>12</v>
      </c>
      <c r="E1614" t="inlineStr">
        <is>
          <t>protocol ThirdPartyDataImportProtocol {</t>
        </is>
      </c>
    </row>
    <row r="1615">
      <c r="A1615" t="inlineStr">
        <is>
          <t>financialwell</t>
        </is>
      </c>
      <c r="B1615" t="inlineStr">
        <is>
          <t>/Users/manczg/Documents/development/financialwell/FinancialWell/ViewModels/AccountEditViewModel.swift</t>
        </is>
      </c>
      <c r="C1615" t="inlineStr">
        <is>
          <t>arch-08</t>
        </is>
      </c>
      <c r="D1615" t="n">
        <v>21</v>
      </c>
      <c r="E1615" t="inlineStr">
        <is>
          <t>accountChoosableImages = ModelManager.shared.choosableCategories.choosableCategoryImagesArray</t>
        </is>
      </c>
    </row>
    <row r="1616">
      <c r="A1616" t="inlineStr">
        <is>
          <t>financialwell</t>
        </is>
      </c>
      <c r="B1616" t="inlineStr">
        <is>
          <t>/Users/manczg/Documents/development/financialwell/FinancialWell/ViewModels/AccountEditViewModel.swift</t>
        </is>
      </c>
      <c r="C1616" t="inlineStr">
        <is>
          <t>arch-08</t>
        </is>
      </c>
      <c r="D1616" t="n">
        <v>79</v>
      </c>
      <c r="E1616" t="inlineStr">
        <is>
          <t>let image = ModelManager.shared.accounts.getUIImage(for: selectedItem)</t>
        </is>
      </c>
    </row>
    <row r="1617">
      <c r="A1617" t="inlineStr">
        <is>
          <t>financialwell</t>
        </is>
      </c>
      <c r="B1617" t="inlineStr">
        <is>
          <t>/Users/manczg/Documents/development/financialwell/FinancialWell/ViewModels/AccountEditViewModel.swift</t>
        </is>
      </c>
      <c r="C1617" t="inlineStr">
        <is>
          <t>safety-02</t>
        </is>
      </c>
      <c r="D1617" t="n">
        <v>83</v>
      </c>
      <c r="E1617" t="inlineStr">
        <is>
          <t>return image!</t>
        </is>
      </c>
    </row>
    <row r="1618">
      <c r="A1618" t="inlineStr">
        <is>
          <t>financialwell</t>
        </is>
      </c>
      <c r="B1618" t="inlineStr">
        <is>
          <t>/Users/manczg/Documents/development/financialwell/FinancialWell/ViewModels/AccountEditViewModel.swift</t>
        </is>
      </c>
      <c r="C1618" t="inlineStr">
        <is>
          <t>smells-10</t>
        </is>
      </c>
      <c r="D1618" t="n">
        <v>21</v>
      </c>
      <c r="E1618" t="inlineStr">
        <is>
          <t>accountChoosableImages = ModelManager.shared.choosableCategories.choosableCategoryImagesArray</t>
        </is>
      </c>
    </row>
    <row r="1619">
      <c r="A1619" t="inlineStr">
        <is>
          <t>financialwell</t>
        </is>
      </c>
      <c r="B1619" t="inlineStr">
        <is>
          <t>/Users/manczg/Documents/development/financialwell/FinancialWell/ViewModels/AccountEditViewModel.swift</t>
        </is>
      </c>
      <c r="C1619" t="inlineStr">
        <is>
          <t>smells-10</t>
        </is>
      </c>
      <c r="D1619" t="n">
        <v>79</v>
      </c>
      <c r="E1619" t="inlineStr">
        <is>
          <t>let image = ModelManager.shared.accounts.getUIImage(for: selectedItem)</t>
        </is>
      </c>
    </row>
    <row r="1620">
      <c r="A1620" t="inlineStr">
        <is>
          <t>financialwell</t>
        </is>
      </c>
      <c r="B1620" t="inlineStr">
        <is>
          <t>/Users/manczg/Documents/development/financialwell/FinancialWell/ViewModels/AccountEditViewModel.swift</t>
        </is>
      </c>
      <c r="C1620" t="inlineStr">
        <is>
          <t>smells-21</t>
        </is>
      </c>
      <c r="D1620" t="n">
        <v>12</v>
      </c>
      <c r="E1620" t="inlineStr">
        <is>
          <t>var parent: AccountViewModel!</t>
        </is>
      </c>
    </row>
    <row r="1621">
      <c r="A1621" t="inlineStr">
        <is>
          <t>financialwell</t>
        </is>
      </c>
      <c r="B1621" t="inlineStr">
        <is>
          <t>/Users/manczg/Documents/development/financialwell/FinancialWell/ViewModels/AccountEditViewModel.swift</t>
        </is>
      </c>
      <c r="C1621" t="inlineStr">
        <is>
          <t>smells-21</t>
        </is>
      </c>
      <c r="D1621" t="n">
        <v>15</v>
      </c>
      <c r="E1621" t="inlineStr">
        <is>
          <t>var selectedItem: Account! = nil</t>
        </is>
      </c>
    </row>
    <row r="1622">
      <c r="A1622" t="inlineStr">
        <is>
          <t>financialwell</t>
        </is>
      </c>
      <c r="B1622" t="inlineStr">
        <is>
          <t>/Users/manczg/Documents/development/financialwell/FinancialWell/ViewModels/AccountEditViewModel.swift</t>
        </is>
      </c>
      <c r="C1622" t="inlineStr">
        <is>
          <t>solid-06</t>
        </is>
      </c>
      <c r="D1622" t="n">
        <v>12</v>
      </c>
      <c r="E1622" t="inlineStr">
        <is>
          <t>var parent: AccountViewModel!</t>
        </is>
      </c>
    </row>
    <row r="1623">
      <c r="A1623" t="inlineStr">
        <is>
          <t>financialwell</t>
        </is>
      </c>
      <c r="B1623" t="inlineStr">
        <is>
          <t>/Users/manczg/Documents/development/financialwell/FinancialWell/ViewModels/AccountEditViewModel.swift</t>
        </is>
      </c>
      <c r="C1623" t="inlineStr">
        <is>
          <t>solid-06</t>
        </is>
      </c>
      <c r="D1623" t="n">
        <v>14</v>
      </c>
      <c r="E1623" t="inlineStr">
        <is>
          <t>var accountChoosableImages: [String] = []</t>
        </is>
      </c>
    </row>
    <row r="1624">
      <c r="A1624" t="inlineStr">
        <is>
          <t>financialwell</t>
        </is>
      </c>
      <c r="B1624" t="inlineStr">
        <is>
          <t>/Users/manczg/Documents/development/financialwell/FinancialWell/ViewModels/AccountEditViewModel.swift</t>
        </is>
      </c>
      <c r="C1624" t="inlineStr">
        <is>
          <t>solid-06</t>
        </is>
      </c>
      <c r="D1624" t="n">
        <v>15</v>
      </c>
      <c r="E1624" t="inlineStr">
        <is>
          <t>var selectedItem: Account! = nil</t>
        </is>
      </c>
    </row>
    <row r="1625">
      <c r="A1625" t="inlineStr">
        <is>
          <t>financialwell</t>
        </is>
      </c>
      <c r="B1625" t="inlineStr">
        <is>
          <t>/Users/manczg/Documents/development/financialwell/FinancialWell/ViewModels/AccountEditViewModel.swift</t>
        </is>
      </c>
      <c r="C1625" t="inlineStr">
        <is>
          <t>solid-08</t>
        </is>
      </c>
      <c r="D1625" t="n">
        <v>15</v>
      </c>
      <c r="E1625" t="inlineStr">
        <is>
          <t>var selectedItem: Account! = nil</t>
        </is>
      </c>
    </row>
    <row r="1626">
      <c r="A1626" t="inlineStr">
        <is>
          <t>financialwell</t>
        </is>
      </c>
      <c r="B1626" t="inlineStr">
        <is>
          <t>/Users/manczg/Documents/development/financialwell/FinancialWell/ViewModels/AccountEditViewModel.swift</t>
        </is>
      </c>
      <c r="C1626" t="inlineStr">
        <is>
          <t>tests-01</t>
        </is>
      </c>
      <c r="D1626" t="n">
        <v>11</v>
      </c>
      <c r="E1626" t="inlineStr">
        <is>
          <t>class AccountEditViewModel {</t>
        </is>
      </c>
    </row>
    <row r="1627">
      <c r="A1627" t="inlineStr">
        <is>
          <t>financialwell</t>
        </is>
      </c>
      <c r="B1627" t="inlineStr">
        <is>
          <t>/Users/manczg/Documents/development/financialwell/FinancialWell/Import/ImportTransactionsImportFailedViewController.swift</t>
        </is>
      </c>
      <c r="C1627" t="inlineStr">
        <is>
          <t>smells-03</t>
        </is>
      </c>
      <c r="D1627" t="n">
        <v>36</v>
      </c>
      <c r="E1627" t="inlineStr">
        <is>
          <t>override func viewWillAppear(_ animated: Bool) {</t>
        </is>
      </c>
    </row>
    <row r="1628">
      <c r="A1628" t="inlineStr">
        <is>
          <t>financialwell</t>
        </is>
      </c>
      <c r="B1628" t="inlineStr">
        <is>
          <t>/Users/manczg/Documents/development/financialwell/FinancialWell/Import/ImportTransactionsImportFailedViewController.swift</t>
        </is>
      </c>
      <c r="C1628" t="inlineStr">
        <is>
          <t>smells-10</t>
        </is>
      </c>
      <c r="D1628" t="n">
        <v>42</v>
      </c>
      <c r="E1628" t="inlineStr">
        <is>
          <t>self.view.window?.rootViewController?.dismiss(animated: true, completion: nil)</t>
        </is>
      </c>
    </row>
    <row r="1629">
      <c r="A1629" t="inlineStr">
        <is>
          <t>financialwell</t>
        </is>
      </c>
      <c r="B1629" t="inlineStr">
        <is>
          <t>/Users/manczg/Documents/development/financialwell/FinancialWell/Import/ImportTransactionsImportFailedViewController.swift</t>
        </is>
      </c>
      <c r="C1629" t="inlineStr">
        <is>
          <t>solid-06</t>
        </is>
      </c>
      <c r="D1629" t="n">
        <v>12</v>
      </c>
      <c r="E1629" t="inlineStr">
        <is>
          <t>var viewModel = ImportViewModel()</t>
        </is>
      </c>
    </row>
    <row r="1630">
      <c r="A1630" t="inlineStr">
        <is>
          <t>financialwell</t>
        </is>
      </c>
      <c r="B1630" t="inlineStr">
        <is>
          <t>/Users/manczg/Documents/development/financialwell/FinancialWell/Import/ImportTransactionsImportFailedViewController.swift</t>
        </is>
      </c>
      <c r="C1630" t="inlineStr">
        <is>
          <t>solid-06</t>
        </is>
      </c>
      <c r="D1630" t="n">
        <v>13</v>
      </c>
      <c r="E1630" t="inlineStr">
        <is>
          <t>var message = ""</t>
        </is>
      </c>
    </row>
    <row r="1631">
      <c r="A1631" t="inlineStr">
        <is>
          <t>financialwell</t>
        </is>
      </c>
      <c r="B1631" t="inlineStr">
        <is>
          <t>/Users/manczg/Documents/development/financialwell/FinancialWell/Import/ImportTransactionsImportFailedViewController.swift</t>
        </is>
      </c>
      <c r="C1631" t="inlineStr">
        <is>
          <t>solid-06</t>
        </is>
      </c>
      <c r="D1631" t="n">
        <v>16</v>
      </c>
      <c r="E1631" t="inlineStr">
        <is>
          <t>@IBOutlet var importFailedTitleLabel: UILabel!</t>
        </is>
      </c>
    </row>
    <row r="1632">
      <c r="A1632" t="inlineStr">
        <is>
          <t>financialwell</t>
        </is>
      </c>
      <c r="B1632" t="inlineStr">
        <is>
          <t>/Users/manczg/Documents/development/financialwell/FinancialWell/Import/ImportTransactionsImportFailedViewController.swift</t>
        </is>
      </c>
      <c r="C1632" t="inlineStr">
        <is>
          <t>solid-06</t>
        </is>
      </c>
      <c r="D1632" t="n">
        <v>17</v>
      </c>
      <c r="E1632" t="inlineStr">
        <is>
          <t>@IBOutlet var unsupportedFormatLabel: UILabel!</t>
        </is>
      </c>
    </row>
    <row r="1633">
      <c r="A1633" t="inlineStr">
        <is>
          <t>financialwell</t>
        </is>
      </c>
      <c r="B1633" t="inlineStr">
        <is>
          <t>/Users/manczg/Documents/development/financialwell/FinancialWell/Import/ImportTransactionsImportFailedViewController.swift</t>
        </is>
      </c>
      <c r="C1633" t="inlineStr">
        <is>
          <t>solid-06</t>
        </is>
      </c>
      <c r="D1633" t="n">
        <v>18</v>
      </c>
      <c r="E1633" t="inlineStr">
        <is>
          <t>@IBOutlet var closeButton: UIButton!</t>
        </is>
      </c>
    </row>
    <row r="1634">
      <c r="A1634" t="inlineStr">
        <is>
          <t>financialwell</t>
        </is>
      </c>
      <c r="B1634" t="inlineStr">
        <is>
          <t>/Users/manczg/Documents/development/financialwell/FinancialWell/Import/ImportTransactionsImportFailedViewController.swift</t>
        </is>
      </c>
      <c r="C1634" t="inlineStr">
        <is>
          <t>solid-08</t>
        </is>
      </c>
      <c r="D1634" t="n">
        <v>12</v>
      </c>
      <c r="E1634" t="inlineStr">
        <is>
          <t>var viewModel = ImportViewModel()</t>
        </is>
      </c>
    </row>
    <row r="1635">
      <c r="A1635" t="inlineStr">
        <is>
          <t>financialwell</t>
        </is>
      </c>
      <c r="B1635" t="inlineStr">
        <is>
          <t>/Users/manczg/Documents/development/financialwell/FinancialWell/Import/ImportTransactionsImportFailedViewController.swift</t>
        </is>
      </c>
      <c r="C1635" t="inlineStr">
        <is>
          <t>solid-08</t>
        </is>
      </c>
      <c r="D1635" t="n">
        <v>13</v>
      </c>
      <c r="E1635" t="inlineStr">
        <is>
          <t>var message = ""</t>
        </is>
      </c>
    </row>
    <row r="1636">
      <c r="A1636" t="inlineStr">
        <is>
          <t>financialwell</t>
        </is>
      </c>
      <c r="B1636" t="inlineStr">
        <is>
          <t>/Users/manczg/Documents/development/financialwell/FinancialWell/Import/ImportTransactionsImportFailedViewController.swift</t>
        </is>
      </c>
      <c r="C1636" t="inlineStr">
        <is>
          <t>solid-10</t>
        </is>
      </c>
      <c r="D1636" t="n">
        <v>12</v>
      </c>
      <c r="E1636" t="inlineStr">
        <is>
          <t>var viewModel = ImportViewModel()</t>
        </is>
      </c>
    </row>
    <row r="1637">
      <c r="A1637" t="inlineStr">
        <is>
          <t>financialwell</t>
        </is>
      </c>
      <c r="B1637" t="inlineStr">
        <is>
          <t>/Users/manczg/Documents/development/financialwell/FinancialWell/Import/ImportTransactionsImportFailedViewController.swift</t>
        </is>
      </c>
      <c r="C1637" t="inlineStr">
        <is>
          <t>tests-01</t>
        </is>
      </c>
      <c r="D1637" t="n">
        <v>11</v>
      </c>
      <c r="E1637" t="inlineStr">
        <is>
          <t>class ImportTransactionsImportFailedViewController: LocalizableViewController {</t>
        </is>
      </c>
    </row>
    <row r="1638">
      <c r="A1638" t="inlineStr">
        <is>
          <t>financialwell</t>
        </is>
      </c>
      <c r="B1638" t="inlineStr">
        <is>
          <t>/Users/manczg/Documents/development/financialwell/UITests/FrenchLocaleE2ESmokeTests.swift</t>
        </is>
      </c>
      <c r="C1638" t="inlineStr">
        <is>
          <t>clarity-16</t>
        </is>
      </c>
      <c r="D1638" t="n">
        <v>210</v>
      </c>
      <c r="E1638" t="inlineStr">
        <is>
          <t>func testOnboardingFlowInFrench() throws {</t>
        </is>
      </c>
    </row>
    <row r="1639">
      <c r="A1639" t="inlineStr">
        <is>
          <t>financialwell</t>
        </is>
      </c>
      <c r="B1639" t="inlineStr">
        <is>
          <t>/Users/manczg/Documents/development/financialwell/UITests/FrenchLocaleE2ESmokeTests.swift</t>
        </is>
      </c>
      <c r="C1639" t="inlineStr">
        <is>
          <t>clarity-17</t>
        </is>
      </c>
      <c r="D1639" t="n">
        <v>210</v>
      </c>
      <c r="E1639" t="inlineStr">
        <is>
          <t>func testOnboardingFlowInFrench() throws {</t>
        </is>
      </c>
    </row>
    <row r="1640">
      <c r="A1640" t="inlineStr">
        <is>
          <t>financialwell</t>
        </is>
      </c>
      <c r="B1640" t="inlineStr">
        <is>
          <t>/Users/manczg/Documents/development/financialwell/UITests/FrenchLocaleE2ESmokeTests.swift</t>
        </is>
      </c>
      <c r="C1640" t="inlineStr">
        <is>
          <t>smells-10</t>
        </is>
      </c>
      <c r="D1640" t="n">
        <v>151</v>
      </c>
      <c r="E1640" t="inlineStr">
        <is>
          <t>let homeTab = app.tabBars.buttons.element(boundBy: 0)</t>
        </is>
      </c>
    </row>
    <row r="1641">
      <c r="A1641" t="inlineStr">
        <is>
          <t>financialwell</t>
        </is>
      </c>
      <c r="B1641" t="inlineStr">
        <is>
          <t>/Users/manczg/Documents/development/financialwell/UITests/FrenchLocaleE2ESmokeTests.swift</t>
        </is>
      </c>
      <c r="C1641" t="inlineStr">
        <is>
          <t>smells-10</t>
        </is>
      </c>
      <c r="D1641" t="n">
        <v>426</v>
      </c>
      <c r="E1641" t="inlineStr">
        <is>
          <t>app.navigationBars.buttons.firstMatch.tap()</t>
        </is>
      </c>
    </row>
    <row r="1642">
      <c r="A1642" t="inlineStr">
        <is>
          <t>financialwell</t>
        </is>
      </c>
      <c r="B1642" t="inlineStr">
        <is>
          <t>/Users/manczg/Documents/development/financialwell/UITests/FrenchLocaleE2ESmokeTests.swift</t>
        </is>
      </c>
      <c r="C1642" t="inlineStr">
        <is>
          <t>smells-10</t>
        </is>
      </c>
      <c r="D1642" t="n">
        <v>575</v>
      </c>
      <c r="E1642" t="inlineStr">
        <is>
          <t>app.navigationBars.buttons.firstMatch.tap()</t>
        </is>
      </c>
    </row>
    <row r="1643">
      <c r="A1643" t="inlineStr">
        <is>
          <t>financialwell</t>
        </is>
      </c>
      <c r="B1643" t="inlineStr">
        <is>
          <t>/Users/manczg/Documents/development/financialwell/UITests/FrenchLocaleE2ESmokeTests.swift</t>
        </is>
      </c>
      <c r="C1643" t="inlineStr">
        <is>
          <t>smells-10</t>
        </is>
      </c>
      <c r="D1643" t="n">
        <v>648</v>
      </c>
      <c r="E1643" t="inlineStr">
        <is>
          <t>let homeTab = app.tabBars.buttons.element(boundBy: 0)</t>
        </is>
      </c>
    </row>
    <row r="1644">
      <c r="A1644" t="inlineStr">
        <is>
          <t>financialwell</t>
        </is>
      </c>
      <c r="B1644" t="inlineStr">
        <is>
          <t>/Users/manczg/Documents/development/financialwell/UITests/FrenchLocaleE2ESmokeTests.swift</t>
        </is>
      </c>
      <c r="C1644" t="inlineStr">
        <is>
          <t>tests-04</t>
        </is>
      </c>
      <c r="D1644" t="n">
        <v>135</v>
      </c>
      <c r="E1644" t="inlineStr">
        <is>
          <t>sleep(1)</t>
        </is>
      </c>
    </row>
    <row r="1645">
      <c r="A1645" t="inlineStr">
        <is>
          <t>financialwell</t>
        </is>
      </c>
      <c r="B1645" t="inlineStr">
        <is>
          <t>/Users/manczg/Documents/development/financialwell/UITests/FrenchLocaleE2ESmokeTests.swift</t>
        </is>
      </c>
      <c r="C1645" t="inlineStr">
        <is>
          <t>tests-04</t>
        </is>
      </c>
      <c r="D1645" t="n">
        <v>154</v>
      </c>
      <c r="E1645" t="inlineStr">
        <is>
          <t>sleep(1)</t>
        </is>
      </c>
    </row>
    <row r="1646">
      <c r="A1646" t="inlineStr">
        <is>
          <t>financialwell</t>
        </is>
      </c>
      <c r="B1646" t="inlineStr">
        <is>
          <t>/Users/manczg/Documents/development/financialwell/UITests/FrenchLocaleE2ESmokeTests.swift</t>
        </is>
      </c>
      <c r="C1646" t="inlineStr">
        <is>
          <t>tests-04</t>
        </is>
      </c>
      <c r="D1646" t="n">
        <v>160</v>
      </c>
      <c r="E1646" t="inlineStr">
        <is>
          <t>sleep(1)</t>
        </is>
      </c>
    </row>
    <row r="1647">
      <c r="A1647" t="inlineStr">
        <is>
          <t>financialwell</t>
        </is>
      </c>
      <c r="B1647" t="inlineStr">
        <is>
          <t>/Users/manczg/Documents/development/financialwell/UITests/FrenchLocaleE2ESmokeTests.swift</t>
        </is>
      </c>
      <c r="C1647" t="inlineStr">
        <is>
          <t>tests-04</t>
        </is>
      </c>
      <c r="D1647" t="n">
        <v>229</v>
      </c>
      <c r="E1647" t="inlineStr">
        <is>
          <t>sleep(1)</t>
        </is>
      </c>
    </row>
    <row r="1648">
      <c r="A1648" t="inlineStr">
        <is>
          <t>financialwell</t>
        </is>
      </c>
      <c r="B1648" t="inlineStr">
        <is>
          <t>/Users/manczg/Documents/development/financialwell/UITests/FrenchLocaleE2ESmokeTests.swift</t>
        </is>
      </c>
      <c r="C1648" t="inlineStr">
        <is>
          <t>tests-04</t>
        </is>
      </c>
      <c r="D1648" t="n">
        <v>240</v>
      </c>
      <c r="E1648" t="inlineStr">
        <is>
          <t>sleep(1)</t>
        </is>
      </c>
    </row>
    <row r="1649">
      <c r="A1649" t="inlineStr">
        <is>
          <t>financialwell</t>
        </is>
      </c>
      <c r="B1649" t="inlineStr">
        <is>
          <t>/Users/manczg/Documents/development/financialwell/UITests/FrenchLocaleE2ESmokeTests.swift</t>
        </is>
      </c>
      <c r="C1649" t="inlineStr">
        <is>
          <t>tests-04</t>
        </is>
      </c>
      <c r="D1649" t="n">
        <v>247</v>
      </c>
      <c r="E1649" t="inlineStr">
        <is>
          <t>sleep(1)</t>
        </is>
      </c>
    </row>
    <row r="1650">
      <c r="A1650" t="inlineStr">
        <is>
          <t>financialwell</t>
        </is>
      </c>
      <c r="B1650" t="inlineStr">
        <is>
          <t>/Users/manczg/Documents/development/financialwell/UITests/FrenchLocaleE2ESmokeTests.swift</t>
        </is>
      </c>
      <c r="C1650" t="inlineStr">
        <is>
          <t>tests-04</t>
        </is>
      </c>
      <c r="D1650" t="n">
        <v>267</v>
      </c>
      <c r="E1650" t="inlineStr">
        <is>
          <t>sleep(1)</t>
        </is>
      </c>
    </row>
    <row r="1651">
      <c r="A1651" t="inlineStr">
        <is>
          <t>financialwell</t>
        </is>
      </c>
      <c r="B1651" t="inlineStr">
        <is>
          <t>/Users/manczg/Documents/development/financialwell/UITests/FrenchLocaleE2ESmokeTests.swift</t>
        </is>
      </c>
      <c r="C1651" t="inlineStr">
        <is>
          <t>tests-04</t>
        </is>
      </c>
      <c r="D1651" t="n">
        <v>277</v>
      </c>
      <c r="E1651" t="inlineStr">
        <is>
          <t>sleep(1)</t>
        </is>
      </c>
    </row>
    <row r="1652">
      <c r="A1652" t="inlineStr">
        <is>
          <t>financialwell</t>
        </is>
      </c>
      <c r="B1652" t="inlineStr">
        <is>
          <t>/Users/manczg/Documents/development/financialwell/UITests/FrenchLocaleE2ESmokeTests.swift</t>
        </is>
      </c>
      <c r="C1652" t="inlineStr">
        <is>
          <t>tests-04</t>
        </is>
      </c>
      <c r="D1652" t="n">
        <v>287</v>
      </c>
      <c r="E1652" t="inlineStr">
        <is>
          <t>sleep(1)</t>
        </is>
      </c>
    </row>
    <row r="1653">
      <c r="A1653" t="inlineStr">
        <is>
          <t>financialwell</t>
        </is>
      </c>
      <c r="B1653" t="inlineStr">
        <is>
          <t>/Users/manczg/Documents/development/financialwell/UITests/FrenchLocaleE2ESmokeTests.swift</t>
        </is>
      </c>
      <c r="C1653" t="inlineStr">
        <is>
          <t>tests-04</t>
        </is>
      </c>
      <c r="D1653" t="n">
        <v>298</v>
      </c>
      <c r="E1653" t="inlineStr">
        <is>
          <t>sleep(1)</t>
        </is>
      </c>
    </row>
    <row r="1654">
      <c r="A1654" t="inlineStr">
        <is>
          <t>financialwell</t>
        </is>
      </c>
      <c r="B1654" t="inlineStr">
        <is>
          <t>/Users/manczg/Documents/development/financialwell/UITests/FrenchLocaleE2ESmokeTests.swift</t>
        </is>
      </c>
      <c r="C1654" t="inlineStr">
        <is>
          <t>tests-04</t>
        </is>
      </c>
      <c r="D1654" t="n">
        <v>310</v>
      </c>
      <c r="E1654" t="inlineStr">
        <is>
          <t>sleep(2)</t>
        </is>
      </c>
    </row>
    <row r="1655">
      <c r="A1655" t="inlineStr">
        <is>
          <t>financialwell</t>
        </is>
      </c>
      <c r="B1655" t="inlineStr">
        <is>
          <t>/Users/manczg/Documents/development/financialwell/UITests/FrenchLocaleE2ESmokeTests.swift</t>
        </is>
      </c>
      <c r="C1655" t="inlineStr">
        <is>
          <t>tests-04</t>
        </is>
      </c>
      <c r="D1655" t="n">
        <v>313</v>
      </c>
      <c r="E1655" t="inlineStr">
        <is>
          <t>sleep(1)</t>
        </is>
      </c>
    </row>
    <row r="1656">
      <c r="A1656" t="inlineStr">
        <is>
          <t>financialwell</t>
        </is>
      </c>
      <c r="B1656" t="inlineStr">
        <is>
          <t>/Users/manczg/Documents/development/financialwell/UITests/FrenchLocaleE2ESmokeTests.swift</t>
        </is>
      </c>
      <c r="C1656" t="inlineStr">
        <is>
          <t>tests-04</t>
        </is>
      </c>
      <c r="D1656" t="n">
        <v>325</v>
      </c>
      <c r="E1656" t="inlineStr">
        <is>
          <t>sleep(1)</t>
        </is>
      </c>
    </row>
    <row r="1657">
      <c r="A1657" t="inlineStr">
        <is>
          <t>financialwell</t>
        </is>
      </c>
      <c r="B1657" t="inlineStr">
        <is>
          <t>/Users/manczg/Documents/development/financialwell/UITests/FrenchLocaleE2ESmokeTests.swift</t>
        </is>
      </c>
      <c r="C1657" t="inlineStr">
        <is>
          <t>tests-04</t>
        </is>
      </c>
      <c r="D1657" t="n">
        <v>342</v>
      </c>
      <c r="E1657" t="inlineStr">
        <is>
          <t>sleep(1)</t>
        </is>
      </c>
    </row>
    <row r="1658">
      <c r="A1658" t="inlineStr">
        <is>
          <t>financialwell</t>
        </is>
      </c>
      <c r="B1658" t="inlineStr">
        <is>
          <t>/Users/manczg/Documents/development/financialwell/UITests/FrenchLocaleE2ESmokeTests.swift</t>
        </is>
      </c>
      <c r="C1658" t="inlineStr">
        <is>
          <t>tests-04</t>
        </is>
      </c>
      <c r="D1658" t="n">
        <v>356</v>
      </c>
      <c r="E1658" t="inlineStr">
        <is>
          <t>sleep(2)</t>
        </is>
      </c>
    </row>
    <row r="1659">
      <c r="A1659" t="inlineStr">
        <is>
          <t>financialwell</t>
        </is>
      </c>
      <c r="B1659" t="inlineStr">
        <is>
          <t>/Users/manczg/Documents/development/financialwell/UITests/FrenchLocaleE2ESmokeTests.swift</t>
        </is>
      </c>
      <c r="C1659" t="inlineStr">
        <is>
          <t>tests-04</t>
        </is>
      </c>
      <c r="D1659" t="n">
        <v>377</v>
      </c>
      <c r="E1659" t="inlineStr">
        <is>
          <t>sleep(1)</t>
        </is>
      </c>
    </row>
    <row r="1660">
      <c r="A1660" t="inlineStr">
        <is>
          <t>financialwell</t>
        </is>
      </c>
      <c r="B1660" t="inlineStr">
        <is>
          <t>/Users/manczg/Documents/development/financialwell/UITests/FrenchLocaleE2ESmokeTests.swift</t>
        </is>
      </c>
      <c r="C1660" t="inlineStr">
        <is>
          <t>tests-04</t>
        </is>
      </c>
      <c r="D1660" t="n">
        <v>443</v>
      </c>
      <c r="E1660" t="inlineStr">
        <is>
          <t>sleep(2)</t>
        </is>
      </c>
    </row>
    <row r="1661">
      <c r="A1661" t="inlineStr">
        <is>
          <t>financialwell</t>
        </is>
      </c>
      <c r="B1661" t="inlineStr">
        <is>
          <t>/Users/manczg/Documents/development/financialwell/UITests/FrenchLocaleE2ESmokeTests.swift</t>
        </is>
      </c>
      <c r="C1661" t="inlineStr">
        <is>
          <t>tests-04</t>
        </is>
      </c>
      <c r="D1661" t="n">
        <v>517</v>
      </c>
      <c r="E1661" t="inlineStr">
        <is>
          <t>sleep(1)</t>
        </is>
      </c>
    </row>
    <row r="1662">
      <c r="A1662" t="inlineStr">
        <is>
          <t>financialwell</t>
        </is>
      </c>
      <c r="B1662" t="inlineStr">
        <is>
          <t>/Users/manczg/Documents/development/financialwell/UITests/FrenchLocaleE2ESmokeTests.swift</t>
        </is>
      </c>
      <c r="C1662" t="inlineStr">
        <is>
          <t>tests-04</t>
        </is>
      </c>
      <c r="D1662" t="n">
        <v>546</v>
      </c>
      <c r="E1662" t="inlineStr">
        <is>
          <t>sleep(1)</t>
        </is>
      </c>
    </row>
    <row r="1663">
      <c r="A1663" t="inlineStr">
        <is>
          <t>financialwell</t>
        </is>
      </c>
      <c r="B1663" t="inlineStr">
        <is>
          <t>/Users/manczg/Documents/development/financialwell/UITests/FrenchLocaleE2ESmokeTests.swift</t>
        </is>
      </c>
      <c r="C1663" t="inlineStr">
        <is>
          <t>tests-04</t>
        </is>
      </c>
      <c r="D1663" t="n">
        <v>566</v>
      </c>
      <c r="E1663" t="inlineStr">
        <is>
          <t>sleep(1)</t>
        </is>
      </c>
    </row>
    <row r="1664">
      <c r="A1664" t="inlineStr">
        <is>
          <t>financialwell</t>
        </is>
      </c>
      <c r="B1664" t="inlineStr">
        <is>
          <t>/Users/manczg/Documents/development/financialwell/UITests/FrenchLocaleE2ESmokeTests.swift</t>
        </is>
      </c>
      <c r="C1664" t="inlineStr">
        <is>
          <t>tests-04</t>
        </is>
      </c>
      <c r="D1664" t="n">
        <v>576</v>
      </c>
      <c r="E1664" t="inlineStr">
        <is>
          <t>sleep(1)</t>
        </is>
      </c>
    </row>
    <row r="1665">
      <c r="A1665" t="inlineStr">
        <is>
          <t>financialwell</t>
        </is>
      </c>
      <c r="B1665" t="inlineStr">
        <is>
          <t>/Users/manczg/Documents/development/financialwell/UITests/FrenchLocaleE2ESmokeTests.swift</t>
        </is>
      </c>
      <c r="C1665" t="inlineStr">
        <is>
          <t>tests-04</t>
        </is>
      </c>
      <c r="D1665" t="n">
        <v>650</v>
      </c>
      <c r="E1665" t="inlineStr">
        <is>
          <t>sleep(1)</t>
        </is>
      </c>
    </row>
    <row r="1666">
      <c r="A1666" t="inlineStr">
        <is>
          <t>financialwell</t>
        </is>
      </c>
      <c r="B1666" t="inlineStr">
        <is>
          <t>/Users/manczg/Documents/development/financialwell/UITests/FrenchLocaleE2ESmokeTests.swift</t>
        </is>
      </c>
      <c r="C1666" t="inlineStr">
        <is>
          <t>tests-04</t>
        </is>
      </c>
      <c r="D1666" t="n">
        <v>663</v>
      </c>
      <c r="E1666" t="inlineStr">
        <is>
          <t>sleep(1)</t>
        </is>
      </c>
    </row>
    <row r="1667">
      <c r="A1667" t="inlineStr">
        <is>
          <t>financialwell</t>
        </is>
      </c>
      <c r="B1667" t="inlineStr">
        <is>
          <t>/Users/manczg/Documents/development/financialwell/UITests/FrenchLocaleE2ESmokeTests.swift</t>
        </is>
      </c>
      <c r="C1667" t="inlineStr">
        <is>
          <t>tests-04</t>
        </is>
      </c>
      <c r="D1667" t="n">
        <v>694</v>
      </c>
      <c r="E1667" t="inlineStr">
        <is>
          <t>sleep(1)</t>
        </is>
      </c>
    </row>
    <row r="1668">
      <c r="A1668" t="inlineStr">
        <is>
          <t>financialwell</t>
        </is>
      </c>
      <c r="B1668" t="inlineStr">
        <is>
          <t>/Users/manczg/Documents/development/financialwell/UITests/FrenchLocaleE2ESmokeTests.swift</t>
        </is>
      </c>
      <c r="C1668" t="inlineStr">
        <is>
          <t>tests-04</t>
        </is>
      </c>
      <c r="D1668" t="n">
        <v>717</v>
      </c>
      <c r="E1668" t="inlineStr">
        <is>
          <t>sleep(1)</t>
        </is>
      </c>
    </row>
    <row r="1669">
      <c r="A1669" t="inlineStr">
        <is>
          <t>financialwell</t>
        </is>
      </c>
      <c r="B1669" t="inlineStr">
        <is>
          <t>/Users/manczg/Documents/development/financialwell/UITests/FrenchLocaleE2ESmokeTests.swift</t>
        </is>
      </c>
      <c r="C1669" t="inlineStr">
        <is>
          <t>tests-06</t>
        </is>
      </c>
      <c r="D1669" t="n">
        <v>30</v>
      </c>
      <c r="E1669" t="inlineStr">
        <is>
          <t>var app: XCUIApplication!</t>
        </is>
      </c>
    </row>
    <row r="1670">
      <c r="A1670" t="inlineStr">
        <is>
          <t>financialwell</t>
        </is>
      </c>
      <c r="B1670" t="inlineStr">
        <is>
          <t>/Users/manczg/Documents/development/financialwell/UITests/Authentication/LockScreenUITests.swift</t>
        </is>
      </c>
      <c r="C1670" t="inlineStr">
        <is>
          <t>tests-04</t>
        </is>
      </c>
      <c r="D1670" t="n">
        <v>79</v>
      </c>
      <c r="E1670" t="inlineStr">
        <is>
          <t>sleep(1)</t>
        </is>
      </c>
    </row>
    <row r="1671">
      <c r="A1671" t="inlineStr">
        <is>
          <t>financialwell</t>
        </is>
      </c>
      <c r="B1671" t="inlineStr">
        <is>
          <t>/Users/manczg/Documents/development/financialwell/UITests/Authentication/LockScreenUITests.swift</t>
        </is>
      </c>
      <c r="C1671" t="inlineStr">
        <is>
          <t>tests-04</t>
        </is>
      </c>
      <c r="D1671" t="n">
        <v>87</v>
      </c>
      <c r="E1671" t="inlineStr">
        <is>
          <t>sleep(1)</t>
        </is>
      </c>
    </row>
    <row r="1672">
      <c r="A1672" t="inlineStr">
        <is>
          <t>financialwell</t>
        </is>
      </c>
      <c r="B1672" t="inlineStr">
        <is>
          <t>/Users/manczg/Documents/development/financialwell/UITests/Authentication/LockScreenUITests.swift</t>
        </is>
      </c>
      <c r="C1672" t="inlineStr">
        <is>
          <t>tests-04</t>
        </is>
      </c>
      <c r="D1672" t="n">
        <v>168</v>
      </c>
      <c r="E1672" t="inlineStr">
        <is>
          <t>sleep(2)</t>
        </is>
      </c>
    </row>
    <row r="1673">
      <c r="A1673" t="inlineStr">
        <is>
          <t>financialwell</t>
        </is>
      </c>
      <c r="B1673" t="inlineStr">
        <is>
          <t>/Users/manczg/Documents/development/financialwell/UITests/Authentication/LockScreenUITests.swift</t>
        </is>
      </c>
      <c r="C1673" t="inlineStr">
        <is>
          <t>tests-04</t>
        </is>
      </c>
      <c r="D1673" t="n">
        <v>200</v>
      </c>
      <c r="E1673" t="inlineStr">
        <is>
          <t>sleep(2)</t>
        </is>
      </c>
    </row>
    <row r="1674">
      <c r="A1674" t="inlineStr">
        <is>
          <t>financialwell</t>
        </is>
      </c>
      <c r="B1674" t="inlineStr">
        <is>
          <t>/Users/manczg/Documents/development/financialwell/UITests/Authentication/LockScreenUITests.swift</t>
        </is>
      </c>
      <c r="C1674" t="inlineStr">
        <is>
          <t>tests-04</t>
        </is>
      </c>
      <c r="D1674" t="n">
        <v>234</v>
      </c>
      <c r="E1674" t="inlineStr">
        <is>
          <t>sleep(2)</t>
        </is>
      </c>
    </row>
    <row r="1675">
      <c r="A1675" t="inlineStr">
        <is>
          <t>financialwell</t>
        </is>
      </c>
      <c r="B1675" t="inlineStr">
        <is>
          <t>/Users/manczg/Documents/development/financialwell/UITests/Authentication/LockScreenUITests.swift</t>
        </is>
      </c>
      <c r="C1675" t="inlineStr">
        <is>
          <t>tests-04</t>
        </is>
      </c>
      <c r="D1675" t="n">
        <v>245</v>
      </c>
      <c r="E1675" t="inlineStr">
        <is>
          <t>sleep(1)</t>
        </is>
      </c>
    </row>
    <row r="1676">
      <c r="A1676" t="inlineStr">
        <is>
          <t>financialwell</t>
        </is>
      </c>
      <c r="B1676" t="inlineStr">
        <is>
          <t>/Users/manczg/Documents/development/financialwell/UITests/Authentication/LockScreenUITests.swift</t>
        </is>
      </c>
      <c r="C1676" t="inlineStr">
        <is>
          <t>tests-04</t>
        </is>
      </c>
      <c r="D1676" t="n">
        <v>315</v>
      </c>
      <c r="E1676" t="inlineStr">
        <is>
          <t>sleep(2) // Wait for biometric prompt</t>
        </is>
      </c>
    </row>
    <row r="1677">
      <c r="A1677" t="inlineStr">
        <is>
          <t>financialwell</t>
        </is>
      </c>
      <c r="B1677" t="inlineStr">
        <is>
          <t>/Users/manczg/Documents/development/financialwell/UITests/Authentication/LockScreenUITests.swift</t>
        </is>
      </c>
      <c r="C1677" t="inlineStr">
        <is>
          <t>tests-04</t>
        </is>
      </c>
      <c r="D1677" t="n">
        <v>358</v>
      </c>
      <c r="E1677" t="inlineStr">
        <is>
          <t>sleep(2)</t>
        </is>
      </c>
    </row>
    <row r="1678">
      <c r="A1678" t="inlineStr">
        <is>
          <t>financialwell</t>
        </is>
      </c>
      <c r="B1678" t="inlineStr">
        <is>
          <t>/Users/manczg/Documents/development/financialwell/UITests/Authentication/LockScreenUITests.swift</t>
        </is>
      </c>
      <c r="C1678" t="inlineStr">
        <is>
          <t>tests-04</t>
        </is>
      </c>
      <c r="D1678" t="n">
        <v>384</v>
      </c>
      <c r="E1678" t="inlineStr">
        <is>
          <t>sleep(3) // Allow time for user to enter passcode</t>
        </is>
      </c>
    </row>
    <row r="1679">
      <c r="A1679" t="inlineStr">
        <is>
          <t>financialwell</t>
        </is>
      </c>
      <c r="B1679" t="inlineStr">
        <is>
          <t>/Users/manczg/Documents/development/financialwell/UITests/Authentication/LockScreenUITests.swift</t>
        </is>
      </c>
      <c r="C1679" t="inlineStr">
        <is>
          <t>tests-04</t>
        </is>
      </c>
      <c r="D1679" t="n">
        <v>446</v>
      </c>
      <c r="E1679" t="inlineStr">
        <is>
          <t>sleep(1)</t>
        </is>
      </c>
    </row>
    <row r="1680">
      <c r="A1680" t="inlineStr">
        <is>
          <t>financialwell</t>
        </is>
      </c>
      <c r="B1680" t="inlineStr">
        <is>
          <t>/Users/manczg/Documents/development/financialwell/UITests/Authentication/LockScreenUITests.swift</t>
        </is>
      </c>
      <c r="C1680" t="inlineStr">
        <is>
          <t>tests-04</t>
        </is>
      </c>
      <c r="D1680" t="n">
        <v>454</v>
      </c>
      <c r="E1680" t="inlineStr">
        <is>
          <t>sleep(1)</t>
        </is>
      </c>
    </row>
    <row r="1681">
      <c r="A1681" t="inlineStr">
        <is>
          <t>financialwell</t>
        </is>
      </c>
      <c r="B1681" t="inlineStr">
        <is>
          <t>/Users/manczg/Documents/development/financialwell/UITests/Authentication/LockScreenUITests.swift</t>
        </is>
      </c>
      <c r="C1681" t="inlineStr">
        <is>
          <t>tests-04</t>
        </is>
      </c>
      <c r="D1681" t="n">
        <v>512</v>
      </c>
      <c r="E1681" t="inlineStr">
        <is>
          <t>sleep(1)</t>
        </is>
      </c>
    </row>
    <row r="1682">
      <c r="A1682" t="inlineStr">
        <is>
          <t>financialwell</t>
        </is>
      </c>
      <c r="B1682" t="inlineStr">
        <is>
          <t>/Users/manczg/Documents/development/financialwell/UITests/Authentication/LockScreenUITests.swift</t>
        </is>
      </c>
      <c r="C1682" t="inlineStr">
        <is>
          <t>tests-04</t>
        </is>
      </c>
      <c r="D1682" t="n">
        <v>536</v>
      </c>
      <c r="E1682" t="inlineStr">
        <is>
          <t>sleep(1)</t>
        </is>
      </c>
    </row>
    <row r="1683">
      <c r="A1683" t="inlineStr">
        <is>
          <t>financialwell</t>
        </is>
      </c>
      <c r="B1683" t="inlineStr">
        <is>
          <t>/Users/manczg/Documents/development/financialwell/UITests/Authentication/LockScreenUITests.swift</t>
        </is>
      </c>
      <c r="C1683" t="inlineStr">
        <is>
          <t>tests-04</t>
        </is>
      </c>
      <c r="D1683" t="n">
        <v>602</v>
      </c>
      <c r="E1683" t="inlineStr">
        <is>
          <t>sleep(1)</t>
        </is>
      </c>
    </row>
    <row r="1684">
      <c r="A1684" t="inlineStr">
        <is>
          <t>financialwell</t>
        </is>
      </c>
      <c r="B1684" t="inlineStr">
        <is>
          <t>/Users/manczg/Documents/development/financialwell/UITests/Authentication/LockScreenUITests.swift</t>
        </is>
      </c>
      <c r="C1684" t="inlineStr">
        <is>
          <t>tests-04</t>
        </is>
      </c>
      <c r="D1684" t="n">
        <v>647</v>
      </c>
      <c r="E1684" t="inlineStr">
        <is>
          <t>sleep(2)</t>
        </is>
      </c>
    </row>
    <row r="1685">
      <c r="A1685" t="inlineStr">
        <is>
          <t>financialwell</t>
        </is>
      </c>
      <c r="B1685" t="inlineStr">
        <is>
          <t>/Users/manczg/Documents/development/financialwell/UITests/Authentication/LockScreenUITests.swift</t>
        </is>
      </c>
      <c r="C1685" t="inlineStr">
        <is>
          <t>tests-04</t>
        </is>
      </c>
      <c r="D1685" t="n">
        <v>671</v>
      </c>
      <c r="E1685" t="inlineStr">
        <is>
          <t>sleep(1) // Wait between attempts</t>
        </is>
      </c>
    </row>
    <row r="1686">
      <c r="A1686" t="inlineStr">
        <is>
          <t>financialwell</t>
        </is>
      </c>
      <c r="B1686" t="inlineStr">
        <is>
          <t>/Users/manczg/Documents/development/financialwell/UITests/Authentication/LockScreenUITests.swift</t>
        </is>
      </c>
      <c r="C1686" t="inlineStr">
        <is>
          <t>tests-06</t>
        </is>
      </c>
      <c r="D1686" t="n">
        <v>16</v>
      </c>
      <c r="E1686" t="inlineStr">
        <is>
          <t>var app: XCUIApplication!</t>
        </is>
      </c>
    </row>
    <row r="1687">
      <c r="A1687" t="inlineStr">
        <is>
          <t>financialwell</t>
        </is>
      </c>
      <c r="B1687" t="inlineStr">
        <is>
          <t>/Users/manczg/Documents/development/financialwell/UITests/Authentication/LockScreenUITests.swift</t>
        </is>
      </c>
      <c r="C1687" t="inlineStr">
        <is>
          <t>tests-08</t>
        </is>
      </c>
      <c r="D1687" t="n">
        <v>349</v>
      </c>
      <c r="E1687" t="inlineStr">
        <is>
          <t>XCTSkip("Passcode button not available - may need to fail biometric 5 times first")</t>
        </is>
      </c>
    </row>
    <row r="1688">
      <c r="A1688" t="inlineStr">
        <is>
          <t>financialwell</t>
        </is>
      </c>
      <c r="B1688" t="inlineStr">
        <is>
          <t>/Users/manczg/Documents/development/financialwell/UITests/Authentication/LockScreenUITests.swift</t>
        </is>
      </c>
      <c r="C1688" t="inlineStr">
        <is>
          <t>tests-08</t>
        </is>
      </c>
      <c r="D1688" t="n">
        <v>376</v>
      </c>
      <c r="E1688" t="inlineStr">
        <is>
          <t>XCTSkip("Passcode button not available")</t>
        </is>
      </c>
    </row>
    <row r="1689">
      <c r="A1689" t="inlineStr">
        <is>
          <t>financialwell</t>
        </is>
      </c>
      <c r="B1689" t="inlineStr">
        <is>
          <t>/Users/manczg/Documents/development/financialwell/UITests/Authentication/LockScreenUITests.swift</t>
        </is>
      </c>
      <c r="C1689" t="inlineStr">
        <is>
          <t>tests-08</t>
        </is>
      </c>
      <c r="D1689" t="n">
        <v>408</v>
      </c>
      <c r="E1689" t="inlineStr">
        <is>
          <t>XCTSkip("Passcode button not available")</t>
        </is>
      </c>
    </row>
    <row r="1690">
      <c r="A1690" t="inlineStr">
        <is>
          <t>financialwell</t>
        </is>
      </c>
      <c r="B1690" t="inlineStr">
        <is>
          <t>/Users/manczg/Documents/development/financialwell/UITests/Authentication/LockScreenUITests.swift</t>
        </is>
      </c>
      <c r="C1690" t="inlineStr">
        <is>
          <t>tests-09</t>
        </is>
      </c>
      <c r="D1690" t="n">
        <v>123</v>
      </c>
      <c r="E1690" t="inlineStr">
        <is>
          <t>XCTAssertTrue(true, "App should successfully go to background")</t>
        </is>
      </c>
    </row>
    <row r="1691">
      <c r="A1691" t="inlineStr">
        <is>
          <t>dddd</t>
        </is>
      </c>
      <c r="B1691" t="inlineStr">
        <is>
          <t>/Users/manczg/Documents/development/dddd/src/metrics/pr-cycle-time-dashboard.ts</t>
        </is>
      </c>
      <c r="C1691" t="inlineStr">
        <is>
          <t>arch-02</t>
        </is>
      </c>
      <c r="D1691" t="n">
        <v>1</v>
      </c>
      <c r="E1691" t="inlineStr">
        <is>
          <t>import { desc, eq, inArray, isNotNull } from 'drizzle-orm'</t>
        </is>
      </c>
    </row>
    <row r="1692">
      <c r="A1692" t="inlineStr">
        <is>
          <t>dddd</t>
        </is>
      </c>
      <c r="B1692" t="inlineStr">
        <is>
          <t>/Users/manczg/Documents/development/dddd/src/metrics/pr-cycle-time-dashboard.ts</t>
        </is>
      </c>
      <c r="C1692" t="inlineStr">
        <is>
          <t>clarity-09</t>
        </is>
      </c>
      <c r="D1692" t="n">
        <v>217</v>
      </c>
      <c r="E1692" t="inlineStr">
        <is>
          <t>if (teamMedianHours == null || !Number.isFinite(teamMedianHours) || teamMedianHours &lt;= 0) {</t>
        </is>
      </c>
    </row>
    <row r="1693">
      <c r="A1693" t="inlineStr">
        <is>
          <t>dddd</t>
        </is>
      </c>
      <c r="B1693" t="inlineStr">
        <is>
          <t>/Users/manczg/Documents/development/dddd/src/metrics/pr-cycle-time-dashboard.ts</t>
        </is>
      </c>
      <c r="C1693" t="inlineStr">
        <is>
          <t>clarity-09</t>
        </is>
      </c>
      <c r="D1693" t="n">
        <v>477</v>
      </c>
      <c r="E1693" t="inlineStr">
        <is>
          <t>if (latestRun &amp;&amp; (latestRun.status === 'success' || latestRun.status === 'partial' || latestRun.status === 'failed')) {</t>
        </is>
      </c>
    </row>
    <row r="1694">
      <c r="A1694" t="inlineStr">
        <is>
          <t>dddd</t>
        </is>
      </c>
      <c r="B1694" t="inlineStr">
        <is>
          <t>/Users/manczg/Documents/development/dddd/src/metrics/pr-cycle-time-dashboard.ts</t>
        </is>
      </c>
      <c r="C1694" t="inlineStr">
        <is>
          <t>clarity-09</t>
        </is>
      </c>
      <c r="D1694" t="n">
        <v>482</v>
      </c>
      <c r="E1694" t="inlineStr">
        <is>
          <t>(p) =&gt; p.missingJiraKey &amp;&amp; (p.state === 'open' || mergedInCurrent(p, current.from, current.to)),</t>
        </is>
      </c>
    </row>
    <row r="1695">
      <c r="A1695" t="inlineStr">
        <is>
          <t>dddd</t>
        </is>
      </c>
      <c r="B1695" t="inlineStr">
        <is>
          <t>/Users/manczg/Documents/development/dddd/src/metrics/pr-cycle-time-dashboard.ts</t>
        </is>
      </c>
      <c r="C1695" t="inlineStr">
        <is>
          <t>clarity-09</t>
        </is>
      </c>
      <c r="D1695" t="n">
        <v>507</v>
      </c>
      <c r="E1695" t="inlineStr">
        <is>
          <t>prevTeam.length &gt;= 3 &amp;&amp; prevTeamMedian != null &amp;&amp; prevTeamMedian &gt; 0</t>
        </is>
      </c>
    </row>
    <row r="1696">
      <c r="A1696" t="inlineStr">
        <is>
          <t>dddd</t>
        </is>
      </c>
      <c r="B1696" t="inlineStr">
        <is>
          <t>/Users/manczg/Documents/development/dddd/src/metrics/pr-cycle-time-dashboard.ts</t>
        </is>
      </c>
      <c r="C1696" t="inlineStr">
        <is>
          <t>clarity-09</t>
        </is>
      </c>
      <c r="D1696" t="n">
        <v>803</v>
      </c>
      <c r="E1696" t="inlineStr">
        <is>
          <t>repo &amp;&amp; repo.owner &amp;&amp; repo.repo ? `${repo.owner}/${repo.repo}` : repo?.name ?? ''</t>
        </is>
      </c>
    </row>
    <row r="1697">
      <c r="A1697" t="inlineStr">
        <is>
          <t>dddd</t>
        </is>
      </c>
      <c r="B1697" t="inlineStr">
        <is>
          <t>/Users/manczg/Documents/development/dddd/src/metrics/pr-cycle-time-dashboard.ts</t>
        </is>
      </c>
      <c r="C1697" t="inlineStr">
        <is>
          <t>clarity-09</t>
        </is>
      </c>
      <c r="D1697" t="n">
        <v>509</v>
      </c>
      <c r="E1697" t="inlineStr">
        <is>
          <t>if (</t>
        </is>
      </c>
    </row>
    <row r="1698">
      <c r="A1698" t="inlineStr">
        <is>
          <t>dddd</t>
        </is>
      </c>
      <c r="B1698" t="inlineStr">
        <is>
          <t>/Users/manczg/Documents/development/dddd/src/metrics/pr-cycle-time-dashboard.ts</t>
        </is>
      </c>
      <c r="C1698" t="inlineStr">
        <is>
          <t>clarity-16</t>
        </is>
      </c>
      <c r="D1698" t="n">
        <v>349</v>
      </c>
      <c r="E1698" t="inlineStr">
        <is>
          <t>export async function getPrCycleTimeDashboard(input: PrCycleTimeDashboardInput): Promise&lt;PrCycleTimeDashboard&gt; {</t>
        </is>
      </c>
    </row>
    <row r="1699">
      <c r="A1699" t="inlineStr">
        <is>
          <t>dddd</t>
        </is>
      </c>
      <c r="B1699" t="inlineStr">
        <is>
          <t>/Users/manczg/Documents/development/dddd/src/metrics/pr-cycle-time-dashboard.ts</t>
        </is>
      </c>
      <c r="C1699" t="inlineStr">
        <is>
          <t>clarity-17</t>
        </is>
      </c>
      <c r="D1699" t="n">
        <v>349</v>
      </c>
      <c r="E1699" t="inlineStr">
        <is>
          <t>export async function getPrCycleTimeDashboard(input: PrCycleTimeDashboardInput): Promise&lt;PrCycleTimeDashboard&gt; {</t>
        </is>
      </c>
    </row>
    <row r="1700">
      <c r="A1700" t="inlineStr">
        <is>
          <t>dddd</t>
        </is>
      </c>
      <c r="B1700" t="inlineStr">
        <is>
          <t>/Users/manczg/Documents/development/dddd/src/metrics/pr-cycle-time-dashboard.ts</t>
        </is>
      </c>
      <c r="C1700" t="inlineStr">
        <is>
          <t>safety-11</t>
        </is>
      </c>
      <c r="D1700" t="n">
        <v>351</v>
      </c>
      <c r="E1700" t="inlineStr">
        <is>
          <t>const now = input.now ?? new Date()</t>
        </is>
      </c>
    </row>
    <row r="1701">
      <c r="A1701" t="inlineStr">
        <is>
          <t>dddd</t>
        </is>
      </c>
      <c r="B1701" t="inlineStr">
        <is>
          <t>/Users/manczg/Documents/development/dddd/src/metrics/pr-cycle-time-dashboard.ts</t>
        </is>
      </c>
      <c r="C1701" t="inlineStr">
        <is>
          <t>smells-08</t>
        </is>
      </c>
      <c r="D1701" t="n">
        <v>327</v>
      </c>
      <c r="E1701" t="inlineStr">
        <is>
          <t>function cycleHoursForMerged(pr: PullRequestRecord): number | null {</t>
        </is>
      </c>
    </row>
    <row r="1702">
      <c r="A1702" t="inlineStr">
        <is>
          <t>dddd</t>
        </is>
      </c>
      <c r="B1702" t="inlineStr">
        <is>
          <t>/Users/manczg/Documents/development/dddd/src/metrics/pr-cycle-time-dashboard.ts</t>
        </is>
      </c>
      <c r="C1702" t="inlineStr">
        <is>
          <t>smells-08</t>
        </is>
      </c>
      <c r="D1702" t="n">
        <v>342</v>
      </c>
      <c r="E1702" t="inlineStr">
        <is>
          <t>if (e.type !== 'team_worsened') return null</t>
        </is>
      </c>
    </row>
    <row r="1703">
      <c r="A1703" t="inlineStr">
        <is>
          <t>dddd</t>
        </is>
      </c>
      <c r="B1703" t="inlineStr">
        <is>
          <t>/Users/manczg/Documents/development/dddd/src/metrics/pr-cycle-time-dashboard.ts</t>
        </is>
      </c>
      <c r="C1703" t="inlineStr">
        <is>
          <t>smells-21</t>
        </is>
      </c>
      <c r="D1703" t="n">
        <v>291</v>
      </c>
      <c r="E1703" t="inlineStr">
        <is>
          <t>state: row.state as PullRequestRecord['state'],</t>
        </is>
      </c>
    </row>
    <row r="1704">
      <c r="A1704" t="inlineStr">
        <is>
          <t>dddd</t>
        </is>
      </c>
      <c r="B1704" t="inlineStr">
        <is>
          <t>/Users/manczg/Documents/development/dddd/src/metrics/pr-cycle-time-dashboard.ts</t>
        </is>
      </c>
      <c r="C1704" t="inlineStr">
        <is>
          <t>smells-21</t>
        </is>
      </c>
      <c r="D1704" t="n">
        <v>646</v>
      </c>
      <c r="E1704" t="inlineStr">
        <is>
          <t>state: r.state as ReviewRow['state'],</t>
        </is>
      </c>
    </row>
    <row r="1705">
      <c r="A1705" t="inlineStr">
        <is>
          <t>dddd</t>
        </is>
      </c>
      <c r="B1705" t="inlineStr">
        <is>
          <t>/Users/manczg/Documents/development/dddd/src/metrics/pr-cycle-time-dashboard.ts</t>
        </is>
      </c>
      <c r="C1705" t="inlineStr">
        <is>
          <t>smells-21</t>
        </is>
      </c>
      <c r="D1705" t="n">
        <v>671</v>
      </c>
      <c r="E1705" t="inlineStr">
        <is>
          <t>mergedAt: p.mergedAt as Date,</t>
        </is>
      </c>
    </row>
    <row r="1706">
      <c r="A1706" t="inlineStr">
        <is>
          <t>dddd</t>
        </is>
      </c>
      <c r="B1706" t="inlineStr">
        <is>
          <t>/Users/manczg/Documents/development/dddd/src/metrics/pr-cycle-time-dashboard.ts</t>
        </is>
      </c>
      <c r="C1706" t="inlineStr">
        <is>
          <t>smells-21</t>
        </is>
      </c>
      <c r="D1706" t="n">
        <v>739</v>
      </c>
      <c r="E1706" t="inlineStr">
        <is>
          <t>((a.firstQualifyingHumanReviewAt as Date).getTime() - a.openedAt.getTime()) /</t>
        </is>
      </c>
    </row>
    <row r="1707">
      <c r="A1707" t="inlineStr">
        <is>
          <t>dddd</t>
        </is>
      </c>
      <c r="B1707" t="inlineStr">
        <is>
          <t>/Users/manczg/Documents/development/dddd/src/metrics/pr-cycle-time-dashboard.ts</t>
        </is>
      </c>
      <c r="C1707" t="inlineStr">
        <is>
          <t>smells-21</t>
        </is>
      </c>
      <c r="D1707" t="n">
        <v>746</v>
      </c>
      <c r="E1707" t="inlineStr">
        <is>
          <t>((a.firstQualifyingHumanReviewAt as Date).getTime() - a.openedAt.getTime()) /</t>
        </is>
      </c>
    </row>
    <row r="1708">
      <c r="A1708" t="inlineStr">
        <is>
          <t>dddd</t>
        </is>
      </c>
      <c r="B1708" t="inlineStr">
        <is>
          <t>/Users/manczg/Documents/development/dddd/src/metrics/pr-cycle-time-dashboard.ts</t>
        </is>
      </c>
      <c r="C1708" t="inlineStr">
        <is>
          <t>smells-21</t>
        </is>
      </c>
      <c r="D1708" t="n">
        <v>790</v>
      </c>
      <c r="E1708" t="inlineStr">
        <is>
          <t>...syncedRepos.map((r) =&gt; (r.lastReviewSyncedAt as Date).getTime()),</t>
        </is>
      </c>
    </row>
    <row r="1709">
      <c r="A1709" t="inlineStr">
        <is>
          <t>dddd</t>
        </is>
      </c>
      <c r="B1709" t="inlineStr">
        <is>
          <t>/Users/manczg/Documents/development/dddd/src/metrics/pr-cycle-time-dashboard.ts</t>
        </is>
      </c>
      <c r="C1709" t="inlineStr">
        <is>
          <t>solid-07</t>
        </is>
      </c>
      <c r="D1709" t="n">
        <v>60</v>
      </c>
      <c r="E1709" t="inlineStr">
        <is>
          <t>url: string</t>
        </is>
      </c>
    </row>
    <row r="1710">
      <c r="A1710" t="inlineStr">
        <is>
          <t>dddd</t>
        </is>
      </c>
      <c r="B1710" t="inlineStr">
        <is>
          <t>/Users/manczg/Documents/development/dddd/src/metrics/pr-cycle-time-dashboard.ts</t>
        </is>
      </c>
      <c r="C1710" t="inlineStr">
        <is>
          <t>solid-15</t>
        </is>
      </c>
      <c r="D1710" t="n">
        <v>826</v>
      </c>
      <c r="E1710" t="inlineStr">
        <is>
          <t>if (e.type === 'review_latency_worsened') {</t>
        </is>
      </c>
    </row>
    <row r="1711">
      <c r="A1711" t="inlineStr">
        <is>
          <t>dddd</t>
        </is>
      </c>
      <c r="B1711" t="inlineStr">
        <is>
          <t>/Users/manczg/Documents/development/dddd/src/metrics/pr-cycle-time-dashboard.ts</t>
        </is>
      </c>
      <c r="C1711" t="inlineStr">
        <is>
          <t>solid-15</t>
        </is>
      </c>
      <c r="D1711" t="n">
        <v>829</v>
      </c>
      <c r="E1711" t="inlineStr">
        <is>
          <t>if (e.type === 'merge_without_review') {</t>
        </is>
      </c>
    </row>
    <row r="1712">
      <c r="A1712" t="inlineStr">
        <is>
          <t>dddd</t>
        </is>
      </c>
      <c r="B1712" t="inlineStr">
        <is>
          <t>/Users/manczg/Documents/development/dddd/src/components/dashboard/PrCycleTimeDashboard.tsx</t>
        </is>
      </c>
      <c r="C1712" t="inlineStr">
        <is>
          <t>clarity-09</t>
        </is>
      </c>
      <c r="D1712" t="n">
        <v>115</v>
      </c>
      <c r="E1712" t="inlineStr">
        <is>
          <t>if (row.trendPercent != null &amp;&amp; row.trendPercent &gt; 0 &amp;&amp; maxPos &gt; 0 &amp;&amp; row.trendPercent === maxPos) {</t>
        </is>
      </c>
    </row>
    <row r="1713">
      <c r="A1713" t="inlineStr">
        <is>
          <t>dddd</t>
        </is>
      </c>
      <c r="B1713" t="inlineStr">
        <is>
          <t>/Users/manczg/Documents/development/dddd/src/components/dashboard/PrCycleTimeDashboard.tsx</t>
        </is>
      </c>
      <c r="C1713" t="inlineStr">
        <is>
          <t>clarity-09</t>
        </is>
      </c>
      <c r="D1713" t="n">
        <v>185</v>
      </c>
      <c r="E1713" t="inlineStr">
        <is>
          <t>if (e.type !== 'long_open_prs' || !e.prDetails || e.prDetails.length === 0) return null</t>
        </is>
      </c>
    </row>
    <row r="1714">
      <c r="A1714" t="inlineStr">
        <is>
          <t>dddd</t>
        </is>
      </c>
      <c r="B1714" t="inlineStr">
        <is>
          <t>/Users/manczg/Documents/development/dddd/src/components/dashboard/PrCycleTimeDashboard.tsx</t>
        </is>
      </c>
      <c r="C1714" t="inlineStr">
        <is>
          <t>clarity-09</t>
        </is>
      </c>
      <c r="D1714" t="n">
        <v>334</v>
      </c>
      <c r="E1714" t="inlineStr">
        <is>
          <t>{btnState.status === 'running' &amp;&amp; btnState.inFlightRepos.length &gt; 0 &amp;&amp; (</t>
        </is>
      </c>
    </row>
    <row r="1715">
      <c r="A1715" t="inlineStr">
        <is>
          <t>dddd</t>
        </is>
      </c>
      <c r="B1715" t="inlineStr">
        <is>
          <t>/Users/manczg/Documents/development/dddd/src/components/dashboard/PrCycleTimeDashboard.tsx</t>
        </is>
      </c>
      <c r="C1715" t="inlineStr">
        <is>
          <t>clarity-09</t>
        </is>
      </c>
      <c r="D1715" t="n">
        <v>383</v>
      </c>
      <c r="E1715" t="inlineStr">
        <is>
          <t>{baselinePending &amp;&amp; !noRepos &amp;&amp; !noMerged ? (</t>
        </is>
      </c>
    </row>
    <row r="1716">
      <c r="A1716" t="inlineStr">
        <is>
          <t>dddd</t>
        </is>
      </c>
      <c r="B1716" t="inlineStr">
        <is>
          <t>/Users/manczg/Documents/development/dddd/src/components/dashboard/PrCycleTimeDashboard.tsx</t>
        </is>
      </c>
      <c r="C1716" t="inlineStr">
        <is>
          <t>clarity-09</t>
        </is>
      </c>
      <c r="D1716" t="n">
        <v>439</v>
      </c>
      <c r="E1716" t="inlineStr">
        <is>
          <t>{baselinePending &amp;&amp; !noRepos &amp;&amp; !noMerged ? (</t>
        </is>
      </c>
    </row>
    <row r="1717">
      <c r="A1717" t="inlineStr">
        <is>
          <t>dddd</t>
        </is>
      </c>
      <c r="B1717" t="inlineStr">
        <is>
          <t>/Users/manczg/Documents/development/dddd/src/components/dashboard/PrCycleTimeDashboard.tsx</t>
        </is>
      </c>
      <c r="C1717" t="inlineStr">
        <is>
          <t>clarity-16</t>
        </is>
      </c>
      <c r="D1717" t="n">
        <v>240</v>
      </c>
      <c r="E1717" t="inlineStr">
        <is>
          <t>export function PrCycleTimeDashboard({</t>
        </is>
      </c>
    </row>
    <row r="1718">
      <c r="A1718" t="inlineStr">
        <is>
          <t>dddd</t>
        </is>
      </c>
      <c r="B1718" t="inlineStr">
        <is>
          <t>/Users/manczg/Documents/development/dddd/src/components/dashboard/PrCycleTimeDashboard.tsx</t>
        </is>
      </c>
      <c r="C1718" t="inlineStr">
        <is>
          <t>clarity-17</t>
        </is>
      </c>
      <c r="D1718" t="n">
        <v>240</v>
      </c>
      <c r="E1718" t="inlineStr">
        <is>
          <t>export function PrCycleTimeDashboard({</t>
        </is>
      </c>
    </row>
    <row r="1719">
      <c r="A1719" t="inlineStr">
        <is>
          <t>dddd</t>
        </is>
      </c>
      <c r="B1719" t="inlineStr">
        <is>
          <t>/Users/manczg/Documents/development/dddd/src/components/dashboard/PrCycleTimeDashboard.tsx</t>
        </is>
      </c>
      <c r="C1719" t="inlineStr">
        <is>
          <t>safety-03</t>
        </is>
      </c>
      <c r="D1719" t="n">
        <v>329</v>
      </c>
      <c r="E1719" t="inlineStr">
        <is>
          <t>onClick={btnState.status === 'idle' ? () =&gt; void onRefresh() : undefined}</t>
        </is>
      </c>
    </row>
    <row r="1720">
      <c r="A1720" t="inlineStr">
        <is>
          <t>dddd</t>
        </is>
      </c>
      <c r="B1720" t="inlineStr">
        <is>
          <t>/Users/manczg/Documents/development/dddd/src/components/dashboard/PrCycleTimeDashboard.tsx</t>
        </is>
      </c>
      <c r="C1720" t="inlineStr">
        <is>
          <t>safety-03</t>
        </is>
      </c>
      <c r="D1720" t="n">
        <v>353</v>
      </c>
      <c r="E1720" t="inlineStr">
        <is>
          <t>&lt;button type="button" onClick={() =&gt; void onRefresh?.()}&gt;</t>
        </is>
      </c>
    </row>
    <row r="1721">
      <c r="A1721" t="inlineStr">
        <is>
          <t>dddd</t>
        </is>
      </c>
      <c r="B1721" t="inlineStr">
        <is>
          <t>/Users/manczg/Documents/development/dddd/src/components/dashboard/PrCycleTimeDashboard.tsx</t>
        </is>
      </c>
      <c r="C1721" t="inlineStr">
        <is>
          <t>safety-11</t>
        </is>
      </c>
      <c r="D1721" t="n">
        <v>254</v>
      </c>
      <c r="E1721" t="inlineStr">
        <is>
          <t>const nowMs = Date.now()</t>
        </is>
      </c>
    </row>
    <row r="1722">
      <c r="A1722" t="inlineStr">
        <is>
          <t>dddd</t>
        </is>
      </c>
      <c r="B1722" t="inlineStr">
        <is>
          <t>/Users/manczg/Documents/development/dddd/src/components/dashboard/PrCycleTimeDashboard.tsx</t>
        </is>
      </c>
      <c r="C1722" t="inlineStr">
        <is>
          <t>smells-08</t>
        </is>
      </c>
      <c r="D1722" t="n">
        <v>185</v>
      </c>
      <c r="E1722" t="inlineStr">
        <is>
          <t>if (e.type !== 'long_open_prs' || !e.prDetails || e.prDetails.length === 0) return null</t>
        </is>
      </c>
    </row>
    <row r="1723">
      <c r="A1723" t="inlineStr">
        <is>
          <t>dddd</t>
        </is>
      </c>
      <c r="B1723" t="inlineStr">
        <is>
          <t>/Users/manczg/Documents/development/dddd/src/components/dashboard/PrCycleTimeDashboard.tsx</t>
        </is>
      </c>
      <c r="C1723" t="inlineStr">
        <is>
          <t>smells-08</t>
        </is>
      </c>
      <c r="D1723" t="n">
        <v>217</v>
      </c>
      <c r="E1723" t="inlineStr">
        <is>
          <t>if (e.type !== 'team_worsened') return null</t>
        </is>
      </c>
    </row>
    <row r="1724">
      <c r="A1724" t="inlineStr">
        <is>
          <t>dddd</t>
        </is>
      </c>
      <c r="B1724" t="inlineStr">
        <is>
          <t>/Users/manczg/Documents/development/dddd/src/components/dashboard/PrCycleTimeDashboard.tsx</t>
        </is>
      </c>
      <c r="C1724" t="inlineStr">
        <is>
          <t>smells-08</t>
        </is>
      </c>
      <c r="D1724" t="n">
        <v>219</v>
      </c>
      <c r="E1724" t="inlineStr">
        <is>
          <t>if (tr == null) return null</t>
        </is>
      </c>
    </row>
    <row r="1725">
      <c r="A1725" t="inlineStr">
        <is>
          <t>dddd</t>
        </is>
      </c>
      <c r="B1725" t="inlineStr">
        <is>
          <t>/Users/manczg/Documents/development/dddd/src/components/dashboard/PrCycleTimeDashboard.tsx</t>
        </is>
      </c>
      <c r="C1725" t="inlineStr">
        <is>
          <t>smells-08</t>
        </is>
      </c>
      <c r="D1725" t="n">
        <v>264</v>
      </c>
      <c r="E1725" t="inlineStr">
        <is>
          <t>if (noRepos || noMerged) return null</t>
        </is>
      </c>
    </row>
    <row r="1726">
      <c r="A1726" t="inlineStr">
        <is>
          <t>dddd</t>
        </is>
      </c>
      <c r="B1726" t="inlineStr">
        <is>
          <t>/Users/manczg/Documents/development/dddd/src/components/dashboard/PrCycleTimeDashboard.tsx</t>
        </is>
      </c>
      <c r="C1726" t="inlineStr">
        <is>
          <t>solid-15</t>
        </is>
      </c>
      <c r="D1726" t="n">
        <v>134</v>
      </c>
      <c r="E1726" t="inlineStr">
        <is>
          <t>switch (e.type) {</t>
        </is>
      </c>
    </row>
    <row r="1727">
      <c r="A1727" t="inlineStr">
        <is>
          <t>dddd</t>
        </is>
      </c>
      <c r="B1727" t="inlineStr">
        <is>
          <t>/Users/manczg/Documents/development/dddd/src/components/dashboard/PrCycleTimeDashboard.tsx</t>
        </is>
      </c>
      <c r="C1727" t="inlineStr">
        <is>
          <t>solid-15</t>
        </is>
      </c>
      <c r="D1727" t="n">
        <v>148</v>
      </c>
      <c r="E1727" t="inlineStr">
        <is>
          <t>switch (e.type) {</t>
        </is>
      </c>
    </row>
    <row r="1728">
      <c r="A1728" t="inlineStr">
        <is>
          <t>dddd</t>
        </is>
      </c>
      <c r="B1728" t="inlineStr">
        <is>
          <t>/Users/manczg/Documents/development/dddd/src/components/dashboard/PrCycleTimeDashboard.tsx</t>
        </is>
      </c>
      <c r="C1728" t="inlineStr">
        <is>
          <t>solid-15</t>
        </is>
      </c>
      <c r="D1728" t="n">
        <v>172</v>
      </c>
      <c r="E1728" t="inlineStr">
        <is>
          <t>switch (e.type) {</t>
        </is>
      </c>
    </row>
    <row r="1729">
      <c r="A1729" t="inlineStr">
        <is>
          <t>dddd</t>
        </is>
      </c>
      <c r="B1729" t="inlineStr">
        <is>
          <t>/Users/manczg/Documents/development/dddd/src/components/dashboard/PrCycleTimeDashboard.tsx</t>
        </is>
      </c>
      <c r="C1729" t="inlineStr">
        <is>
          <t>solid-15</t>
        </is>
      </c>
      <c r="D1729" t="n">
        <v>231</v>
      </c>
      <c r="E1729" t="inlineStr">
        <is>
          <t>if (state.status === 'idle') return 'Refresh'</t>
        </is>
      </c>
    </row>
    <row r="1730">
      <c r="A1730" t="inlineStr">
        <is>
          <t>dddd</t>
        </is>
      </c>
      <c r="B1730" t="inlineStr">
        <is>
          <t>/Users/manczg/Documents/development/dddd/src/collector/github-client.ts</t>
        </is>
      </c>
      <c r="C1730" t="inlineStr">
        <is>
          <t>clarity-09</t>
        </is>
      </c>
      <c r="D1730" t="n">
        <v>273</v>
      </c>
      <c r="E1730" t="inlineStr">
        <is>
          <t>if (typeof body === 'object' &amp;&amp; body !== null &amp;&amp; 'message' in body) {</t>
        </is>
      </c>
    </row>
    <row r="1731">
      <c r="A1731" t="inlineStr">
        <is>
          <t>dddd</t>
        </is>
      </c>
      <c r="B1731" t="inlineStr">
        <is>
          <t>/Users/manczg/Documents/development/dddd/src/collector/github-client.ts</t>
        </is>
      </c>
      <c r="C1731" t="inlineStr">
        <is>
          <t>clarity-09</t>
        </is>
      </c>
      <c r="D1731" t="n">
        <v>534</v>
      </c>
      <c r="E1731" t="inlineStr">
        <is>
          <t>typeof body === 'object' &amp;&amp; body !== null &amp;&amp; 'message' in body &amp;&amp; typeof (body as { message: unknown }).message === 'string'</t>
        </is>
      </c>
    </row>
    <row r="1732">
      <c r="A1732" t="inlineStr">
        <is>
          <t>dddd</t>
        </is>
      </c>
      <c r="B1732" t="inlineStr">
        <is>
          <t>/Users/manczg/Documents/development/dddd/src/collector/github-client.ts</t>
        </is>
      </c>
      <c r="C1732" t="inlineStr">
        <is>
          <t>clarity-16</t>
        </is>
      </c>
      <c r="D1732" t="n">
        <v>96</v>
      </c>
      <c r="E1732" t="inlineStr">
        <is>
          <t>function normalizePullRequest(raw: Record&lt;string, unknown&gt;): GitHubPullRequest {</t>
        </is>
      </c>
    </row>
    <row r="1733">
      <c r="A1733" t="inlineStr">
        <is>
          <t>dddd</t>
        </is>
      </c>
      <c r="B1733" t="inlineStr">
        <is>
          <t>/Users/manczg/Documents/development/dddd/src/collector/github-client.ts</t>
        </is>
      </c>
      <c r="C1733" t="inlineStr">
        <is>
          <t>clarity-16</t>
        </is>
      </c>
      <c r="D1733" t="n">
        <v>480</v>
      </c>
      <c r="E1733" t="inlineStr">
        <is>
          <t>async listPullRequests(input: GitHubClientListPullRequestsInput): Promise&lt;GitHubPullRequest[]&gt; {</t>
        </is>
      </c>
    </row>
    <row r="1734">
      <c r="A1734" t="inlineStr">
        <is>
          <t>dddd</t>
        </is>
      </c>
      <c r="B1734" t="inlineStr">
        <is>
          <t>/Users/manczg/Documents/development/dddd/src/collector/github-client.ts</t>
        </is>
      </c>
      <c r="C1734" t="inlineStr">
        <is>
          <t>smells-02</t>
        </is>
      </c>
      <c r="D1734" t="n">
        <v>280</v>
      </c>
      <c r="E1734" t="inlineStr">
        <is>
          <t>function buildListPullsUrl(baseUrl: string, owner: string, repo: string, page: number): string {</t>
        </is>
      </c>
    </row>
    <row r="1735">
      <c r="A1735" t="inlineStr">
        <is>
          <t>dddd</t>
        </is>
      </c>
      <c r="B1735" t="inlineStr">
        <is>
          <t>/Users/manczg/Documents/development/dddd/src/collector/github-client.ts</t>
        </is>
      </c>
      <c r="C1735" t="inlineStr">
        <is>
          <t>smells-08</t>
        </is>
      </c>
      <c r="D1735" t="n">
        <v>90</v>
      </c>
      <c r="E1735" t="inlineStr">
        <is>
          <t>function parseLinkNext(linkHeader: string | null): string | null {</t>
        </is>
      </c>
    </row>
    <row r="1736">
      <c r="A1736" t="inlineStr">
        <is>
          <t>dddd</t>
        </is>
      </c>
      <c r="B1736" t="inlineStr">
        <is>
          <t>/Users/manczg/Documents/development/dddd/src/collector/github-client.ts</t>
        </is>
      </c>
      <c r="C1736" t="inlineStr">
        <is>
          <t>smells-08</t>
        </is>
      </c>
      <c r="D1736" t="n">
        <v>91</v>
      </c>
      <c r="E1736" t="inlineStr">
        <is>
          <t>if (linkHeader === null || linkHeader.trim() === '') return null</t>
        </is>
      </c>
    </row>
    <row r="1737">
      <c r="A1737" t="inlineStr">
        <is>
          <t>dddd</t>
        </is>
      </c>
      <c r="B1737" t="inlineStr">
        <is>
          <t>/Users/manczg/Documents/development/dddd/src/collector/github-client.ts</t>
        </is>
      </c>
      <c r="C1737" t="inlineStr">
        <is>
          <t>smells-08</t>
        </is>
      </c>
      <c r="D1737" t="n">
        <v>260</v>
      </c>
      <c r="E1737" t="inlineStr">
        <is>
          <t>if (text.trim() === '') return null</t>
        </is>
      </c>
    </row>
    <row r="1738">
      <c r="A1738" t="inlineStr">
        <is>
          <t>dddd</t>
        </is>
      </c>
      <c r="B1738" t="inlineStr">
        <is>
          <t>/Users/manczg/Documents/development/dddd/src/collector/github-client.ts</t>
        </is>
      </c>
      <c r="C1738" t="inlineStr">
        <is>
          <t>smells-21</t>
        </is>
      </c>
      <c r="D1738" t="n">
        <v>208</v>
      </c>
      <c r="E1738" t="inlineStr">
        <is>
          <t>if (typeof state !== 'string' || !REVIEW_STATES.has(state as GitHubReviewState)) {</t>
        </is>
      </c>
    </row>
    <row r="1739">
      <c r="A1739" t="inlineStr">
        <is>
          <t>dddd</t>
        </is>
      </c>
      <c r="B1739" t="inlineStr">
        <is>
          <t>/Users/manczg/Documents/development/dddd/src/collector/github-client.ts</t>
        </is>
      </c>
      <c r="C1739" t="inlineStr">
        <is>
          <t>smells-21</t>
        </is>
      </c>
      <c r="D1739" t="n">
        <v>239</v>
      </c>
      <c r="E1739" t="inlineStr">
        <is>
          <t>return { id, state: state as GitHubReviewState, submittedAt: submitted, user }</t>
        </is>
      </c>
    </row>
    <row r="1740">
      <c r="A1740" t="inlineStr">
        <is>
          <t>dddd</t>
        </is>
      </c>
      <c r="B1740" t="inlineStr">
        <is>
          <t>/Users/manczg/Documents/development/dddd/src/collector/github-client.ts</t>
        </is>
      </c>
      <c r="C1740" t="inlineStr">
        <is>
          <t>solid-07</t>
        </is>
      </c>
      <c r="D1740" t="n">
        <v>11</v>
      </c>
      <c r="E1740" t="inlineStr">
        <is>
          <t>url: string</t>
        </is>
      </c>
    </row>
    <row r="1741">
      <c r="A1741" t="inlineStr">
        <is>
          <t>dddd</t>
        </is>
      </c>
      <c r="B1741" t="inlineStr">
        <is>
          <t>/Users/manczg/Documents/development/dddd/src/collector/github-client.ts</t>
        </is>
      </c>
      <c r="C1741" t="inlineStr">
        <is>
          <t>solid-07</t>
        </is>
      </c>
      <c r="D1741" t="n">
        <v>68</v>
      </c>
      <c r="E1741" t="inlineStr">
        <is>
          <t>function trimTrailingSlash(url: string): string {</t>
        </is>
      </c>
    </row>
    <row r="1742">
      <c r="A1742" t="inlineStr">
        <is>
          <t>dddd</t>
        </is>
      </c>
      <c r="B1742" t="inlineStr">
        <is>
          <t>/Users/manczg/Documents/development/dddd/src/components/dashboard/weekly-trend-chart.tsx</t>
        </is>
      </c>
      <c r="C1742" t="inlineStr">
        <is>
          <t>clarity-09</t>
        </is>
      </c>
      <c r="D1742" t="n">
        <v>148</v>
      </c>
      <c r="E1742" t="inlineStr">
        <is>
          <t>!linesMode &amp;&amp; props.comparisonTrend &amp;&amp; isValidComparisonTrend(props.comparisonTrend)</t>
        </is>
      </c>
    </row>
    <row r="1743">
      <c r="A1743" t="inlineStr">
        <is>
          <t>dddd</t>
        </is>
      </c>
      <c r="B1743" t="inlineStr">
        <is>
          <t>/Users/manczg/Documents/development/dddd/src/components/dashboard/weekly-trend-chart.tsx</t>
        </is>
      </c>
      <c r="C1743" t="inlineStr">
        <is>
          <t>clarity-09</t>
        </is>
      </c>
      <c r="D1743" t="n">
        <v>275</v>
      </c>
      <c r="E1743" t="inlineStr">
        <is>
          <t>detachedPoint &amp;&amp; detachedX != null &amp;&amp; detachedPlotY != null</t>
        </is>
      </c>
    </row>
    <row r="1744">
      <c r="A1744" t="inlineStr">
        <is>
          <t>dddd</t>
        </is>
      </c>
      <c r="B1744" t="inlineStr">
        <is>
          <t>/Users/manczg/Documents/development/dddd/src/components/dashboard/weekly-trend-chart.tsx</t>
        </is>
      </c>
      <c r="C1744" t="inlineStr">
        <is>
          <t>clarity-09</t>
        </is>
      </c>
      <c r="D1744" t="n">
        <v>435</v>
      </c>
      <c r="E1744" t="inlineStr">
        <is>
          <t>{detachedPoint &amp;&amp; detachedX != null &amp;&amp; detachedPlotY != null &amp;&amp; detachedLayout ? (</t>
        </is>
      </c>
    </row>
    <row r="1745">
      <c r="A1745" t="inlineStr">
        <is>
          <t>dddd</t>
        </is>
      </c>
      <c r="B1745" t="inlineStr">
        <is>
          <t>/Users/manczg/Documents/development/dddd/src/components/dashboard/weekly-trend-chart.tsx</t>
        </is>
      </c>
      <c r="C1745" t="inlineStr">
        <is>
          <t>clarity-16</t>
        </is>
      </c>
      <c r="D1745" t="n">
        <v>145</v>
      </c>
      <c r="E1745" t="inlineStr">
        <is>
          <t>export function WeeklyTrendChart(props: WeeklyTrendChartProps) {</t>
        </is>
      </c>
    </row>
    <row r="1746">
      <c r="A1746" t="inlineStr">
        <is>
          <t>dddd</t>
        </is>
      </c>
      <c r="B1746" t="inlineStr">
        <is>
          <t>/Users/manczg/Documents/development/dddd/src/components/dashboard/weekly-trend-chart.tsx</t>
        </is>
      </c>
      <c r="C1746" t="inlineStr">
        <is>
          <t>clarity-17</t>
        </is>
      </c>
      <c r="D1746" t="n">
        <v>145</v>
      </c>
      <c r="E1746" t="inlineStr">
        <is>
          <t>export function WeeklyTrendChart(props: WeeklyTrendChartProps) {</t>
        </is>
      </c>
    </row>
    <row r="1747">
      <c r="A1747" t="inlineStr">
        <is>
          <t>dddd</t>
        </is>
      </c>
      <c r="B1747" t="inlineStr">
        <is>
          <t>/Users/manczg/Documents/development/dddd/src/components/dashboard/weekly-trend-chart.tsx</t>
        </is>
      </c>
      <c r="C1747" t="inlineStr">
        <is>
          <t>safety-02</t>
        </is>
      </c>
      <c r="D1747" t="n">
        <v>122</v>
      </c>
      <c r="E1747" t="inlineStr">
        <is>
          <t>const p = points[j]!</t>
        </is>
      </c>
    </row>
    <row r="1748">
      <c r="A1748" t="inlineStr">
        <is>
          <t>dddd</t>
        </is>
      </c>
      <c r="B1748" t="inlineStr">
        <is>
          <t>/Users/manczg/Documents/development/dddd/src/components/dashboard/weekly-trend-chart.tsx</t>
        </is>
      </c>
      <c r="C1748" t="inlineStr">
        <is>
          <t>safety-02</t>
        </is>
      </c>
      <c r="D1748" t="n">
        <v>216</v>
      </c>
      <c r="E1748" t="inlineStr">
        <is>
          <t>(p.i &lt; lineComparisonBucketCount! ? 'previous' : 'current'),</t>
        </is>
      </c>
    </row>
    <row r="1749">
      <c r="A1749" t="inlineStr">
        <is>
          <t>dddd</t>
        </is>
      </c>
      <c r="B1749" t="inlineStr">
        <is>
          <t>/Users/manczg/Documents/development/dddd/src/components/dashboard/weekly-trend-chart.tsx</t>
        </is>
      </c>
      <c r="C1749" t="inlineStr">
        <is>
          <t>safety-02</t>
        </is>
      </c>
      <c r="D1749" t="n">
        <v>251</v>
      </c>
      <c r="E1749" t="inlineStr">
        <is>
          <t>const segmentEnd = run[i + 1]!</t>
        </is>
      </c>
    </row>
    <row r="1750">
      <c r="A1750" t="inlineStr">
        <is>
          <t>dddd</t>
        </is>
      </c>
      <c r="B1750" t="inlineStr">
        <is>
          <t>/Users/manczg/Documents/development/dddd/src/components/dashboard/weekly-trend-chart.tsx</t>
        </is>
      </c>
      <c r="C1750" t="inlineStr">
        <is>
          <t>safety-02</t>
        </is>
      </c>
      <c r="D1750" t="n">
        <v>492</v>
      </c>
      <c r="E1750" t="inlineStr">
        <is>
          <t>const point = weeklyTrend[i]!</t>
        </is>
      </c>
    </row>
    <row r="1751">
      <c r="A1751" t="inlineStr">
        <is>
          <t>dddd</t>
        </is>
      </c>
      <c r="B1751" t="inlineStr">
        <is>
          <t>/Users/manczg/Documents/development/dddd/src/components/dashboard/weekly-trend-chart.tsx</t>
        </is>
      </c>
      <c r="C1751" t="inlineStr">
        <is>
          <t>safety-07</t>
        </is>
      </c>
      <c r="D1751" t="n">
        <v>84</v>
      </c>
      <c r="E1751" t="inlineStr">
        <is>
          <t>// eslint-disable-next-line react-refresh/only-export-components -- Task 3.2 requires this chart selector to be exported.</t>
        </is>
      </c>
    </row>
    <row r="1752">
      <c r="A1752" t="inlineStr">
        <is>
          <t>dddd</t>
        </is>
      </c>
      <c r="B1752" t="inlineStr">
        <is>
          <t>/Users/manczg/Documents/development/dddd/src/components/dashboard/weekly-trend-chart.tsx</t>
        </is>
      </c>
      <c r="C1752" t="inlineStr">
        <is>
          <t>smells-08</t>
        </is>
      </c>
      <c r="D1752" t="n">
        <v>110</v>
      </c>
      <c r="E1752" t="inlineStr">
        <is>
          <t>function chartValue(point: WeeklyTrendPoint, durationScale: DurationScale): number | null {</t>
        </is>
      </c>
    </row>
    <row r="1753">
      <c r="A1753" t="inlineStr">
        <is>
          <t>dddd</t>
        </is>
      </c>
      <c r="B1753" t="inlineStr">
        <is>
          <t>/Users/manczg/Documents/development/dddd/src/collector/pr-size-sync.ts</t>
        </is>
      </c>
      <c r="C1753" t="inlineStr">
        <is>
          <t>arch-02</t>
        </is>
      </c>
      <c r="D1753" t="n">
        <v>4</v>
      </c>
      <c r="E1753" t="inlineStr">
        <is>
          <t>import { and, asc, eq, isNotNull, isNull } from 'drizzle-orm'</t>
        </is>
      </c>
    </row>
    <row r="1754">
      <c r="A1754" t="inlineStr">
        <is>
          <t>dddd</t>
        </is>
      </c>
      <c r="B1754" t="inlineStr">
        <is>
          <t>/Users/manczg/Documents/development/dddd/src/collector/pr-size-sync.ts</t>
        </is>
      </c>
      <c r="C1754" t="inlineStr">
        <is>
          <t>clarity-09</t>
        </is>
      </c>
      <c r="D1754" t="n">
        <v>190</v>
      </c>
      <c r="E1754" t="inlineStr">
        <is>
          <t>if (typeof error === 'object' &amp;&amp; error !== null &amp;&amp; 'code' in error) {</t>
        </is>
      </c>
    </row>
    <row r="1755">
      <c r="A1755" t="inlineStr">
        <is>
          <t>dddd</t>
        </is>
      </c>
      <c r="B1755" t="inlineStr">
        <is>
          <t>/Users/manczg/Documents/development/dddd/src/collector/pr-size-sync.ts</t>
        </is>
      </c>
      <c r="C1755" t="inlineStr">
        <is>
          <t>clarity-09</t>
        </is>
      </c>
      <c r="D1755" t="n">
        <v>146</v>
      </c>
      <c r="E1755" t="inlineStr">
        <is>
          <t>if (</t>
        </is>
      </c>
    </row>
    <row r="1756">
      <c r="A1756" t="inlineStr">
        <is>
          <t>dddd</t>
        </is>
      </c>
      <c r="B1756" t="inlineStr">
        <is>
          <t>/Users/manczg/Documents/development/dddd/src/collector/pr-size-sync.ts</t>
        </is>
      </c>
      <c r="C1756" t="inlineStr">
        <is>
          <t>clarity-16</t>
        </is>
      </c>
      <c r="D1756" t="n">
        <v>425</v>
      </c>
      <c r="E1756" t="inlineStr">
        <is>
          <t>export async function syncRepositoryPrSizes(input: {</t>
        </is>
      </c>
    </row>
    <row r="1757">
      <c r="A1757" t="inlineStr">
        <is>
          <t>dddd</t>
        </is>
      </c>
      <c r="B1757" t="inlineStr">
        <is>
          <t>/Users/manczg/Documents/development/dddd/src/collector/pr-size-sync.ts</t>
        </is>
      </c>
      <c r="C1757" t="inlineStr">
        <is>
          <t>safety-02</t>
        </is>
      </c>
      <c r="D1757" t="n">
        <v>297</v>
      </c>
      <c r="E1757" t="inlineStr">
        <is>
          <t>let best = candidates[0]!</t>
        </is>
      </c>
    </row>
    <row r="1758">
      <c r="A1758" t="inlineStr">
        <is>
          <t>dddd</t>
        </is>
      </c>
      <c r="B1758" t="inlineStr">
        <is>
          <t>/Users/manczg/Documents/development/dddd/src/collector/pr-size-sync.ts</t>
        </is>
      </c>
      <c r="C1758" t="inlineStr">
        <is>
          <t>safety-02</t>
        </is>
      </c>
      <c r="D1758" t="n">
        <v>300</v>
      </c>
      <c r="E1758" t="inlineStr">
        <is>
          <t>const candidate = candidates[index]!</t>
        </is>
      </c>
    </row>
    <row r="1759">
      <c r="A1759" t="inlineStr">
        <is>
          <t>dddd</t>
        </is>
      </c>
      <c r="B1759" t="inlineStr">
        <is>
          <t>/Users/manczg/Documents/development/dddd/src/collector/pr-size-sync.ts</t>
        </is>
      </c>
      <c r="C1759" t="inlineStr">
        <is>
          <t>safety-08</t>
        </is>
      </c>
      <c r="D1759" t="n">
        <v>439</v>
      </c>
      <c r="E1759" t="inlineStr">
        <is>
          <t>const fetchResult = await fetch(input.repoPath)</t>
        </is>
      </c>
    </row>
    <row r="1760">
      <c r="A1760" t="inlineStr">
        <is>
          <t>dddd</t>
        </is>
      </c>
      <c r="B1760" t="inlineStr">
        <is>
          <t>/Users/manczg/Documents/development/dddd/src/collector/pr-size-sync.ts</t>
        </is>
      </c>
      <c r="C1760" t="inlineStr">
        <is>
          <t>smells-08</t>
        </is>
      </c>
      <c r="D1760" t="n">
        <v>335</v>
      </c>
      <c r="E1760" t="inlineStr">
        <is>
          <t>): Promise&lt;string | null&gt; {</t>
        </is>
      </c>
    </row>
    <row r="1761">
      <c r="A1761" t="inlineStr">
        <is>
          <t>dddd</t>
        </is>
      </c>
      <c r="B1761" t="inlineStr">
        <is>
          <t>/Users/manczg/Documents/development/dddd/src/collector/pr-size-sync.ts</t>
        </is>
      </c>
      <c r="C1761" t="inlineStr">
        <is>
          <t>smells-08</t>
        </is>
      </c>
      <c r="D1761" t="n">
        <v>344</v>
      </c>
      <c r="E1761" t="inlineStr">
        <is>
          <t>return null</t>
        </is>
      </c>
    </row>
    <row r="1762">
      <c r="A1762" t="inlineStr">
        <is>
          <t>dddd</t>
        </is>
      </c>
      <c r="B1762" t="inlineStr">
        <is>
          <t>/Users/manczg/Documents/development/dddd/src/collector/pr-size-sync.ts</t>
        </is>
      </c>
      <c r="C1762" t="inlineStr">
        <is>
          <t>smells-08</t>
        </is>
      </c>
      <c r="D1762" t="n">
        <v>356</v>
      </c>
      <c r="E1762" t="inlineStr">
        <is>
          <t>): Promise&lt;string | null&gt; {</t>
        </is>
      </c>
    </row>
    <row r="1763">
      <c r="A1763" t="inlineStr">
        <is>
          <t>dddd</t>
        </is>
      </c>
      <c r="B1763" t="inlineStr">
        <is>
          <t>/Users/manczg/Documents/development/dddd/src/collector/pr-size-sync.ts</t>
        </is>
      </c>
      <c r="C1763" t="inlineStr">
        <is>
          <t>solid-07</t>
        </is>
      </c>
      <c r="D1763" t="n">
        <v>381</v>
      </c>
      <c r="E1763" t="inlineStr">
        <is>
          <t>function pendingSizePrWhere(repositoryId: string) {</t>
        </is>
      </c>
    </row>
    <row r="1764">
      <c r="A1764" t="inlineStr">
        <is>
          <t>dddd</t>
        </is>
      </c>
      <c r="B1764" t="inlineStr">
        <is>
          <t>/Users/manczg/Documents/development/dddd/src/collector/pr-size-sync.ts</t>
        </is>
      </c>
      <c r="C1764" t="inlineStr">
        <is>
          <t>solid-07</t>
        </is>
      </c>
      <c r="D1764" t="n">
        <v>391</v>
      </c>
      <c r="E1764" t="inlineStr">
        <is>
          <t>input: { syncRunId: string; repositoryId: string; source: string; message: string },</t>
        </is>
      </c>
    </row>
    <row r="1765">
      <c r="A1765" t="inlineStr">
        <is>
          <t>dddd</t>
        </is>
      </c>
      <c r="B1765" t="inlineStr">
        <is>
          <t>/Users/manczg/Documents/development/dddd/src/collector/pr-size-sync.ts</t>
        </is>
      </c>
      <c r="C1765" t="inlineStr">
        <is>
          <t>solid-07</t>
        </is>
      </c>
      <c r="D1765" t="n">
        <v>428</v>
      </c>
      <c r="E1765" t="inlineStr">
        <is>
          <t>repositoryId: string</t>
        </is>
      </c>
    </row>
    <row r="1766">
      <c r="A1766" t="inlineStr">
        <is>
          <t>dddd</t>
        </is>
      </c>
      <c r="B1766" t="inlineStr">
        <is>
          <t>/Users/manczg/Documents/development/dddd/src/collector/pr-size-sync.ts</t>
        </is>
      </c>
      <c r="C1766" t="inlineStr">
        <is>
          <t>solid-09</t>
        </is>
      </c>
      <c r="D1766" t="n">
        <v>44</v>
      </c>
      <c r="E1766" t="inlineStr">
        <is>
          <t>let gitExecOverride: GitExecFn | null = null</t>
        </is>
      </c>
    </row>
    <row r="1767">
      <c r="A1767" t="inlineStr">
        <is>
          <t>dddd</t>
        </is>
      </c>
      <c r="B1767" t="inlineStr">
        <is>
          <t>/Users/manczg/Documents/development/dddd/src/collector/pr-size-sync.ts</t>
        </is>
      </c>
      <c r="C1767" t="inlineStr">
        <is>
          <t>solid-09</t>
        </is>
      </c>
      <c r="D1767" t="n">
        <v>45</v>
      </c>
      <c r="E1767" t="inlineStr">
        <is>
          <t>let fetchRepoOverride: typeof fetchRepo | null = null</t>
        </is>
      </c>
    </row>
    <row r="1768">
      <c r="A1768" t="inlineStr">
        <is>
          <t>dddd</t>
        </is>
      </c>
      <c r="B1768" t="inlineStr">
        <is>
          <t>/Users/manczg/Documents/development/dddd/src/collector/pr-size-sync.ts</t>
        </is>
      </c>
      <c r="C1768" t="inlineStr">
        <is>
          <t>solid-09</t>
        </is>
      </c>
      <c r="D1768" t="n">
        <v>46</v>
      </c>
      <c r="E1768" t="inlineStr">
        <is>
          <t>let detectMergeStrategyOverride: typeof detectMergeStrategy | null = null</t>
        </is>
      </c>
    </row>
    <row r="1769">
      <c r="A1769" t="inlineStr">
        <is>
          <t>dddd</t>
        </is>
      </c>
      <c r="B1769" t="inlineStr">
        <is>
          <t>/Users/manczg/Documents/development/dddd/src/collector/pr-size-sync.ts</t>
        </is>
      </c>
      <c r="C1769" t="inlineStr">
        <is>
          <t>solid-09</t>
        </is>
      </c>
      <c r="D1769" t="n">
        <v>47</v>
      </c>
      <c r="E1769" t="inlineStr">
        <is>
          <t>let findCommitForPrOverride: typeof findCommitForPr | null = null</t>
        </is>
      </c>
    </row>
    <row r="1770">
      <c r="A1770" t="inlineStr">
        <is>
          <t>dddd</t>
        </is>
      </c>
      <c r="B1770" t="inlineStr">
        <is>
          <t>/Users/manczg/Documents/development/dddd/src/collector/pr-size-sync.ts</t>
        </is>
      </c>
      <c r="C1770" t="inlineStr">
        <is>
          <t>solid-15</t>
        </is>
      </c>
      <c r="D1770" t="n">
        <v>419</v>
      </c>
      <c r="E1770" t="inlineStr">
        <is>
          <t>if (strategy === 'rebase') {</t>
        </is>
      </c>
    </row>
    <row r="1771">
      <c r="A1771" t="inlineStr">
        <is>
          <t>dddd</t>
        </is>
      </c>
      <c r="B1771" t="inlineStr">
        <is>
          <t>/Users/manczg/Documents/development/dddd/src/components/dashboard/FirstReviewExceptionsPanel.tsx</t>
        </is>
      </c>
      <c r="C1771" t="inlineStr">
        <is>
          <t>smells-08</t>
        </is>
      </c>
      <c r="D1771" t="n">
        <v>35</v>
      </c>
      <c r="E1771" t="inlineStr">
        <is>
          <t>if (e.trendPercent == null || e.type !== 'review_latency_worsened') return null</t>
        </is>
      </c>
    </row>
    <row r="1772">
      <c r="A1772" t="inlineStr">
        <is>
          <t>dddd</t>
        </is>
      </c>
      <c r="B1772" t="inlineStr">
        <is>
          <t>/Users/manczg/Documents/development/dddd/src/components/dashboard/FirstReviewExceptionsPanel.tsx</t>
        </is>
      </c>
      <c r="C1772" t="inlineStr">
        <is>
          <t>solid-15</t>
        </is>
      </c>
      <c r="D1772" t="n">
        <v>11</v>
      </c>
      <c r="E1772" t="inlineStr">
        <is>
          <t>if (e.type === 'review_latency_worsened') return `${e.team} review latency worsened`</t>
        </is>
      </c>
    </row>
    <row r="1773">
      <c r="A1773" t="inlineStr">
        <is>
          <t>dddd</t>
        </is>
      </c>
      <c r="B1773" t="inlineStr">
        <is>
          <t>/Users/manczg/Documents/development/dddd/src/components/dashboard/FirstReviewExceptionsPanel.tsx</t>
        </is>
      </c>
      <c r="C1773" t="inlineStr">
        <is>
          <t>solid-15</t>
        </is>
      </c>
      <c r="D1773" t="n">
        <v>12</v>
      </c>
      <c r="E1773" t="inlineStr">
        <is>
          <t>if (e.type === 'merge_without_review') return `${e.team} merged without review`</t>
        </is>
      </c>
    </row>
    <row r="1774">
      <c r="A1774" t="inlineStr">
        <is>
          <t>dddd</t>
        </is>
      </c>
      <c r="B1774" t="inlineStr">
        <is>
          <t>/Users/manczg/Documents/development/dddd/src/components/dashboard/FirstReviewExceptionsPanel.tsx</t>
        </is>
      </c>
      <c r="C1774" t="inlineStr">
        <is>
          <t>solid-15</t>
        </is>
      </c>
      <c r="D1774" t="n">
        <v>17</v>
      </c>
      <c r="E1774" t="inlineStr">
        <is>
          <t>if (e.type === 'review_latency_worsened') {</t>
        </is>
      </c>
    </row>
    <row r="1775">
      <c r="A1775" t="inlineStr">
        <is>
          <t>dddd</t>
        </is>
      </c>
      <c r="B1775" t="inlineStr">
        <is>
          <t>/Users/manczg/Documents/development/dddd/src/components/dashboard/FirstReviewExceptionsPanel.tsx</t>
        </is>
      </c>
      <c r="C1775" t="inlineStr">
        <is>
          <t>solid-15</t>
        </is>
      </c>
      <c r="D1775" t="n">
        <v>21</v>
      </c>
      <c r="E1775" t="inlineStr">
        <is>
          <t>if (e.type === 'merge_without_review') {</t>
        </is>
      </c>
    </row>
    <row r="1776">
      <c r="A1776" t="inlineStr">
        <is>
          <t>dddd</t>
        </is>
      </c>
      <c r="B1776" t="inlineStr">
        <is>
          <t>/Users/manczg/Documents/development/dddd/src/components/dashboard/FirstReviewExceptionsPanel.tsx</t>
        </is>
      </c>
      <c r="C1776" t="inlineStr">
        <is>
          <t>solid-15</t>
        </is>
      </c>
      <c r="D1776" t="n">
        <v>29</v>
      </c>
      <c r="E1776" t="inlineStr">
        <is>
          <t>if (e.type === 'review_latency_worsened') return 'Start reviews earlier on the affected team'</t>
        </is>
      </c>
    </row>
    <row r="1777">
      <c r="A1777" t="inlineStr">
        <is>
          <t>dddd</t>
        </is>
      </c>
      <c r="B1777" t="inlineStr">
        <is>
          <t>/Users/manczg/Documents/development/dddd/src/components/dashboard/FirstReviewExceptionsPanel.tsx</t>
        </is>
      </c>
      <c r="C1777" t="inlineStr">
        <is>
          <t>solid-15</t>
        </is>
      </c>
      <c r="D1777" t="n">
        <v>30</v>
      </c>
      <c r="E1777" t="inlineStr">
        <is>
          <t>if (e.type === 'merge_without_review') return 'Check fast merges for intentional review policy exceptions'</t>
        </is>
      </c>
    </row>
    <row r="1778">
      <c r="A1778" t="inlineStr">
        <is>
          <t>dddd</t>
        </is>
      </c>
      <c r="B1778" t="inlineStr">
        <is>
          <t>/Users/manczg/Documents/development/dddd/src/components/dashboard/team-label.tsx</t>
        </is>
      </c>
      <c r="C1778" t="inlineStr">
        <is>
          <t>tests-01</t>
        </is>
      </c>
      <c r="D1778" t="n">
        <v>8</v>
      </c>
      <c r="E1778" t="inlineStr">
        <is>
          <t>export function TeamLabel({ team, dotClassName }: Props) {</t>
        </is>
      </c>
    </row>
    <row r="1779">
      <c r="A1779" t="inlineStr">
        <is>
          <t>dddd</t>
        </is>
      </c>
      <c r="B1779" t="inlineStr">
        <is>
          <t>/Users/manczg/Documents/development/dddd/tests/metrics/pr-cycle-time-dashboard.test.ts</t>
        </is>
      </c>
      <c r="C1779" t="inlineStr">
        <is>
          <t>clarity-17</t>
        </is>
      </c>
      <c r="D1779" t="n">
        <v>27</v>
      </c>
      <c r="E1779" t="inlineStr">
        <is>
          <t>describe('pr-cycle-time-dashboard', () =&gt; {</t>
        </is>
      </c>
    </row>
    <row r="1780">
      <c r="A1780" t="inlineStr">
        <is>
          <t>dddd</t>
        </is>
      </c>
      <c r="B1780" t="inlineStr">
        <is>
          <t>/Users/manczg/Documents/development/dddd/tests/metrics/pr-cycle-time-dashboard.test.ts</t>
        </is>
      </c>
      <c r="C1780" t="inlineStr">
        <is>
          <t>safety-02</t>
        </is>
      </c>
      <c r="D1780" t="n">
        <v>36</v>
      </c>
      <c r="E1780" t="inlineStr">
        <is>
          <t>db = createDb(databaseUrl!)</t>
        </is>
      </c>
    </row>
    <row r="1781">
      <c r="A1781" t="inlineStr">
        <is>
          <t>dddd</t>
        </is>
      </c>
      <c r="B1781" t="inlineStr">
        <is>
          <t>/Users/manczg/Documents/development/dddd/tests/metrics/pr-cycle-time-dashboard.test.ts</t>
        </is>
      </c>
      <c r="C1781" t="inlineStr">
        <is>
          <t>safety-02</t>
        </is>
      </c>
      <c r="D1781" t="n">
        <v>131</v>
      </c>
      <c r="E1781" t="inlineStr">
        <is>
          <t>owner: 'owner' in overrides ? overrides.owner! : 'gde-mit',</t>
        </is>
      </c>
    </row>
    <row r="1782">
      <c r="A1782" t="inlineStr">
        <is>
          <t>dddd</t>
        </is>
      </c>
      <c r="B1782" t="inlineStr">
        <is>
          <t>/Users/manczg/Documents/development/dddd/tests/metrics/pr-cycle-time-dashboard.test.ts</t>
        </is>
      </c>
      <c r="C1782" t="inlineStr">
        <is>
          <t>safety-02</t>
        </is>
      </c>
      <c r="D1782" t="n">
        <v>132</v>
      </c>
      <c r="E1782" t="inlineStr">
        <is>
          <t>repo: 'repo' in overrides ? overrides.repo! : 'alpha-svc',</t>
        </is>
      </c>
    </row>
    <row r="1783">
      <c r="A1783" t="inlineStr">
        <is>
          <t>dddd</t>
        </is>
      </c>
      <c r="B1783" t="inlineStr">
        <is>
          <t>/Users/manczg/Documents/development/dddd/tests/metrics/pr-cycle-time-dashboard.test.ts</t>
        </is>
      </c>
      <c r="C1783" t="inlineStr">
        <is>
          <t>safety-02</t>
        </is>
      </c>
      <c r="D1783" t="n">
        <v>692</v>
      </c>
      <c r="E1783" t="inlineStr">
        <is>
          <t>const rc = (await db.select().from(repositories).where(eq(repositories.path, path.join(testRoot, 'Charlie'))))[0]!</t>
        </is>
      </c>
    </row>
    <row r="1784">
      <c r="A1784" t="inlineStr">
        <is>
          <t>dddd</t>
        </is>
      </c>
      <c r="B1784" t="inlineStr">
        <is>
          <t>/Users/manczg/Documents/development/dddd/tests/metrics/pr-cycle-time-dashboard.test.ts</t>
        </is>
      </c>
      <c r="C1784" t="inlineStr">
        <is>
          <t>smells-01</t>
        </is>
      </c>
      <c r="D1784" t="n">
        <v>1</v>
      </c>
      <c r="E1784" t="inlineStr">
        <is>
          <t>file-level: 1149 lines</t>
        </is>
      </c>
    </row>
    <row r="1785">
      <c r="A1785" t="inlineStr">
        <is>
          <t>dddd</t>
        </is>
      </c>
      <c r="B1785" t="inlineStr">
        <is>
          <t>/Users/manczg/Documents/development/dddd/tests/metrics/pr-cycle-time-dashboard.test.ts</t>
        </is>
      </c>
      <c r="C1785" t="inlineStr">
        <is>
          <t>smells-02</t>
        </is>
      </c>
      <c r="D1785" t="n">
        <v>671</v>
      </c>
      <c r="E1785" t="inlineStr">
        <is>
          <t>const makeTeam = async (team: string, prevH: number, curH: number, n0: number) =&gt; {</t>
        </is>
      </c>
    </row>
    <row r="1786">
      <c r="A1786" t="inlineStr">
        <is>
          <t>dddd</t>
        </is>
      </c>
      <c r="B1786" t="inlineStr">
        <is>
          <t>/Users/manczg/Documents/development/dddd/tests/metrics/pr-cycle-time-dashboard.test.ts</t>
        </is>
      </c>
      <c r="C1786" t="inlineStr">
        <is>
          <t>smells-10</t>
        </is>
      </c>
      <c r="D1786" t="n">
        <v>19</v>
      </c>
      <c r="E1786" t="inlineStr">
        <is>
          <t>const databaseUrl = process.env.DATABASE_URL?.trim()</t>
        </is>
      </c>
    </row>
    <row r="1787">
      <c r="A1787" t="inlineStr">
        <is>
          <t>dddd</t>
        </is>
      </c>
      <c r="B1787" t="inlineStr">
        <is>
          <t>/Users/manczg/Documents/development/dddd/tests/components/pr-cycle-time-dashboard.test.tsx</t>
        </is>
      </c>
      <c r="C1787" t="inlineStr">
        <is>
          <t>clarity-17</t>
        </is>
      </c>
      <c r="D1787" t="n">
        <v>114</v>
      </c>
      <c r="E1787" t="inlineStr">
        <is>
          <t>describe.sequential('PrCycleTimeDashboard', () =&gt; {</t>
        </is>
      </c>
    </row>
    <row r="1788">
      <c r="A1788" t="inlineStr">
        <is>
          <t>dddd</t>
        </is>
      </c>
      <c r="B1788" t="inlineStr">
        <is>
          <t>/Users/manczg/Documents/development/dddd/tests/components/pr-cycle-time-dashboard.test.tsx</t>
        </is>
      </c>
      <c r="C1788" t="inlineStr">
        <is>
          <t>safety-02</t>
        </is>
      </c>
      <c r="D1788" t="n">
        <v>235</v>
      </c>
      <c r="E1788" t="inlineStr">
        <is>
          <t>await fireEvent.click(toggles[0]!)</t>
        </is>
      </c>
    </row>
    <row r="1789">
      <c r="A1789" t="inlineStr">
        <is>
          <t>dddd</t>
        </is>
      </c>
      <c r="B1789" t="inlineStr">
        <is>
          <t>/Users/manczg/Documents/development/dddd/tests/components/pr-cycle-time-dashboard.test.tsx</t>
        </is>
      </c>
      <c r="C1789" t="inlineStr">
        <is>
          <t>safety-02</t>
        </is>
      </c>
      <c r="D1789" t="n">
        <v>292</v>
      </c>
      <c r="E1789" t="inlineStr">
        <is>
          <t>await fireEvent.click(screen.getAllByText('How to read this')[2]!)</t>
        </is>
      </c>
    </row>
    <row r="1790">
      <c r="A1790" t="inlineStr">
        <is>
          <t>dddd</t>
        </is>
      </c>
      <c r="B1790" t="inlineStr">
        <is>
          <t>/Users/manczg/Documents/development/dddd/tests/components/pr-cycle-time-dashboard.test.tsx</t>
        </is>
      </c>
      <c r="C1790" t="inlineStr">
        <is>
          <t>safety-02</t>
        </is>
      </c>
      <c r="D1790" t="n">
        <v>783</v>
      </c>
      <c r="E1790" t="inlineStr">
        <is>
          <t>await fireEvent.click(screen.getAllByText('How to read this')[1]!)</t>
        </is>
      </c>
    </row>
    <row r="1791">
      <c r="A1791" t="inlineStr">
        <is>
          <t>dddd</t>
        </is>
      </c>
      <c r="B1791" t="inlineStr">
        <is>
          <t>/Users/manczg/Documents/development/dddd/tests/components/pr-cycle-time-dashboard.test.tsx</t>
        </is>
      </c>
      <c r="C1791" t="inlineStr">
        <is>
          <t>smells-01</t>
        </is>
      </c>
      <c r="D1791" t="n">
        <v>1</v>
      </c>
      <c r="E1791" t="inlineStr">
        <is>
          <t>file-level: 1031 lines</t>
        </is>
      </c>
    </row>
    <row r="1792">
      <c r="A1792" t="inlineStr">
        <is>
          <t>dddd</t>
        </is>
      </c>
      <c r="B1792" t="inlineStr">
        <is>
          <t>/Users/manczg/Documents/development/dddd/tests/components/pr-cycle-time-dashboard.test.tsx</t>
        </is>
      </c>
      <c r="C1792" t="inlineStr">
        <is>
          <t>smells-21</t>
        </is>
      </c>
      <c r="D1792" t="n">
        <v>655</v>
      </c>
      <c r="E1792" t="inlineStr">
        <is>
          <t>} as never,</t>
        </is>
      </c>
    </row>
    <row r="1793">
      <c r="A1793" t="inlineStr">
        <is>
          <t>udemy-top-down-shooter</t>
        </is>
      </c>
      <c r="B1793" t="inlineStr">
        <is>
          <t>/Users/manczg/Documents/development/udemy-top-down-shooter/Assets/PlayerControls.cs</t>
        </is>
      </c>
      <c r="C1793" t="inlineStr">
        <is>
          <t>solid-06</t>
        </is>
      </c>
      <c r="D1793" t="n">
        <v>263</v>
      </c>
      <c r="E1793" t="inlineStr">
        <is>
          <t>public ReadOnlyArray&lt;InputControlScheme&gt; controlSchemes =&gt; asset.controlSchemes;</t>
        </is>
      </c>
    </row>
    <row r="1794">
      <c r="A1794" t="inlineStr">
        <is>
          <t>udemy-top-down-shooter</t>
        </is>
      </c>
      <c r="B1794" t="inlineStr">
        <is>
          <t>/Users/manczg/Documents/development/udemy-top-down-shooter/Assets/PlayerControls.cs</t>
        </is>
      </c>
      <c r="C1794" t="inlineStr">
        <is>
          <t>solid-06</t>
        </is>
      </c>
      <c r="D1794" t="n">
        <v>290</v>
      </c>
      <c r="E1794" t="inlineStr">
        <is>
          <t>public IEnumerable&lt;InputBinding&gt; bindings =&gt; asset.bindings;</t>
        </is>
      </c>
    </row>
    <row r="1795">
      <c r="A1795" t="inlineStr">
        <is>
          <t>udemy-top-down-shooter</t>
        </is>
      </c>
      <c r="B1795" t="inlineStr">
        <is>
          <t>/Users/manczg/Documents/development/udemy-top-down-shooter/Assets/PlayerControls.cs</t>
        </is>
      </c>
      <c r="C1795" t="inlineStr">
        <is>
          <t>solid-06</t>
        </is>
      </c>
      <c r="D1795" t="n">
        <v>320</v>
      </c>
      <c r="E1795" t="inlineStr">
        <is>
          <t>public bool enabled =&gt; Get().enabled;</t>
        </is>
      </c>
    </row>
    <row r="1796">
      <c r="A1796" t="inlineStr">
        <is>
          <t>udemy-top-down-shooter</t>
        </is>
      </c>
      <c r="B1796" t="inlineStr">
        <is>
          <t>/Users/manczg/Documents/development/udemy-top-down-shooter/Assets/PlayerControls.cs</t>
        </is>
      </c>
      <c r="C1796" t="inlineStr">
        <is>
          <t>solid-07</t>
        </is>
      </c>
      <c r="D1796" t="n">
        <v>292</v>
      </c>
      <c r="E1796" t="inlineStr">
        <is>
          <t>public InputAction FindAction(string actionNameOrId, bool throwIfNotFound = false)</t>
        </is>
      </c>
    </row>
    <row r="1797">
      <c r="A1797" t="inlineStr">
        <is>
          <t>udemy-top-down-shooter</t>
        </is>
      </c>
      <c r="B1797" t="inlineStr">
        <is>
          <t>/Users/manczg/Documents/development/udemy-top-down-shooter/Assets/PlayerControls.cs</t>
        </is>
      </c>
      <c r="C1797" t="inlineStr">
        <is>
          <t>solid-10</t>
        </is>
      </c>
      <c r="D1797" t="n">
        <v>370</v>
      </c>
      <c r="E1797" t="inlineStr">
        <is>
          <t>public CharacterActions @Character =&gt; new CharacterActions(this);</t>
        </is>
      </c>
    </row>
    <row r="1798">
      <c r="A1798" t="inlineStr">
        <is>
          <t>udemy-top-down-shooter</t>
        </is>
      </c>
      <c r="B1798" t="inlineStr">
        <is>
          <t>/Users/manczg/Documents/development/udemy-top-down-shooter/Assets/PlayerControls.cs</t>
        </is>
      </c>
      <c r="C1798" t="inlineStr">
        <is>
          <t>tests-01</t>
        </is>
      </c>
      <c r="D1798" t="n">
        <v>18</v>
      </c>
      <c r="E1798" t="inlineStr">
        <is>
          <t>public partial class @PlayerControls: IInputActionCollection2, IDisposable</t>
        </is>
      </c>
    </row>
    <row r="1799">
      <c r="A1799" t="inlineStr">
        <is>
          <t>udemy-top-down-shooter</t>
        </is>
      </c>
      <c r="B1799" t="inlineStr">
        <is>
          <t>/Users/manczg/Documents/development/udemy-top-down-shooter/Assets/PlayerMovement.cs</t>
        </is>
      </c>
      <c r="C1799" t="inlineStr">
        <is>
          <t>smells-10</t>
        </is>
      </c>
      <c r="D1799" t="n">
        <v>100</v>
      </c>
      <c r="E1799" t="inlineStr">
        <is>
          <t>controls.Character.Movement.performed += context =&gt; moveInput = context.ReadValue&lt;Vector2&gt;();</t>
        </is>
      </c>
    </row>
    <row r="1800">
      <c r="A1800" t="inlineStr">
        <is>
          <t>udemy-top-down-shooter</t>
        </is>
      </c>
      <c r="B1800" t="inlineStr">
        <is>
          <t>/Users/manczg/Documents/development/udemy-top-down-shooter/Assets/PlayerMovement.cs</t>
        </is>
      </c>
      <c r="C1800" t="inlineStr">
        <is>
          <t>smells-10</t>
        </is>
      </c>
      <c r="D1800" t="n">
        <v>101</v>
      </c>
      <c r="E1800" t="inlineStr">
        <is>
          <t>controls.Character.Movement.canceled += context =&gt; moveInput = Vector2.zero;</t>
        </is>
      </c>
    </row>
    <row r="1801">
      <c r="A1801" t="inlineStr">
        <is>
          <t>udemy-top-down-shooter</t>
        </is>
      </c>
      <c r="B1801" t="inlineStr">
        <is>
          <t>/Users/manczg/Documents/development/udemy-top-down-shooter/Assets/PlayerMovement.cs</t>
        </is>
      </c>
      <c r="C1801" t="inlineStr">
        <is>
          <t>smells-10</t>
        </is>
      </c>
      <c r="D1801" t="n">
        <v>103</v>
      </c>
      <c r="E1801" t="inlineStr">
        <is>
          <t>controls.Character.Aim.performed += context =&gt; aimInput = context.ReadValue&lt;Vector2&gt;();</t>
        </is>
      </c>
    </row>
    <row r="1802">
      <c r="A1802" t="inlineStr">
        <is>
          <t>udemy-top-down-shooter</t>
        </is>
      </c>
      <c r="B1802" t="inlineStr">
        <is>
          <t>/Users/manczg/Documents/development/udemy-top-down-shooter/Assets/PlayerMovement.cs</t>
        </is>
      </c>
      <c r="C1802" t="inlineStr">
        <is>
          <t>smells-10</t>
        </is>
      </c>
      <c r="D1802" t="n">
        <v>104</v>
      </c>
      <c r="E1802" t="inlineStr">
        <is>
          <t>controls.Character.Aim.canceled += context =&gt; aimInput = Vector2.zero;</t>
        </is>
      </c>
    </row>
    <row r="1803">
      <c r="A1803" t="inlineStr">
        <is>
          <t>udemy-top-down-shooter</t>
        </is>
      </c>
      <c r="B1803" t="inlineStr">
        <is>
          <t>/Users/manczg/Documents/development/udemy-top-down-shooter/Assets/PlayerMovement.cs</t>
        </is>
      </c>
      <c r="C1803" t="inlineStr">
        <is>
          <t>smells-10</t>
        </is>
      </c>
      <c r="D1803" t="n">
        <v>109</v>
      </c>
      <c r="E1803" t="inlineStr">
        <is>
          <t>controls.Character.Run.performed += context =&gt;</t>
        </is>
      </c>
    </row>
    <row r="1804">
      <c r="A1804" t="inlineStr">
        <is>
          <t>udemy-top-down-shooter</t>
        </is>
      </c>
      <c r="B1804" t="inlineStr">
        <is>
          <t>/Users/manczg/Documents/development/udemy-top-down-shooter/Assets/PlayerMovement.cs</t>
        </is>
      </c>
      <c r="C1804" t="inlineStr">
        <is>
          <t>smells-10</t>
        </is>
      </c>
      <c r="D1804" t="n">
        <v>114</v>
      </c>
      <c r="E1804" t="inlineStr">
        <is>
          <t>controls.Character.Run.canceled += context =&gt;</t>
        </is>
      </c>
    </row>
    <row r="1805">
      <c r="A1805" t="inlineStr">
        <is>
          <t>udemy-top-down-shooter</t>
        </is>
      </c>
      <c r="B1805" t="inlineStr">
        <is>
          <t>/Users/manczg/Documents/development/udemy-top-down-shooter/Assets/PlayerMovement.cs</t>
        </is>
      </c>
      <c r="C1805" t="inlineStr">
        <is>
          <t>tests-01</t>
        </is>
      </c>
      <c r="D1805" t="n">
        <v>4</v>
      </c>
      <c r="E1805" t="inlineStr">
        <is>
          <t>public class PlayerMovement : MonoBehaviour</t>
        </is>
      </c>
    </row>
    <row r="1806">
      <c r="A1806" t="inlineStr">
        <is>
          <t>udemy-top-down-shooter</t>
        </is>
      </c>
      <c r="B1806" t="inlineStr">
        <is>
          <t>/Users/manczg/Documents/development/udemy-top-down-shooter/Assets/WeaponVisualController.cs</t>
        </is>
      </c>
      <c r="C1806" t="inlineStr">
        <is>
          <t>tests-01</t>
        </is>
      </c>
      <c r="D1806" t="n">
        <v>6</v>
      </c>
      <c r="E1806" t="inlineStr">
        <is>
          <t>public class WeaponVisualController : MonoBehaviour</t>
        </is>
      </c>
    </row>
    <row r="1807">
      <c r="A1807" t="inlineStr">
        <is>
          <t>udemy-top-down-shooter</t>
        </is>
      </c>
      <c r="B1807" t="inlineStr">
        <is>
          <t>/Users/manczg/Documents/development/udemy-top-down-shooter/Assets/Player.cs</t>
        </is>
      </c>
      <c r="C1807" t="inlineStr">
        <is>
          <t>solid-06</t>
        </is>
      </c>
      <c r="D1807" t="n">
        <v>7</v>
      </c>
      <c r="E1807" t="inlineStr">
        <is>
          <t>public PlayerControls controls;</t>
        </is>
      </c>
    </row>
    <row r="1808">
      <c r="A1808" t="inlineStr">
        <is>
          <t>udemy-top-down-shooter</t>
        </is>
      </c>
      <c r="B1808" t="inlineStr">
        <is>
          <t>/Users/manczg/Documents/development/udemy-top-down-shooter/Assets/Player.cs</t>
        </is>
      </c>
      <c r="C1808" t="inlineStr">
        <is>
          <t>solid-10</t>
        </is>
      </c>
      <c r="D1808" t="n">
        <v>10</v>
      </c>
      <c r="E1808" t="inlineStr">
        <is>
          <t>controls = new PlayerControls();</t>
        </is>
      </c>
    </row>
    <row r="1809">
      <c r="A1809" t="inlineStr">
        <is>
          <t>udemy-top-down-shooter</t>
        </is>
      </c>
      <c r="B1809" t="inlineStr">
        <is>
          <t>/Users/manczg/Documents/development/udemy-top-down-shooter/Assets/Player.cs</t>
        </is>
      </c>
      <c r="C1809" t="inlineStr">
        <is>
          <t>tests-01</t>
        </is>
      </c>
      <c r="D1809" t="n">
        <v>5</v>
      </c>
      <c r="E1809" t="inlineStr">
        <is>
          <t>public class Player : MonoBehaviour</t>
        </is>
      </c>
    </row>
    <row r="1810">
      <c r="A1810" t="inlineStr">
        <is>
          <t>udemy-top-down-shooter</t>
        </is>
      </c>
      <c r="B1810" t="inlineStr">
        <is>
          <t>/Users/manczg/Documents/development/udemy-top-down-shooter/Assets/PlayerWeaponController.cs</t>
        </is>
      </c>
      <c r="C1810" t="inlineStr">
        <is>
          <t>smells-10</t>
        </is>
      </c>
      <c r="D1810" t="n">
        <v>13</v>
      </c>
      <c r="E1810" t="inlineStr">
        <is>
          <t>player.controls.Character.Fire.performed += context =&gt; Shoot(); // When fire input (mouse left click) perfomed, then call the Shoot() function. Don't forget to set the priority of the animation!</t>
        </is>
      </c>
    </row>
    <row r="1811">
      <c r="A1811" t="inlineStr">
        <is>
          <t>udemy-top-down-shooter</t>
        </is>
      </c>
      <c r="B1811" t="inlineStr">
        <is>
          <t>/Users/manczg/Documents/development/udemy-top-down-shooter/Assets/PlayerWeaponController.cs</t>
        </is>
      </c>
      <c r="C1811" t="inlineStr">
        <is>
          <t>tests-01</t>
        </is>
      </c>
      <c r="D1811" t="n">
        <v>5</v>
      </c>
      <c r="E1811" t="inlineStr">
        <is>
          <t>public class PlayerWeaponController : MonoBehaviour</t>
        </is>
      </c>
    </row>
    <row r="1812">
      <c r="A1812" t="inlineStr">
        <is>
          <t>udemy-top-down-shooter</t>
        </is>
      </c>
      <c r="B1812" t="inlineStr">
        <is>
          <t>/Users/manczg/Documents/development/udemy-top-down-shooter/Assets/LeftHandTargetTransform.cs</t>
        </is>
      </c>
      <c r="C1812" t="inlineStr">
        <is>
          <t>tests-01</t>
        </is>
      </c>
      <c r="D1812" t="n">
        <v>5</v>
      </c>
      <c r="E1812" t="inlineStr">
        <is>
          <t>public class LeftHandTargetTransform : MonoBehaviour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file</t>
        </is>
      </c>
      <c r="C1" s="1" t="inlineStr">
        <is>
          <t>check</t>
        </is>
      </c>
      <c r="D1" s="1" t="inlineStr">
        <is>
          <t>line</t>
        </is>
      </c>
      <c r="E1" s="1" t="inlineStr">
        <is>
          <t>verdict</t>
        </is>
      </c>
      <c r="F1" s="1" t="inlineStr">
        <is>
          <t>reason</t>
        </is>
      </c>
    </row>
    <row r="2">
      <c r="A2" t="inlineStr">
        <is>
          <t>archon-search</t>
        </is>
      </c>
      <c r="B2" t="inlineStr">
        <is>
          <t>/Users/manczg/Documents/development/archon-search/archon_search/pipeline.py</t>
        </is>
      </c>
      <c r="C2" t="inlineStr">
        <is>
          <t>clarity-06</t>
        </is>
      </c>
      <c r="D2" t="n">
        <v>95</v>
      </c>
      <c r="E2" t="inlineStr">
        <is>
          <t>TP</t>
        </is>
      </c>
      <c r="F2" t="inlineStr">
        <is>
          <t>class RagFusionSubQueryInfo uses noise-word Info suffix; not a framework-type exception</t>
        </is>
      </c>
    </row>
    <row r="3">
      <c r="A3" t="inlineStr">
        <is>
          <t>archon-search</t>
        </is>
      </c>
      <c r="B3" t="inlineStr">
        <is>
          <t>/Users/manczg/Documents/development/archon-search/archon_search/pipeline.py</t>
        </is>
      </c>
      <c r="C3" t="inlineStr">
        <is>
          <t>clarity-09</t>
        </is>
      </c>
      <c r="D3" t="n">
        <v>1717</v>
      </c>
      <c r="E3" t="inlineStr">
        <is>
          <t>FP</t>
        </is>
      </c>
      <c r="F3" t="inlineStr">
        <is>
          <t>continuation line of named dict-comprehension assignment filter_flags= — condition already carries a name</t>
        </is>
      </c>
    </row>
    <row r="4">
      <c r="A4" t="inlineStr">
        <is>
          <t>archon-search</t>
        </is>
      </c>
      <c r="B4" t="inlineStr">
        <is>
          <t>/Users/manczg/Documents/development/archon-search/archon_search/pipeline.py</t>
        </is>
      </c>
      <c r="C4" t="inlineStr">
        <is>
          <t>clarity-09</t>
        </is>
      </c>
      <c r="D4" t="n">
        <v>1801</v>
      </c>
      <c r="E4" t="inlineStr">
        <is>
          <t>TP</t>
        </is>
      </c>
      <c r="F4" t="inlineStr">
        <is>
          <t>3-term if condition (rerank is False and len&gt;1 and reranker is not None) not extracted</t>
        </is>
      </c>
    </row>
    <row r="5">
      <c r="A5" t="inlineStr">
        <is>
          <t>archon-search</t>
        </is>
      </c>
      <c r="B5" t="inlineStr">
        <is>
          <t>/Users/manczg/Documents/development/archon-search/archon_search/pipeline.py</t>
        </is>
      </c>
      <c r="C5" t="inlineStr">
        <is>
          <t>clarity-09</t>
        </is>
      </c>
      <c r="D5" t="n">
        <v>864</v>
      </c>
      <c r="E5" t="inlineStr">
        <is>
          <t>TP</t>
        </is>
      </c>
      <c r="F5" t="inlineStr">
        <is>
          <t>4-term wrapped if condition not extracted into named predicate</t>
        </is>
      </c>
    </row>
    <row r="6">
      <c r="A6" t="inlineStr">
        <is>
          <t>archon-search</t>
        </is>
      </c>
      <c r="B6" t="inlineStr">
        <is>
          <t>/Users/manczg/Documents/development/archon-search/archon_search/pipeline.py</t>
        </is>
      </c>
      <c r="C6" t="inlineStr">
        <is>
          <t>clarity-09</t>
        </is>
      </c>
      <c r="D6" t="n">
        <v>1059</v>
      </c>
      <c r="E6" t="inlineStr">
        <is>
          <t>TP</t>
        </is>
      </c>
      <c r="F6" t="inlineStr">
        <is>
          <t>4-term wrapped if condition (rag_fusion and ... and ...) not extracted</t>
        </is>
      </c>
    </row>
    <row r="7">
      <c r="A7" t="inlineStr">
        <is>
          <t>archon-search</t>
        </is>
      </c>
      <c r="B7" t="inlineStr">
        <is>
          <t>/Users/manczg/Documents/development/archon-search/archon_search/pipeline.py</t>
        </is>
      </c>
      <c r="C7" t="inlineStr">
        <is>
          <t>clarity-09</t>
        </is>
      </c>
      <c r="D7" t="n">
        <v>1960</v>
      </c>
      <c r="E7" t="inlineStr">
        <is>
          <t>TP</t>
        </is>
      </c>
      <c r="F7" t="inlineStr">
        <is>
          <t>4-term wrapped if condition (rag_fusion and ... and ...) not extracted</t>
        </is>
      </c>
    </row>
    <row r="8">
      <c r="A8" t="inlineStr">
        <is>
          <t>archon-search</t>
        </is>
      </c>
      <c r="B8" t="inlineStr">
        <is>
          <t>/Users/manczg/Documents/development/archon-search/archon_search/pipeline.py</t>
        </is>
      </c>
      <c r="C8" t="inlineStr">
        <is>
          <t>clarity-09</t>
        </is>
      </c>
      <c r="D8" t="n">
        <v>2672</v>
      </c>
      <c r="E8" t="inlineStr">
        <is>
          <t>TP</t>
        </is>
      </c>
      <c r="F8" t="inlineStr">
        <is>
          <t>4-term wrapped if condition (rag_fusion and ... and ...) not extracted</t>
        </is>
      </c>
    </row>
    <row r="9">
      <c r="A9" t="inlineStr">
        <is>
          <t>archon-search</t>
        </is>
      </c>
      <c r="B9" t="inlineStr">
        <is>
          <t>/Users/manczg/Documents/development/archon-search/archon_search/pipeline.py</t>
        </is>
      </c>
      <c r="C9" t="inlineStr">
        <is>
          <t>clarity-09</t>
        </is>
      </c>
      <c r="D9" t="n">
        <v>3457</v>
      </c>
      <c r="E9" t="inlineStr">
        <is>
          <t>TP</t>
        </is>
      </c>
      <c r="F9" t="inlineStr">
        <is>
          <t>3-term wrapped if condition (existing_meta checks) not extracted</t>
        </is>
      </c>
    </row>
    <row r="10">
      <c r="A10" t="inlineStr">
        <is>
          <t>archon-search</t>
        </is>
      </c>
      <c r="B10" t="inlineStr">
        <is>
          <t>/Users/manczg/Documents/development/archon-search/archon_search/pipeline.py</t>
        </is>
      </c>
      <c r="C10" t="inlineStr">
        <is>
          <t>clarity-16</t>
        </is>
      </c>
      <c r="D10" t="n">
        <v>421</v>
      </c>
      <c r="E10" t="inlineStr">
        <is>
          <t>TP</t>
        </is>
      </c>
      <c r="F10" t="inlineStr">
        <is>
          <t>ingest_file spans ~465 lines with dozens of if/try/except branches, far over 10</t>
        </is>
      </c>
    </row>
    <row r="11">
      <c r="A11" t="inlineStr">
        <is>
          <t>archon-search</t>
        </is>
      </c>
      <c r="B11" t="inlineStr">
        <is>
          <t>/Users/manczg/Documents/development/archon-search/archon_search/pipeline.py</t>
        </is>
      </c>
      <c r="C11" t="inlineStr">
        <is>
          <t>clarity-16</t>
        </is>
      </c>
      <c r="D11" t="n">
        <v>888</v>
      </c>
      <c r="E11" t="inlineStr">
        <is>
          <t>TP</t>
        </is>
      </c>
      <c r="F11" t="inlineStr">
        <is>
          <t>ingest_directory has many if/for/try branches, well over 10</t>
        </is>
      </c>
    </row>
    <row r="12">
      <c r="A12" t="inlineStr">
        <is>
          <t>archon-search</t>
        </is>
      </c>
      <c r="B12" t="inlineStr">
        <is>
          <t>/Users/manczg/Documents/development/archon-search/archon_search/pipeline.py</t>
        </is>
      </c>
      <c r="C12" t="inlineStr">
        <is>
          <t>clarity-16</t>
        </is>
      </c>
      <c r="D12" t="n">
        <v>1019</v>
      </c>
      <c r="E12" t="inlineStr">
        <is>
          <t>TP</t>
        </is>
      </c>
      <c r="F12" t="inlineStr">
        <is>
          <t>search() has many if/try/except branches across RAG fusion + graph paths, over 10</t>
        </is>
      </c>
    </row>
    <row r="13">
      <c r="A13" t="inlineStr">
        <is>
          <t>archon-search</t>
        </is>
      </c>
      <c r="B13" t="inlineStr">
        <is>
          <t>/Users/manczg/Documents/development/archon-search/archon_search/pipeline.py</t>
        </is>
      </c>
      <c r="C13" t="inlineStr">
        <is>
          <t>clarity-16</t>
        </is>
      </c>
      <c r="D13" t="n">
        <v>1226</v>
      </c>
      <c r="E13" t="inlineStr">
        <is>
          <t>TP</t>
        </is>
      </c>
      <c r="F13" t="inlineStr">
        <is>
          <t>_search_graph_mode has ~11 branch lines (if/elif/else/ternary) counting the reranker if/else and ternary</t>
        </is>
      </c>
    </row>
    <row r="14">
      <c r="A14" t="inlineStr">
        <is>
          <t>archon-search</t>
        </is>
      </c>
      <c r="B14" t="inlineStr">
        <is>
          <t>/Users/manczg/Documents/development/archon-search/archon_search/pipeline.py</t>
        </is>
      </c>
      <c r="C14" t="inlineStr">
        <is>
          <t>clarity-16</t>
        </is>
      </c>
      <c r="D14" t="n">
        <v>1313</v>
      </c>
      <c r="E14" t="inlineStr">
        <is>
          <t>TP</t>
        </is>
      </c>
      <c r="F14" t="inlineStr">
        <is>
          <t>_search_ppr_mode has ~10-11 branch lines (if/except/for/if-else)</t>
        </is>
      </c>
    </row>
    <row r="15">
      <c r="A15" t="inlineStr">
        <is>
          <t>archon-search</t>
        </is>
      </c>
      <c r="B15" t="inlineStr">
        <is>
          <t>/Users/manczg/Documents/development/archon-search/archon_search/pipeline.py</t>
        </is>
      </c>
      <c r="C15" t="inlineStr">
        <is>
          <t>clarity-16</t>
        </is>
      </c>
      <c r="D15" t="n">
        <v>1459</v>
      </c>
      <c r="E15" t="inlineStr">
        <is>
          <t>TP</t>
        </is>
      </c>
      <c r="F15" t="inlineStr">
        <is>
          <t>_search_local_mode is a long multi-fallback function with 20+ branches</t>
        </is>
      </c>
    </row>
    <row r="16">
      <c r="A16" t="inlineStr">
        <is>
          <t>archon-search</t>
        </is>
      </c>
      <c r="B16" t="inlineStr">
        <is>
          <t>/Users/manczg/Documents/development/archon-search/archon_search/pipeline.py</t>
        </is>
      </c>
      <c r="C16" t="inlineStr">
        <is>
          <t>clarity-16</t>
        </is>
      </c>
      <c r="D16" t="n">
        <v>1683</v>
      </c>
      <c r="E16" t="inlineStr">
        <is>
          <t>TP</t>
        </is>
      </c>
      <c r="F16" t="inlineStr">
        <is>
          <t>_search_standard: ternaries, ifs, comprehension for/if, if/else — exceeds 10 branch-keyword lines</t>
        </is>
      </c>
    </row>
    <row r="17">
      <c r="A17" t="inlineStr">
        <is>
          <t>archon-search</t>
        </is>
      </c>
      <c r="B17" t="inlineStr">
        <is>
          <t>/Users/manczg/Documents/development/archon-search/archon_search/pipeline.py</t>
        </is>
      </c>
      <c r="C17" t="inlineStr">
        <is>
          <t>clarity-16</t>
        </is>
      </c>
      <c r="D17" t="n">
        <v>1740</v>
      </c>
      <c r="E17" t="inlineStr">
        <is>
          <t>TP</t>
        </is>
      </c>
      <c r="F17" t="inlineStr">
        <is>
          <t>explain() spans ~365 lines with dozens of branches across rag-fusion/graph-mode dispatch</t>
        </is>
      </c>
    </row>
    <row r="18">
      <c r="A18" t="inlineStr">
        <is>
          <t>archon-search</t>
        </is>
      </c>
      <c r="B18" t="inlineStr">
        <is>
          <t>/Users/manczg/Documents/development/archon-search/archon_search/pipeline.py</t>
        </is>
      </c>
      <c r="C18" t="inlineStr">
        <is>
          <t>clarity-16</t>
        </is>
      </c>
      <c r="D18" t="n">
        <v>2107</v>
      </c>
      <c r="E18" t="inlineStr">
        <is>
          <t>TP</t>
        </is>
      </c>
      <c r="F18" t="inlineStr">
        <is>
          <t>_explain_naive_graph_candidates has 15+ branch lines (if/except/for/elif/else)</t>
        </is>
      </c>
    </row>
    <row r="19">
      <c r="A19" t="inlineStr">
        <is>
          <t>archon-search</t>
        </is>
      </c>
      <c r="B19" t="inlineStr">
        <is>
          <t>/Users/manczg/Documents/development/archon-search/archon_search/pipeline.py</t>
        </is>
      </c>
      <c r="C19" t="inlineStr">
        <is>
          <t>clarity-16</t>
        </is>
      </c>
      <c r="D19" t="n">
        <v>2241</v>
      </c>
      <c r="E19" t="inlineStr">
        <is>
          <t>TP</t>
        </is>
      </c>
      <c r="F19" t="inlineStr">
        <is>
          <t>_explain_ppr_candidates has 11-12 branch lines (if/except/for/ternary/comprehension)</t>
        </is>
      </c>
    </row>
    <row r="20">
      <c r="A20" t="inlineStr">
        <is>
          <t>archon-search</t>
        </is>
      </c>
      <c r="B20" t="inlineStr">
        <is>
          <t>/Users/manczg/Documents/development/archon-search/archon_search/pipeline.py</t>
        </is>
      </c>
      <c r="C20" t="inlineStr">
        <is>
          <t>clarity-16</t>
        </is>
      </c>
      <c r="D20" t="n">
        <v>2378</v>
      </c>
      <c r="E20" t="inlineStr">
        <is>
          <t>TP</t>
        </is>
      </c>
      <c r="F20" t="inlineStr">
        <is>
          <t>_explain_community_candidates spans ~185 lines with many if/try/for branches</t>
        </is>
      </c>
    </row>
    <row r="21">
      <c r="A21" t="inlineStr">
        <is>
          <t>archon-search</t>
        </is>
      </c>
      <c r="B21" t="inlineStr">
        <is>
          <t>/Users/manczg/Documents/development/archon-search/archon_search/pipeline.py</t>
        </is>
      </c>
      <c r="C21" t="inlineStr">
        <is>
          <t>clarity-16</t>
        </is>
      </c>
      <c r="D21" t="n">
        <v>2624</v>
      </c>
      <c r="E21" t="inlineStr">
        <is>
          <t>TP</t>
        </is>
      </c>
      <c r="F21" t="inlineStr">
        <is>
          <t>search_many spans ~577 lines with dozens of branches</t>
        </is>
      </c>
    </row>
    <row r="22">
      <c r="A22" t="inlineStr">
        <is>
          <t>archon-search</t>
        </is>
      </c>
      <c r="B22" t="inlineStr">
        <is>
          <t>/Users/manczg/Documents/development/archon-search/archon_search/pipeline.py</t>
        </is>
      </c>
      <c r="C22" t="inlineStr">
        <is>
          <t>clarity-16</t>
        </is>
      </c>
      <c r="D22" t="n">
        <v>2980</v>
      </c>
      <c r="E22" t="inlineStr">
        <is>
          <t>TP</t>
        </is>
      </c>
      <c r="F22" t="inlineStr">
        <is>
          <t>_local_leg (incl. nested _hybrid_fallback) has 15+ branch lines</t>
        </is>
      </c>
    </row>
    <row r="23">
      <c r="A23" t="inlineStr">
        <is>
          <t>archon-search</t>
        </is>
      </c>
      <c r="B23" t="inlineStr">
        <is>
          <t>/Users/manczg/Documents/development/archon-search/archon_search/pipeline.py</t>
        </is>
      </c>
      <c r="C23" t="inlineStr">
        <is>
          <t>clarity-16</t>
        </is>
      </c>
      <c r="D23" t="n">
        <v>3436</v>
      </c>
      <c r="E23" t="inlineStr">
        <is>
          <t>TP</t>
        </is>
      </c>
      <c r="F23" t="inlineStr">
        <is>
          <t>recompute_collection_meta has ~10-12 branch lines (if/else/ternary) across two meta-construction paths</t>
        </is>
      </c>
    </row>
    <row r="24">
      <c r="A24" t="inlineStr">
        <is>
          <t>archon-search</t>
        </is>
      </c>
      <c r="B24" t="inlineStr">
        <is>
          <t>/Users/manczg/Documents/development/archon-search/archon_search/pipeline.py</t>
        </is>
      </c>
      <c r="C24" t="inlineStr">
        <is>
          <t>clarity-17</t>
        </is>
      </c>
      <c r="D24" t="n">
        <v>421</v>
      </c>
      <c r="E24" t="inlineStr">
        <is>
          <t>TP</t>
        </is>
      </c>
      <c r="F24" t="inlineStr">
        <is>
          <t>ingest_file spans lines 421-886, ~465 lines, far over 150</t>
        </is>
      </c>
    </row>
    <row r="25">
      <c r="A25" t="inlineStr">
        <is>
          <t>archon-search</t>
        </is>
      </c>
      <c r="B25" t="inlineStr">
        <is>
          <t>/Users/manczg/Documents/development/archon-search/archon_search/pipeline.py</t>
        </is>
      </c>
      <c r="C25" t="inlineStr">
        <is>
          <t>clarity-17</t>
        </is>
      </c>
      <c r="D25" t="n">
        <v>1019</v>
      </c>
      <c r="E25" t="inlineStr">
        <is>
          <t>TP</t>
        </is>
      </c>
      <c r="F25" t="inlineStr">
        <is>
          <t>search spans lines 1019-1224, ~206 lines, over 150</t>
        </is>
      </c>
    </row>
    <row r="26">
      <c r="A26" t="inlineStr">
        <is>
          <t>archon-search</t>
        </is>
      </c>
      <c r="B26" t="inlineStr">
        <is>
          <t>/Users/manczg/Documents/development/archon-search/archon_search/pipeline.py</t>
        </is>
      </c>
      <c r="C26" t="inlineStr">
        <is>
          <t>clarity-17</t>
        </is>
      </c>
      <c r="D26" t="n">
        <v>1459</v>
      </c>
      <c r="E26" t="inlineStr">
        <is>
          <t>TP</t>
        </is>
      </c>
      <c r="F26" t="inlineStr">
        <is>
          <t>_search_local_mode spans lines 1459-1681, ~223 lines, over 150</t>
        </is>
      </c>
    </row>
    <row r="27">
      <c r="A27" t="inlineStr">
        <is>
          <t>archon-search</t>
        </is>
      </c>
      <c r="B27" t="inlineStr">
        <is>
          <t>/Users/manczg/Documents/development/archon-search/archon_search/pipeline.py</t>
        </is>
      </c>
      <c r="C27" t="inlineStr">
        <is>
          <t>clarity-17</t>
        </is>
      </c>
      <c r="D27" t="n">
        <v>1740</v>
      </c>
      <c r="E27" t="inlineStr">
        <is>
          <t>TP</t>
        </is>
      </c>
      <c r="F27" t="inlineStr">
        <is>
          <t>explain spans lines 1740-2105, ~366 lines, far over 150</t>
        </is>
      </c>
    </row>
    <row r="28">
      <c r="A28" t="inlineStr">
        <is>
          <t>archon-search</t>
        </is>
      </c>
      <c r="B28" t="inlineStr">
        <is>
          <t>/Users/manczg/Documents/development/archon-search/archon_search/pipeline.py</t>
        </is>
      </c>
      <c r="C28" t="inlineStr">
        <is>
          <t>clarity-17</t>
        </is>
      </c>
      <c r="D28" t="n">
        <v>2378</v>
      </c>
      <c r="E28" t="inlineStr">
        <is>
          <t>TP</t>
        </is>
      </c>
      <c r="F28" t="inlineStr">
        <is>
          <t>_explain_community_candidates spans lines 2378-2562, ~185 lines, over 150</t>
        </is>
      </c>
    </row>
    <row r="29">
      <c r="A29" t="inlineStr">
        <is>
          <t>archon-search</t>
        </is>
      </c>
      <c r="B29" t="inlineStr">
        <is>
          <t>/Users/manczg/Documents/development/archon-search/archon_search/pipeline.py</t>
        </is>
      </c>
      <c r="C29" t="inlineStr">
        <is>
          <t>clarity-17</t>
        </is>
      </c>
      <c r="D29" t="n">
        <v>2624</v>
      </c>
      <c r="E29" t="inlineStr">
        <is>
          <t>TP</t>
        </is>
      </c>
      <c r="F29" t="inlineStr">
        <is>
          <t>search_many spans lines 2624-3200, ~577 lines, far over 150</t>
        </is>
      </c>
    </row>
    <row r="30">
      <c r="A30" t="inlineStr">
        <is>
          <t>archon-search</t>
        </is>
      </c>
      <c r="B30" t="inlineStr">
        <is>
          <t>/Users/manczg/Documents/development/archon-search/archon_search/pipeline.py</t>
        </is>
      </c>
      <c r="C30" t="inlineStr">
        <is>
          <t>ddd-01</t>
        </is>
      </c>
      <c r="D30" t="n">
        <v>52</v>
      </c>
      <c r="E30" t="inlineStr">
        <is>
          <t>TP</t>
        </is>
      </c>
      <c r="F30" t="inlineStr">
        <is>
          <t>SearchPipelineResult: identity-free @dataclass data carrier, mutable, no frozen=True; matches check's own example</t>
        </is>
      </c>
    </row>
    <row r="31">
      <c r="A31" t="inlineStr">
        <is>
          <t>archon-search</t>
        </is>
      </c>
      <c r="B31" t="inlineStr">
        <is>
          <t>/Users/manczg/Documents/development/archon-search/archon_search/pipeline.py</t>
        </is>
      </c>
      <c r="C31" t="inlineStr">
        <is>
          <t>ddd-01</t>
        </is>
      </c>
      <c r="D31" t="n">
        <v>66</v>
      </c>
      <c r="E31" t="inlineStr">
        <is>
          <t>TP</t>
        </is>
      </c>
      <c r="F31" t="inlineStr">
        <is>
          <t>SearchWithContextResult: identity-free @dataclass result carrier, mutable, no frozen=True</t>
        </is>
      </c>
    </row>
    <row r="32">
      <c r="A32" t="inlineStr">
        <is>
          <t>archon-search</t>
        </is>
      </c>
      <c r="B32" t="inlineStr">
        <is>
          <t>/Users/manczg/Documents/development/archon-search/archon_search/pipeline.py</t>
        </is>
      </c>
      <c r="C32" t="inlineStr">
        <is>
          <t>ddd-01</t>
        </is>
      </c>
      <c r="D32" t="n">
        <v>94</v>
      </c>
      <c r="E32" t="inlineStr">
        <is>
          <t>TP</t>
        </is>
      </c>
      <c r="F32" t="inlineStr">
        <is>
          <t>RagFusionSubQueryInfo: identity-free @dataclass data carrier, mutable, no frozen=True</t>
        </is>
      </c>
    </row>
    <row r="33">
      <c r="A33" t="inlineStr">
        <is>
          <t>archon-search</t>
        </is>
      </c>
      <c r="B33" t="inlineStr">
        <is>
          <t>/Users/manczg/Documents/development/archon-search/archon_search/pipeline.py</t>
        </is>
      </c>
      <c r="C33" t="inlineStr">
        <is>
          <t>ddd-01</t>
        </is>
      </c>
      <c r="D33" t="n">
        <v>107</v>
      </c>
      <c r="E33" t="inlineStr">
        <is>
          <t>TP</t>
        </is>
      </c>
      <c r="F33" t="inlineStr">
        <is>
          <t>ExplainPipelineResult: identity-free @dataclass data carrier, mutable, no frozen=True</t>
        </is>
      </c>
    </row>
    <row r="34">
      <c r="A34" t="inlineStr">
        <is>
          <t>archon-search</t>
        </is>
      </c>
      <c r="B34" t="inlineStr">
        <is>
          <t>/Users/manczg/Documents/development/archon-search/archon_search/pipeline.py</t>
        </is>
      </c>
      <c r="C34" t="inlineStr">
        <is>
          <t>safety-07</t>
        </is>
      </c>
      <c r="D34" t="n">
        <v>176</v>
      </c>
      <c r="E34" t="inlineStr">
        <is>
          <t>TP</t>
        </is>
      </c>
      <c r="F34" t="inlineStr">
        <is>
          <t># type: ignore[arg-type] suppresses type checker in production code</t>
        </is>
      </c>
    </row>
    <row r="35">
      <c r="A35" t="inlineStr">
        <is>
          <t>archon-search</t>
        </is>
      </c>
      <c r="B35" t="inlineStr">
        <is>
          <t>/Users/manczg/Documents/development/archon-search/archon_search/pipeline.py</t>
        </is>
      </c>
      <c r="C35" t="inlineStr">
        <is>
          <t>safety-07</t>
        </is>
      </c>
      <c r="D35" t="n">
        <v>294</v>
      </c>
      <c r="E35" t="inlineStr">
        <is>
          <t>TP</t>
        </is>
      </c>
      <c r="F35" t="inlineStr">
        <is>
          <t># noqa: PLC0415 suppresses lint rule in production code</t>
        </is>
      </c>
    </row>
    <row r="36">
      <c r="A36" t="inlineStr">
        <is>
          <t>archon-search</t>
        </is>
      </c>
      <c r="B36" t="inlineStr">
        <is>
          <t>/Users/manczg/Documents/development/archon-search/archon_search/pipeline.py</t>
        </is>
      </c>
      <c r="C36" t="inlineStr">
        <is>
          <t>safety-07</t>
        </is>
      </c>
      <c r="D36" t="n">
        <v>1047</v>
      </c>
      <c r="E36" t="inlineStr">
        <is>
          <t>TP</t>
        </is>
      </c>
      <c r="F36" t="inlineStr">
        <is>
          <t># type: ignore[return-value] suppresses type checker</t>
        </is>
      </c>
    </row>
    <row r="37">
      <c r="A37" t="inlineStr">
        <is>
          <t>archon-search</t>
        </is>
      </c>
      <c r="B37" t="inlineStr">
        <is>
          <t>/Users/manczg/Documents/development/archon-search/archon_search/pipeline.py</t>
        </is>
      </c>
      <c r="C37" t="inlineStr">
        <is>
          <t>safety-07</t>
        </is>
      </c>
      <c r="D37" t="n">
        <v>1065</v>
      </c>
      <c r="E37" t="inlineStr">
        <is>
          <t>TP</t>
        </is>
      </c>
      <c r="F37" t="inlineStr">
        <is>
          <t># noqa: PLC0415 suppresses lint rule for deferred import</t>
        </is>
      </c>
    </row>
    <row r="38">
      <c r="A38" t="inlineStr">
        <is>
          <t>archon-search</t>
        </is>
      </c>
      <c r="B38" t="inlineStr">
        <is>
          <t>/Users/manczg/Documents/development/archon-search/archon_search/pipeline.py</t>
        </is>
      </c>
      <c r="C38" t="inlineStr">
        <is>
          <t>safety-07</t>
        </is>
      </c>
      <c r="D38" t="n">
        <v>1159</v>
      </c>
      <c r="E38" t="inlineStr">
        <is>
          <t>TP</t>
        </is>
      </c>
      <c r="F38" t="inlineStr">
        <is>
          <t># type: ignore[arg-type] suppresses type checker</t>
        </is>
      </c>
    </row>
    <row r="39">
      <c r="A39" t="inlineStr">
        <is>
          <t>archon-search</t>
        </is>
      </c>
      <c r="B39" t="inlineStr">
        <is>
          <t>/Users/manczg/Documents/development/archon-search/archon_search/pipeline.py</t>
        </is>
      </c>
      <c r="C39" t="inlineStr">
        <is>
          <t>safety-07</t>
        </is>
      </c>
      <c r="D39" t="n">
        <v>1966</v>
      </c>
      <c r="E39" t="inlineStr">
        <is>
          <t>TP</t>
        </is>
      </c>
      <c r="F39" t="inlineStr">
        <is>
          <t># noqa: PLC0415 suppresses lint rule for deferred import</t>
        </is>
      </c>
    </row>
    <row r="40">
      <c r="A40" t="inlineStr">
        <is>
          <t>archon-search</t>
        </is>
      </c>
      <c r="B40" t="inlineStr">
        <is>
          <t>/Users/manczg/Documents/development/archon-search/archon_search/pipeline.py</t>
        </is>
      </c>
      <c r="C40" t="inlineStr">
        <is>
          <t>safety-07</t>
        </is>
      </c>
      <c r="D40" t="n">
        <v>2039</v>
      </c>
      <c r="E40" t="inlineStr">
        <is>
          <t>TP</t>
        </is>
      </c>
      <c r="F40" t="inlineStr">
        <is>
          <t># type: ignore[arg-type] suppresses type checker</t>
        </is>
      </c>
    </row>
    <row r="41">
      <c r="A41" t="inlineStr">
        <is>
          <t>archon-search</t>
        </is>
      </c>
      <c r="B41" t="inlineStr">
        <is>
          <t>/Users/manczg/Documents/development/archon-search/archon_search/pipeline.py</t>
        </is>
      </c>
      <c r="C41" t="inlineStr">
        <is>
          <t>safety-07</t>
        </is>
      </c>
      <c r="D41" t="n">
        <v>2678</v>
      </c>
      <c r="E41" t="inlineStr">
        <is>
          <t>TP</t>
        </is>
      </c>
      <c r="F41" t="inlineStr">
        <is>
          <t># noqa: PLC0415 suppresses lint rule for deferred import</t>
        </is>
      </c>
    </row>
    <row r="42">
      <c r="A42" t="inlineStr">
        <is>
          <t>archon-search</t>
        </is>
      </c>
      <c r="B42" t="inlineStr">
        <is>
          <t>/Users/manczg/Documents/development/archon-search/archon_search/pipeline.py</t>
        </is>
      </c>
      <c r="C42" t="inlineStr">
        <is>
          <t>safety-07</t>
        </is>
      </c>
      <c r="D42" t="n">
        <v>2770</v>
      </c>
      <c r="E42" t="inlineStr">
        <is>
          <t>TP</t>
        </is>
      </c>
      <c r="F42" t="inlineStr">
        <is>
          <t># type: ignore[arg-type] suppresses type checker</t>
        </is>
      </c>
    </row>
    <row r="43">
      <c r="A43" t="inlineStr">
        <is>
          <t>archon-search</t>
        </is>
      </c>
      <c r="B43" t="inlineStr">
        <is>
          <t>/Users/manczg/Documents/development/archon-search/archon_search/pipeline.py</t>
        </is>
      </c>
      <c r="C43" t="inlineStr">
        <is>
          <t>safety-07</t>
        </is>
      </c>
      <c r="D43" t="n">
        <v>3205</v>
      </c>
      <c r="E43" t="inlineStr">
        <is>
          <t>TP</t>
        </is>
      </c>
      <c r="F43" t="inlineStr">
        <is>
          <t># type: ignore[no-untyped-def] suppresses type checker</t>
        </is>
      </c>
    </row>
    <row r="44">
      <c r="A44" t="inlineStr">
        <is>
          <t>archon-search</t>
        </is>
      </c>
      <c r="B44" t="inlineStr">
        <is>
          <t>/Users/manczg/Documents/development/archon-search/archon_search/pipeline.py</t>
        </is>
      </c>
      <c r="C44" t="inlineStr">
        <is>
          <t>safety-07</t>
        </is>
      </c>
      <c r="D44" t="n">
        <v>3215</v>
      </c>
      <c r="E44" t="inlineStr">
        <is>
          <t>TP</t>
        </is>
      </c>
      <c r="F44" t="inlineStr">
        <is>
          <t># type: ignore[no-untyped-def] suppresses type checker</t>
        </is>
      </c>
    </row>
    <row r="45">
      <c r="A45" t="inlineStr">
        <is>
          <t>archon-search</t>
        </is>
      </c>
      <c r="B45" t="inlineStr">
        <is>
          <t>/Users/manczg/Documents/development/archon-search/archon_search/pipeline.py</t>
        </is>
      </c>
      <c r="C45" t="inlineStr">
        <is>
          <t>safety-07</t>
        </is>
      </c>
      <c r="D45" t="n">
        <v>3565</v>
      </c>
      <c r="E45" t="inlineStr">
        <is>
          <t>TP</t>
        </is>
      </c>
      <c r="F45" t="inlineStr">
        <is>
          <t># noqa: PLC0415 suppresses lint rule for deferred import</t>
        </is>
      </c>
    </row>
    <row r="46">
      <c r="A46" t="inlineStr">
        <is>
          <t>archon-search</t>
        </is>
      </c>
      <c r="B46" t="inlineStr">
        <is>
          <t>/Users/manczg/Documents/development/archon-search/archon_search/pipeline.py</t>
        </is>
      </c>
      <c r="C46" t="inlineStr">
        <is>
          <t>safety-07</t>
        </is>
      </c>
      <c r="D46" t="n">
        <v>3574</v>
      </c>
      <c r="E46" t="inlineStr">
        <is>
          <t>TP</t>
        </is>
      </c>
      <c r="F46" t="inlineStr">
        <is>
          <t># noqa: PLC0415 suppresses lint rule for deferred import</t>
        </is>
      </c>
    </row>
    <row r="47">
      <c r="A47" t="inlineStr">
        <is>
          <t>archon-search</t>
        </is>
      </c>
      <c r="B47" t="inlineStr">
        <is>
          <t>/Users/manczg/Documents/development/archon-search/archon_search/pipeline.py</t>
        </is>
      </c>
      <c r="C47" t="inlineStr">
        <is>
          <t>safety-07</t>
        </is>
      </c>
      <c r="D47" t="n">
        <v>3606</v>
      </c>
      <c r="E47" t="inlineStr">
        <is>
          <t>TP</t>
        </is>
      </c>
      <c r="F47" t="inlineStr">
        <is>
          <t># noqa: PLC0415 suppresses lint rule for deferred import</t>
        </is>
      </c>
    </row>
    <row r="48">
      <c r="A48" t="inlineStr">
        <is>
          <t>archon-search</t>
        </is>
      </c>
      <c r="B48" t="inlineStr">
        <is>
          <t>/Users/manczg/Documents/development/archon-search/archon_search/pipeline.py</t>
        </is>
      </c>
      <c r="C48" t="inlineStr">
        <is>
          <t>safety-07</t>
        </is>
      </c>
      <c r="D48" t="n">
        <v>3607</v>
      </c>
      <c r="E48" t="inlineStr">
        <is>
          <t>TP</t>
        </is>
      </c>
      <c r="F48" t="inlineStr">
        <is>
          <t># noqa: PLC0415 suppresses lint rule for deferred import</t>
        </is>
      </c>
    </row>
    <row r="49">
      <c r="A49" t="inlineStr">
        <is>
          <t>archon-search</t>
        </is>
      </c>
      <c r="B49" t="inlineStr">
        <is>
          <t>/Users/manczg/Documents/development/archon-search/archon_search/pipeline.py</t>
        </is>
      </c>
      <c r="C49" t="inlineStr">
        <is>
          <t>safety-07</t>
        </is>
      </c>
      <c r="D49" t="n">
        <v>3608</v>
      </c>
      <c r="E49" t="inlineStr">
        <is>
          <t>TP</t>
        </is>
      </c>
      <c r="F49" t="inlineStr">
        <is>
          <t># noqa: PLC0415 suppresses lint rule for deferred import</t>
        </is>
      </c>
    </row>
    <row r="50">
      <c r="A50" t="inlineStr">
        <is>
          <t>archon-search</t>
        </is>
      </c>
      <c r="B50" t="inlineStr">
        <is>
          <t>/Users/manczg/Documents/development/archon-search/archon_search/pipeline.py</t>
        </is>
      </c>
      <c r="C50" t="inlineStr">
        <is>
          <t>safety-07</t>
        </is>
      </c>
      <c r="D50" t="n">
        <v>3609</v>
      </c>
      <c r="E50" t="inlineStr">
        <is>
          <t>TP</t>
        </is>
      </c>
      <c r="F50" t="inlineStr">
        <is>
          <t># noqa: PLC0415 suppresses lint rule for deferred import</t>
        </is>
      </c>
    </row>
    <row r="51">
      <c r="A51" t="inlineStr">
        <is>
          <t>archon-search</t>
        </is>
      </c>
      <c r="B51" t="inlineStr">
        <is>
          <t>/Users/manczg/Documents/development/archon-search/archon_search/pipeline.py</t>
        </is>
      </c>
      <c r="C51" t="inlineStr">
        <is>
          <t>safety-11</t>
        </is>
      </c>
      <c r="D51" t="n">
        <v>594</v>
      </c>
      <c r="E51" t="inlineStr">
        <is>
          <t>TP</t>
        </is>
      </c>
      <c r="F51" t="inlineStr">
        <is>
          <t>datetime.now(UTC) drives stored expires_at used for TTL expiry decisions, untestable without injected clock</t>
        </is>
      </c>
    </row>
    <row r="52">
      <c r="A52" t="inlineStr">
        <is>
          <t>archon-search</t>
        </is>
      </c>
      <c r="B52" t="inlineStr">
        <is>
          <t>/Users/manczg/Documents/development/archon-search/archon_search/pipeline.py</t>
        </is>
      </c>
      <c r="C52" t="inlineStr">
        <is>
          <t>safety-11</t>
        </is>
      </c>
      <c r="D52" t="n">
        <v>998</v>
      </c>
      <c r="E52" t="inlineStr">
        <is>
          <t>TP</t>
        </is>
      </c>
      <c r="F52" t="inlineStr">
        <is>
          <t>datetime.now(UTC) sets last_described, a stored field read by _should_regenerate decision logic</t>
        </is>
      </c>
    </row>
    <row r="53">
      <c r="A53" t="inlineStr">
        <is>
          <t>archon-search</t>
        </is>
      </c>
      <c r="B53" t="inlineStr">
        <is>
          <t>/Users/manczg/Documents/development/archon-search/archon_search/pipeline.py</t>
        </is>
      </c>
      <c r="C53" t="inlineStr">
        <is>
          <t>safety-11</t>
        </is>
      </c>
      <c r="D53" t="n">
        <v>1005</v>
      </c>
      <c r="E53" t="inlineStr">
        <is>
          <t>TP</t>
        </is>
      </c>
      <c r="F53" t="inlineStr">
        <is>
          <t>datetime.now(UTC) sets last_indexed, a stored metadata field</t>
        </is>
      </c>
    </row>
    <row r="54">
      <c r="A54" t="inlineStr">
        <is>
          <t>archon-search</t>
        </is>
      </c>
      <c r="B54" t="inlineStr">
        <is>
          <t>/Users/manczg/Documents/development/archon-search/archon_search/pipeline.py</t>
        </is>
      </c>
      <c r="C54" t="inlineStr">
        <is>
          <t>safety-11</t>
        </is>
      </c>
      <c r="D54" t="n">
        <v>3502</v>
      </c>
      <c r="E54" t="inlineStr">
        <is>
          <t>TP</t>
        </is>
      </c>
      <c r="F54" t="inlineStr">
        <is>
          <t>datetime.now(UTC) sets last_indexed stored field in CollectionMeta</t>
        </is>
      </c>
    </row>
    <row r="55">
      <c r="A55" t="inlineStr">
        <is>
          <t>archon-search</t>
        </is>
      </c>
      <c r="B55" t="inlineStr">
        <is>
          <t>/Users/manczg/Documents/development/archon-search/archon_search/pipeline.py</t>
        </is>
      </c>
      <c r="C55" t="inlineStr">
        <is>
          <t>safety-11</t>
        </is>
      </c>
      <c r="D55" t="n">
        <v>3538</v>
      </c>
      <c r="E55" t="inlineStr">
        <is>
          <t>TP</t>
        </is>
      </c>
      <c r="F55" t="inlineStr">
        <is>
          <t>datetime.now(UTC) sets last_indexed stored field in CollectionMeta</t>
        </is>
      </c>
    </row>
    <row r="56">
      <c r="A56" t="inlineStr">
        <is>
          <t>archon-search</t>
        </is>
      </c>
      <c r="B56" t="inlineStr">
        <is>
          <t>/Users/manczg/Documents/development/archon-search/archon_search/pipeline.py</t>
        </is>
      </c>
      <c r="C56" t="inlineStr">
        <is>
          <t>safety-13</t>
        </is>
      </c>
      <c r="D56" t="n">
        <v>1242</v>
      </c>
      <c r="E56" t="inlineStr">
        <is>
          <t>FP</t>
        </is>
      </c>
      <c r="F56" t="inlineStr">
        <is>
          <t>assert restates an internal invariant already guaranteed by the route-layer 422 guard — belt-and-suspenders documentation, not production validation</t>
        </is>
      </c>
    </row>
    <row r="57">
      <c r="A57" t="inlineStr">
        <is>
          <t>archon-search</t>
        </is>
      </c>
      <c r="B57" t="inlineStr">
        <is>
          <t>/Users/manczg/Documents/development/archon-search/archon_search/pipeline.py</t>
        </is>
      </c>
      <c r="C57" t="inlineStr">
        <is>
          <t>safety-13</t>
        </is>
      </c>
      <c r="D57" t="n">
        <v>1336</v>
      </c>
      <c r="E57" t="inlineStr">
        <is>
          <t>FP</t>
        </is>
      </c>
      <c r="F57" t="inlineStr">
        <is>
          <t>assert restates internal invariant already guaranteed by route-layer 422 guard</t>
        </is>
      </c>
    </row>
    <row r="58">
      <c r="A58" t="inlineStr">
        <is>
          <t>archon-search</t>
        </is>
      </c>
      <c r="B58" t="inlineStr">
        <is>
          <t>/Users/manczg/Documents/development/archon-search/archon_search/pipeline.py</t>
        </is>
      </c>
      <c r="C58" t="inlineStr">
        <is>
          <t>safety-13</t>
        </is>
      </c>
      <c r="D58" t="n">
        <v>2131</v>
      </c>
      <c r="E58" t="inlineStr">
        <is>
          <t>FP</t>
        </is>
      </c>
      <c r="F58" t="inlineStr">
        <is>
          <t>assert restates internal invariant already guaranteed by route-layer 422 guard</t>
        </is>
      </c>
    </row>
    <row r="59">
      <c r="A59" t="inlineStr">
        <is>
          <t>archon-search</t>
        </is>
      </c>
      <c r="B59" t="inlineStr">
        <is>
          <t>/Users/manczg/Documents/development/archon-search/archon_search/pipeline.py</t>
        </is>
      </c>
      <c r="C59" t="inlineStr">
        <is>
          <t>safety-13</t>
        </is>
      </c>
      <c r="D59" t="n">
        <v>2255</v>
      </c>
      <c r="E59" t="inlineStr">
        <is>
          <t>FP</t>
        </is>
      </c>
      <c r="F59" t="inlineStr">
        <is>
          <t>assert restates internal invariant already guaranteed by route-layer 422 guard</t>
        </is>
      </c>
    </row>
    <row r="60">
      <c r="A60" t="inlineStr">
        <is>
          <t>archon-search</t>
        </is>
      </c>
      <c r="B60" t="inlineStr">
        <is>
          <t>/Users/manczg/Documents/development/archon-search/archon_search/pipeline.py</t>
        </is>
      </c>
      <c r="C60" t="inlineStr">
        <is>
          <t>safety-13</t>
        </is>
      </c>
      <c r="D60" t="n">
        <v>2327</v>
      </c>
      <c r="E60" t="inlineStr">
        <is>
          <t>FP</t>
        </is>
      </c>
      <c r="F60" t="inlineStr">
        <is>
          <t>assert restates internal invariant already guaranteed by route-layer 422 guard</t>
        </is>
      </c>
    </row>
    <row r="61">
      <c r="A61" t="inlineStr">
        <is>
          <t>archon-search</t>
        </is>
      </c>
      <c r="B61" t="inlineStr">
        <is>
          <t>/Users/manczg/Documents/development/archon-search/archon_search/pipeline.py</t>
        </is>
      </c>
      <c r="C61" t="inlineStr">
        <is>
          <t>safety-13</t>
        </is>
      </c>
      <c r="D61" t="n">
        <v>2407</v>
      </c>
      <c r="E61" t="inlineStr">
        <is>
          <t>FP</t>
        </is>
      </c>
      <c r="F61" t="inlineStr">
        <is>
          <t>assert restates internal invariant already guaranteed by route-layer 422 guard</t>
        </is>
      </c>
    </row>
    <row r="62">
      <c r="A62" t="inlineStr">
        <is>
          <t>archon-search</t>
        </is>
      </c>
      <c r="B62" t="inlineStr">
        <is>
          <t>/Users/manczg/Documents/development/archon-search/archon_search/pipeline.py</t>
        </is>
      </c>
      <c r="C62" t="inlineStr">
        <is>
          <t>safety-13</t>
        </is>
      </c>
      <c r="D62" t="n">
        <v>2839</v>
      </c>
      <c r="E62" t="inlineStr">
        <is>
          <t>FP</t>
        </is>
      </c>
      <c r="F62" t="inlineStr">
        <is>
          <t>comment explicitly documents this as a belt-and-suspenders defensive check behind the 422 guard</t>
        </is>
      </c>
    </row>
    <row r="63">
      <c r="A63" t="inlineStr">
        <is>
          <t>archon-search</t>
        </is>
      </c>
      <c r="B63" t="inlineStr">
        <is>
          <t>/Users/manczg/Documents/development/archon-search/archon_search/pipeline.py</t>
        </is>
      </c>
      <c r="C63" t="inlineStr">
        <is>
          <t>safety-13</t>
        </is>
      </c>
      <c r="D63" t="n">
        <v>2925</v>
      </c>
      <c r="E63" t="inlineStr">
        <is>
          <t>FP</t>
        </is>
      </c>
      <c r="F63" t="inlineStr">
        <is>
          <t>comment explicitly documents this as a belt-and-suspenders defensive check behind the 422 guard</t>
        </is>
      </c>
    </row>
    <row r="64">
      <c r="A64" t="inlineStr">
        <is>
          <t>archon-search</t>
        </is>
      </c>
      <c r="B64" t="inlineStr">
        <is>
          <t>/Users/manczg/Documents/development/archon-search/archon_search/pipeline.py</t>
        </is>
      </c>
      <c r="C64" t="inlineStr">
        <is>
          <t>safety-13</t>
        </is>
      </c>
      <c r="D64" t="n">
        <v>2968</v>
      </c>
      <c r="E64" t="inlineStr">
        <is>
          <t>FP</t>
        </is>
      </c>
      <c r="F64" t="inlineStr">
        <is>
          <t>comment explicitly documents this as a belt-and-suspenders defensive check behind the 422 guard</t>
        </is>
      </c>
    </row>
    <row r="65">
      <c r="A65" t="inlineStr">
        <is>
          <t>archon-search</t>
        </is>
      </c>
      <c r="B65" t="inlineStr">
        <is>
          <t>/Users/manczg/Documents/development/archon-search/archon_search/pipeline.py</t>
        </is>
      </c>
      <c r="C65" t="inlineStr">
        <is>
          <t>smells-01</t>
        </is>
      </c>
      <c r="D65" t="n">
        <v>1</v>
      </c>
      <c r="E65" t="inlineStr">
        <is>
          <t>TP</t>
        </is>
      </c>
      <c r="F65" t="inlineStr">
        <is>
          <t>file is 3635 lines, far over the 1000-line threshold</t>
        </is>
      </c>
    </row>
    <row r="66">
      <c r="A66" t="inlineStr">
        <is>
          <t>archon-search</t>
        </is>
      </c>
      <c r="B66" t="inlineStr">
        <is>
          <t>/Users/manczg/Documents/development/archon-search/archon_search/pipeline.py</t>
        </is>
      </c>
      <c r="C66" t="inlineStr">
        <is>
          <t>smells-02</t>
        </is>
      </c>
      <c r="D66" t="n">
        <v>313</v>
      </c>
      <c r="E66" t="inlineStr">
        <is>
          <t>TP</t>
        </is>
      </c>
      <c r="F66" t="inlineStr">
        <is>
          <t>__init__ has 19 parameters excluding self, far over 3</t>
        </is>
      </c>
    </row>
    <row r="67">
      <c r="A67" t="inlineStr">
        <is>
          <t>archon-search</t>
        </is>
      </c>
      <c r="B67" t="inlineStr">
        <is>
          <t>/Users/manczg/Documents/development/archon-search/archon_search/pipeline.py</t>
        </is>
      </c>
      <c r="C67" t="inlineStr">
        <is>
          <t>smells-02</t>
        </is>
      </c>
      <c r="D67" t="n">
        <v>421</v>
      </c>
      <c r="E67" t="inlineStr">
        <is>
          <t>TP</t>
        </is>
      </c>
      <c r="F67" t="inlineStr">
        <is>
          <t>ingest_file has 10 parameters excluding self, over 3</t>
        </is>
      </c>
    </row>
    <row r="68">
      <c r="A68" t="inlineStr">
        <is>
          <t>archon-search</t>
        </is>
      </c>
      <c r="B68" t="inlineStr">
        <is>
          <t>/Users/manczg/Documents/development/archon-search/archon_search/pipeline.py</t>
        </is>
      </c>
      <c r="C68" t="inlineStr">
        <is>
          <t>smells-02</t>
        </is>
      </c>
      <c r="D68" t="n">
        <v>888</v>
      </c>
      <c r="E68" t="inlineStr">
        <is>
          <t>TP</t>
        </is>
      </c>
      <c r="F68" t="inlineStr">
        <is>
          <t>ingest_directory has 13 parameters excluding self, over 3</t>
        </is>
      </c>
    </row>
    <row r="69">
      <c r="A69" t="inlineStr">
        <is>
          <t>archon-search</t>
        </is>
      </c>
      <c r="B69" t="inlineStr">
        <is>
          <t>/Users/manczg/Documents/development/archon-search/archon_search/pipeline.py</t>
        </is>
      </c>
      <c r="C69" t="inlineStr">
        <is>
          <t>smells-02</t>
        </is>
      </c>
      <c r="D69" t="n">
        <v>1019</v>
      </c>
      <c r="E69" t="inlineStr">
        <is>
          <t>TP</t>
        </is>
      </c>
      <c r="F69" t="inlineStr">
        <is>
          <t>search has 11 parameters excluding self, over 3</t>
        </is>
      </c>
    </row>
    <row r="70">
      <c r="A70" t="inlineStr">
        <is>
          <t>archon-search</t>
        </is>
      </c>
      <c r="B70" t="inlineStr">
        <is>
          <t>/Users/manczg/Documents/development/archon-search/archon_search/pipeline.py</t>
        </is>
      </c>
      <c r="C70" t="inlineStr">
        <is>
          <t>smells-02</t>
        </is>
      </c>
      <c r="D70" t="n">
        <v>1226</v>
      </c>
      <c r="E70" t="inlineStr">
        <is>
          <t>TP</t>
        </is>
      </c>
      <c r="F70" t="inlineStr">
        <is>
          <t>_search_graph_mode has 6 parameters excluding self, over 3</t>
        </is>
      </c>
    </row>
    <row r="71">
      <c r="A71" t="inlineStr">
        <is>
          <t>archon-search</t>
        </is>
      </c>
      <c r="B71" t="inlineStr">
        <is>
          <t>/Users/manczg/Documents/development/archon-search/archon_search/pipeline.py</t>
        </is>
      </c>
      <c r="C71" t="inlineStr">
        <is>
          <t>smells-02</t>
        </is>
      </c>
      <c r="D71" t="n">
        <v>1313</v>
      </c>
      <c r="E71" t="inlineStr">
        <is>
          <t>TP</t>
        </is>
      </c>
      <c r="F71" t="inlineStr">
        <is>
          <t>_search_ppr_mode has 5 parameters excluding self, over 3</t>
        </is>
      </c>
    </row>
    <row r="72">
      <c r="A72" t="inlineStr">
        <is>
          <t>archon-search</t>
        </is>
      </c>
      <c r="B72" t="inlineStr">
        <is>
          <t>/Users/manczg/Documents/development/archon-search/archon_search/pipeline.py</t>
        </is>
      </c>
      <c r="C72" t="inlineStr">
        <is>
          <t>smells-02</t>
        </is>
      </c>
      <c r="D72" t="n">
        <v>1459</v>
      </c>
      <c r="E72" t="inlineStr">
        <is>
          <t>TP</t>
        </is>
      </c>
      <c r="F72" t="inlineStr">
        <is>
          <t>_search_local_mode has 4 parameters excluding self, over 3</t>
        </is>
      </c>
    </row>
    <row r="73">
      <c r="A73" t="inlineStr">
        <is>
          <t>archon-search</t>
        </is>
      </c>
      <c r="B73" t="inlineStr">
        <is>
          <t>/Users/manczg/Documents/development/archon-search/archon_search/pipeline.py</t>
        </is>
      </c>
      <c r="C73" t="inlineStr">
        <is>
          <t>smells-02</t>
        </is>
      </c>
      <c r="D73" t="n">
        <v>1683</v>
      </c>
      <c r="E73" t="inlineStr">
        <is>
          <t>TP</t>
        </is>
      </c>
      <c r="F73" t="inlineStr">
        <is>
          <t>_search_standard has 8 parameters excluding self, over 3</t>
        </is>
      </c>
    </row>
    <row r="74">
      <c r="A74" t="inlineStr">
        <is>
          <t>archon-search</t>
        </is>
      </c>
      <c r="B74" t="inlineStr">
        <is>
          <t>/Users/manczg/Documents/development/archon-search/archon_search/pipeline.py</t>
        </is>
      </c>
      <c r="C74" t="inlineStr">
        <is>
          <t>smells-02</t>
        </is>
      </c>
      <c r="D74" t="n">
        <v>1740</v>
      </c>
      <c r="E74" t="inlineStr">
        <is>
          <t>TP</t>
        </is>
      </c>
      <c r="F74" t="inlineStr">
        <is>
          <t>explain has 13 parameters excluding self, over 3</t>
        </is>
      </c>
    </row>
    <row r="75">
      <c r="A75" t="inlineStr">
        <is>
          <t>archon-search</t>
        </is>
      </c>
      <c r="B75" t="inlineStr">
        <is>
          <t>/Users/manczg/Documents/development/archon-search/archon_search/pipeline.py</t>
        </is>
      </c>
      <c r="C75" t="inlineStr">
        <is>
          <t>smells-02</t>
        </is>
      </c>
      <c r="D75" t="n">
        <v>2107</v>
      </c>
      <c r="E75" t="inlineStr">
        <is>
          <t>TP</t>
        </is>
      </c>
      <c r="F75" t="inlineStr">
        <is>
          <t>_explain_naive_graph_candidates has 5 parameters excluding self, over 3</t>
        </is>
      </c>
    </row>
    <row r="76">
      <c r="A76" t="inlineStr">
        <is>
          <t>archon-search</t>
        </is>
      </c>
      <c r="B76" t="inlineStr">
        <is>
          <t>/Users/manczg/Documents/development/archon-search/archon_search/pipeline.py</t>
        </is>
      </c>
      <c r="C76" t="inlineStr">
        <is>
          <t>smells-02</t>
        </is>
      </c>
      <c r="D76" t="n">
        <v>2241</v>
      </c>
      <c r="E76" t="inlineStr">
        <is>
          <t>TP</t>
        </is>
      </c>
      <c r="F76" t="inlineStr">
        <is>
          <t>_explain_ppr_candidates has 4 parameters excluding self, over 3</t>
        </is>
      </c>
    </row>
    <row r="77">
      <c r="A77" t="inlineStr">
        <is>
          <t>archon-search</t>
        </is>
      </c>
      <c r="B77" t="inlineStr">
        <is>
          <t>/Users/manczg/Documents/development/archon-search/archon_search/pipeline.py</t>
        </is>
      </c>
      <c r="C77" t="inlineStr">
        <is>
          <t>smells-02</t>
        </is>
      </c>
      <c r="D77" t="n">
        <v>2312</v>
      </c>
      <c r="E77" t="inlineStr">
        <is>
          <t>TP</t>
        </is>
      </c>
      <c r="F77" t="inlineStr">
        <is>
          <t>_explain_merge_and_rank has 10 parameters excluding self, over 3</t>
        </is>
      </c>
    </row>
    <row r="78">
      <c r="A78" t="inlineStr">
        <is>
          <t>archon-search</t>
        </is>
      </c>
      <c r="B78" t="inlineStr">
        <is>
          <t>/Users/manczg/Documents/development/archon-search/archon_search/pipeline.py</t>
        </is>
      </c>
      <c r="C78" t="inlineStr">
        <is>
          <t>smells-02</t>
        </is>
      </c>
      <c r="D78" t="n">
        <v>2378</v>
      </c>
      <c r="E78" t="inlineStr">
        <is>
          <t>TP</t>
        </is>
      </c>
      <c r="F78" t="inlineStr">
        <is>
          <t>_explain_community_candidates has 5 parameters excluding self, over 3</t>
        </is>
      </c>
    </row>
    <row r="79">
      <c r="A79" t="inlineStr">
        <is>
          <t>archon-search</t>
        </is>
      </c>
      <c r="B79" t="inlineStr">
        <is>
          <t>/Users/manczg/Documents/development/archon-search/archon_search/pipeline.py</t>
        </is>
      </c>
      <c r="C79" t="inlineStr">
        <is>
          <t>smells-02</t>
        </is>
      </c>
      <c r="D79" t="n">
        <v>2564</v>
      </c>
      <c r="E79" t="inlineStr">
        <is>
          <t>TP</t>
        </is>
      </c>
      <c r="F79" t="inlineStr">
        <is>
          <t>_explain_standard has 10 parameters excluding self, over 3</t>
        </is>
      </c>
    </row>
    <row r="80">
      <c r="A80" t="inlineStr">
        <is>
          <t>archon-search</t>
        </is>
      </c>
      <c r="B80" t="inlineStr">
        <is>
          <t>/Users/manczg/Documents/development/archon-search/archon_search/pipeline.py</t>
        </is>
      </c>
      <c r="C80" t="inlineStr">
        <is>
          <t>smells-02</t>
        </is>
      </c>
      <c r="D80" t="n">
        <v>2624</v>
      </c>
      <c r="E80" t="inlineStr">
        <is>
          <t>TP</t>
        </is>
      </c>
      <c r="F80" t="inlineStr">
        <is>
          <t>search_many has 10 parameters excluding self, over 3</t>
        </is>
      </c>
    </row>
    <row r="81">
      <c r="A81" t="inlineStr">
        <is>
          <t>archon-search</t>
        </is>
      </c>
      <c r="B81" t="inlineStr">
        <is>
          <t>/Users/manczg/Documents/development/archon-search/archon_search/pipeline.py</t>
        </is>
      </c>
      <c r="C81" t="inlineStr">
        <is>
          <t>smells-02</t>
        </is>
      </c>
      <c r="D81" t="n">
        <v>3202</v>
      </c>
      <c r="E81" t="inlineStr">
        <is>
          <t>TP</t>
        </is>
      </c>
      <c r="F81" t="inlineStr">
        <is>
          <t>_fanout_merge_acl has 7 parameters excluding self, over 3</t>
        </is>
      </c>
    </row>
    <row r="82">
      <c r="A82" t="inlineStr">
        <is>
          <t>archon-search</t>
        </is>
      </c>
      <c r="B82" t="inlineStr">
        <is>
          <t>/Users/manczg/Documents/development/archon-search/archon_search/pipeline.py</t>
        </is>
      </c>
      <c r="C82" t="inlineStr">
        <is>
          <t>smells-02</t>
        </is>
      </c>
      <c r="D82" t="n">
        <v>3289</v>
      </c>
      <c r="E82" t="inlineStr">
        <is>
          <t>TP</t>
        </is>
      </c>
      <c r="F82" t="inlineStr">
        <is>
          <t>search_with_context has 11 parameters excluding self, over 3</t>
        </is>
      </c>
    </row>
    <row r="83">
      <c r="A83" t="inlineStr">
        <is>
          <t>archon-search</t>
        </is>
      </c>
      <c r="B83" t="inlineStr">
        <is>
          <t>/Users/manczg/Documents/development/archon-search/archon_search/pipeline.py</t>
        </is>
      </c>
      <c r="C83" t="inlineStr">
        <is>
          <t>smells-02</t>
        </is>
      </c>
      <c r="D83" t="n">
        <v>3365</v>
      </c>
      <c r="E83" t="inlineStr">
        <is>
          <t>TP</t>
        </is>
      </c>
      <c r="F83" t="inlineStr">
        <is>
          <t>delete_by_source_path has 4 parameters excluding self, over 3</t>
        </is>
      </c>
    </row>
    <row r="84">
      <c r="A84" t="inlineStr">
        <is>
          <t>archon-search</t>
        </is>
      </c>
      <c r="B84" t="inlineStr">
        <is>
          <t>/Users/manczg/Documents/development/archon-search/archon_search/pipeline.py</t>
        </is>
      </c>
      <c r="C84" t="inlineStr">
        <is>
          <t>smells-02</t>
        </is>
      </c>
      <c r="D84" t="n">
        <v>3417</v>
      </c>
      <c r="E84" t="inlineStr">
        <is>
          <t>TP</t>
        </is>
      </c>
      <c r="F84" t="inlineStr">
        <is>
          <t>list_documents has 4 parameters excluding self, over 3</t>
        </is>
      </c>
    </row>
    <row r="85">
      <c r="A85" t="inlineStr">
        <is>
          <t>archon-search</t>
        </is>
      </c>
      <c r="B85" t="inlineStr">
        <is>
          <t>/Users/manczg/Documents/development/archon-search/archon_search/pipeline.py</t>
        </is>
      </c>
      <c r="C85" t="inlineStr">
        <is>
          <t>smells-02</t>
        </is>
      </c>
      <c r="D85" t="n">
        <v>3436</v>
      </c>
      <c r="E85" t="inlineStr">
        <is>
          <t>TP</t>
        </is>
      </c>
      <c r="F85" t="inlineStr">
        <is>
          <t>recompute_collection_meta has 4 parameters excluding self, over 3</t>
        </is>
      </c>
    </row>
    <row r="86">
      <c r="A86" t="inlineStr">
        <is>
          <t>archon-search</t>
        </is>
      </c>
      <c r="B86" t="inlineStr">
        <is>
          <t>/Users/manczg/Documents/development/archon-search/archon_search/pipeline.py</t>
        </is>
      </c>
      <c r="C86" t="inlineStr">
        <is>
          <t>smells-03</t>
        </is>
      </c>
      <c r="D86" t="n">
        <v>425</v>
      </c>
      <c r="E86" t="inlineStr">
        <is>
          <t>TP</t>
        </is>
      </c>
      <c r="F86" t="inlineStr">
        <is>
          <t>rebuild_fts selects between two real code paths (optimize_fts vs recompute) inside ingest_file</t>
        </is>
      </c>
    </row>
    <row r="87">
      <c r="A87" t="inlineStr">
        <is>
          <t>archon-search</t>
        </is>
      </c>
      <c r="B87" t="inlineStr">
        <is>
          <t>/Users/manczg/Documents/development/archon-search/archon_search/pipeline.py</t>
        </is>
      </c>
      <c r="C87" t="inlineStr">
        <is>
          <t>smells-03</t>
        </is>
      </c>
      <c r="D87" t="n">
        <v>894</v>
      </c>
      <c r="E87" t="inlineStr">
        <is>
          <t>TP</t>
        </is>
      </c>
      <c r="F87" t="inlineStr">
        <is>
          <t>force_regenerate_description branches description-regeneration behavior</t>
        </is>
      </c>
    </row>
    <row r="88">
      <c r="A88" t="inlineStr">
        <is>
          <t>archon-search</t>
        </is>
      </c>
      <c r="B88" t="inlineStr">
        <is>
          <t>/Users/manczg/Documents/development/archon-search/archon_search/pipeline.py</t>
        </is>
      </c>
      <c r="C88" t="inlineStr">
        <is>
          <t>smells-03</t>
        </is>
      </c>
      <c r="D88" t="n">
        <v>902</v>
      </c>
      <c r="E88" t="inlineStr">
        <is>
          <t>TP</t>
        </is>
      </c>
      <c r="F88" t="inlineStr">
        <is>
          <t>rebuild_fts passed through and used to branch FTS rebuild behavior</t>
        </is>
      </c>
    </row>
    <row r="89">
      <c r="A89" t="inlineStr">
        <is>
          <t>archon-search</t>
        </is>
      </c>
      <c r="B89" t="inlineStr">
        <is>
          <t>/Users/manczg/Documents/development/archon-search/archon_search/pipeline.py</t>
        </is>
      </c>
      <c r="C89" t="inlineStr">
        <is>
          <t>smells-03</t>
        </is>
      </c>
      <c r="D89" t="n">
        <v>1028</v>
      </c>
      <c r="E89" t="inlineStr">
        <is>
          <t>TP</t>
        </is>
      </c>
      <c r="F89" t="inlineStr">
        <is>
          <t>rag_fusion selects the RAG-Fusion vs standard search code path</t>
        </is>
      </c>
    </row>
    <row r="90">
      <c r="A90" t="inlineStr">
        <is>
          <t>archon-search</t>
        </is>
      </c>
      <c r="B90" t="inlineStr">
        <is>
          <t>/Users/manczg/Documents/development/archon-search/archon_search/pipeline.py</t>
        </is>
      </c>
      <c r="C90" t="inlineStr">
        <is>
          <t>smells-03</t>
        </is>
      </c>
      <c r="D90" t="n">
        <v>1692</v>
      </c>
      <c r="E90" t="inlineStr">
        <is>
          <t>FP</t>
        </is>
      </c>
      <c r="F90" t="inlineStr">
        <is>
          <t>rag_fusion_attempted is a pure status pass-through into the result object, never branched on locally — analogous to dismissed state flags</t>
        </is>
      </c>
    </row>
    <row r="91">
      <c r="A91" t="inlineStr">
        <is>
          <t>archon-search</t>
        </is>
      </c>
      <c r="B91" t="inlineStr">
        <is>
          <t>/Users/manczg/Documents/development/archon-search/archon_search/pipeline.py</t>
        </is>
      </c>
      <c r="C91" t="inlineStr">
        <is>
          <t>smells-03</t>
        </is>
      </c>
      <c r="D91" t="n">
        <v>1747</v>
      </c>
      <c r="E91" t="inlineStr">
        <is>
          <t>TP</t>
        </is>
      </c>
      <c r="F91" t="inlineStr">
        <is>
          <t>rerank branches whether reranking executes (if rerank and self._reranker is not None)</t>
        </is>
      </c>
    </row>
    <row r="92">
      <c r="A92" t="inlineStr">
        <is>
          <t>archon-search</t>
        </is>
      </c>
      <c r="B92" t="inlineStr">
        <is>
          <t>/Users/manczg/Documents/development/archon-search/archon_search/pipeline.py</t>
        </is>
      </c>
      <c r="C92" t="inlineStr">
        <is>
          <t>smells-03</t>
        </is>
      </c>
      <c r="D92" t="n">
        <v>1751</v>
      </c>
      <c r="E92" t="inlineStr">
        <is>
          <t>TP</t>
        </is>
      </c>
      <c r="F92" t="inlineStr">
        <is>
          <t>rag_fusion selects the RAG-Fusion vs standard explain code path</t>
        </is>
      </c>
    </row>
    <row r="93">
      <c r="A93" t="inlineStr">
        <is>
          <t>archon-search</t>
        </is>
      </c>
      <c r="B93" t="inlineStr">
        <is>
          <t>/Users/manczg/Documents/development/archon-search/archon_search/pipeline.py</t>
        </is>
      </c>
      <c r="C93" t="inlineStr">
        <is>
          <t>smells-03</t>
        </is>
      </c>
      <c r="D93" t="n">
        <v>2319</v>
      </c>
      <c r="E93" t="inlineStr">
        <is>
          <t>TP</t>
        </is>
      </c>
      <c r="F93" t="inlineStr">
        <is>
          <t>rerank branches whether reranking executes in _explain_merge_and_rank</t>
        </is>
      </c>
    </row>
    <row r="94">
      <c r="A94" t="inlineStr">
        <is>
          <t>archon-search</t>
        </is>
      </c>
      <c r="B94" t="inlineStr">
        <is>
          <t>/Users/manczg/Documents/development/archon-search/archon_search/pipeline.py</t>
        </is>
      </c>
      <c r="C94" t="inlineStr">
        <is>
          <t>smells-03</t>
        </is>
      </c>
      <c r="D94" t="n">
        <v>2570</v>
      </c>
      <c r="E94" t="inlineStr">
        <is>
          <t>TP</t>
        </is>
      </c>
      <c r="F94" t="inlineStr">
        <is>
          <t>rerank branches whether reranking executes in _explain_standard</t>
        </is>
      </c>
    </row>
    <row r="95">
      <c r="A95" t="inlineStr">
        <is>
          <t>archon-search</t>
        </is>
      </c>
      <c r="B95" t="inlineStr">
        <is>
          <t>/Users/manczg/Documents/development/archon-search/archon_search/pipeline.py</t>
        </is>
      </c>
      <c r="C95" t="inlineStr">
        <is>
          <t>smells-03</t>
        </is>
      </c>
      <c r="D95" t="n">
        <v>2574</v>
      </c>
      <c r="E95" t="inlineStr">
        <is>
          <t>FP</t>
        </is>
      </c>
      <c r="F95" t="inlineStr">
        <is>
          <t>rag_fusion_attempted is a pure status pass-through into the result object, never branched on locally</t>
        </is>
      </c>
    </row>
    <row r="96">
      <c r="A96" t="inlineStr">
        <is>
          <t>archon-search</t>
        </is>
      </c>
      <c r="B96" t="inlineStr">
        <is>
          <t>/Users/manczg/Documents/development/archon-search/archon_search/pipeline.py</t>
        </is>
      </c>
      <c r="C96" t="inlineStr">
        <is>
          <t>smells-03</t>
        </is>
      </c>
      <c r="D96" t="n">
        <v>2630</v>
      </c>
      <c r="E96" t="inlineStr">
        <is>
          <t>TP</t>
        </is>
      </c>
      <c r="F96" t="inlineStr">
        <is>
          <t>rag_fusion selects the RAG-Fusion vs standard fan-out code path in search_many</t>
        </is>
      </c>
    </row>
    <row r="97">
      <c r="A97" t="inlineStr">
        <is>
          <t>archon-search</t>
        </is>
      </c>
      <c r="B97" t="inlineStr">
        <is>
          <t>/Users/manczg/Documents/development/archon-search/archon_search/pipeline.py</t>
        </is>
      </c>
      <c r="C97" t="inlineStr">
        <is>
          <t>smells-03</t>
        </is>
      </c>
      <c r="D97" t="n">
        <v>3299</v>
      </c>
      <c r="E97" t="inlineStr">
        <is>
          <t>TP</t>
        </is>
      </c>
      <c r="F97" t="inlineStr">
        <is>
          <t>rag_fusion is forwarded to select RAG-Fusion behavior in the delegated search() call</t>
        </is>
      </c>
    </row>
    <row r="98">
      <c r="A98" t="inlineStr">
        <is>
          <t>archon-search</t>
        </is>
      </c>
      <c r="B98" t="inlineStr">
        <is>
          <t>/Users/manczg/Documents/development/archon-search/archon_search/pipeline.py</t>
        </is>
      </c>
      <c r="C98" t="inlineStr">
        <is>
          <t>smells-03</t>
        </is>
      </c>
      <c r="D98" t="n">
        <v>3371</v>
      </c>
      <c r="E98" t="inlineStr">
        <is>
          <t>TP</t>
        </is>
      </c>
      <c r="F98" t="inlineStr">
        <is>
          <t>skip_fts_optimize branches whether FTS optimize step runs downstream</t>
        </is>
      </c>
    </row>
    <row r="99">
      <c r="A99" t="inlineStr">
        <is>
          <t>archon-search</t>
        </is>
      </c>
      <c r="B99" t="inlineStr">
        <is>
          <t>/Users/manczg/Documents/development/archon-search/archon_search/pipeline.py</t>
        </is>
      </c>
      <c r="C99" t="inlineStr">
        <is>
          <t>smells-03</t>
        </is>
      </c>
      <c r="D99" t="n">
        <v>3441</v>
      </c>
      <c r="E99" t="inlineStr">
        <is>
          <t>TP</t>
        </is>
      </c>
      <c r="F99" t="inlineStr">
        <is>
          <t>force branches whether the short-circuit skip is bypassed</t>
        </is>
      </c>
    </row>
    <row r="100">
      <c r="A100" t="inlineStr">
        <is>
          <t>archon-search</t>
        </is>
      </c>
      <c r="B100" t="inlineStr">
        <is>
          <t>/Users/manczg/Documents/development/archon-search/archon_search/pipeline.py</t>
        </is>
      </c>
      <c r="C100" t="inlineStr">
        <is>
          <t>smells-08</t>
        </is>
      </c>
      <c r="D100" t="n">
        <v>325</v>
      </c>
      <c r="E100" t="inlineStr">
        <is>
          <t>FP</t>
        </is>
      </c>
      <c r="F100" t="inlineStr">
        <is>
          <t>parameter already typed Optional[Type] with documented None default — this is the check's own remedy, not the smell</t>
        </is>
      </c>
    </row>
    <row r="101">
      <c r="A101" t="inlineStr">
        <is>
          <t>archon-search</t>
        </is>
      </c>
      <c r="B101" t="inlineStr">
        <is>
          <t>/Users/manczg/Documents/development/archon-search/archon_search/pipeline.py</t>
        </is>
      </c>
      <c r="C101" t="inlineStr">
        <is>
          <t>smells-08</t>
        </is>
      </c>
      <c r="D101" t="n">
        <v>328</v>
      </c>
      <c r="E101" t="inlineStr">
        <is>
          <t>FP</t>
        </is>
      </c>
      <c r="F101" t="inlineStr">
        <is>
          <t>parameter already typed Optional[Type] with documented None default</t>
        </is>
      </c>
    </row>
    <row r="102">
      <c r="A102" t="inlineStr">
        <is>
          <t>archon-search</t>
        </is>
      </c>
      <c r="B102" t="inlineStr">
        <is>
          <t>/Users/manczg/Documents/development/archon-search/archon_search/pipeline.py</t>
        </is>
      </c>
      <c r="C102" t="inlineStr">
        <is>
          <t>smells-08</t>
        </is>
      </c>
      <c r="D102" t="n">
        <v>329</v>
      </c>
      <c r="E102" t="inlineStr">
        <is>
          <t>FP</t>
        </is>
      </c>
      <c r="F102" t="inlineStr">
        <is>
          <t>parameter already typed Optional[Type] with documented None default</t>
        </is>
      </c>
    </row>
    <row r="103">
      <c r="A103" t="inlineStr">
        <is>
          <t>archon-search</t>
        </is>
      </c>
      <c r="B103" t="inlineStr">
        <is>
          <t>/Users/manczg/Documents/development/archon-search/archon_search/pipeline.py</t>
        </is>
      </c>
      <c r="C103" t="inlineStr">
        <is>
          <t>smells-08</t>
        </is>
      </c>
      <c r="D103" t="n">
        <v>330</v>
      </c>
      <c r="E103" t="inlineStr">
        <is>
          <t>FP</t>
        </is>
      </c>
      <c r="F103" t="inlineStr">
        <is>
          <t>parameter already typed Optional[Type] with documented None default</t>
        </is>
      </c>
    </row>
    <row r="104">
      <c r="A104" t="inlineStr">
        <is>
          <t>archon-search</t>
        </is>
      </c>
      <c r="B104" t="inlineStr">
        <is>
          <t>/Users/manczg/Documents/development/archon-search/archon_search/pipeline.py</t>
        </is>
      </c>
      <c r="C104" t="inlineStr">
        <is>
          <t>smells-08</t>
        </is>
      </c>
      <c r="D104" t="n">
        <v>331</v>
      </c>
      <c r="E104" t="inlineStr">
        <is>
          <t>FP</t>
        </is>
      </c>
      <c r="F104" t="inlineStr">
        <is>
          <t>parameter already typed Optional[Type] with documented None default</t>
        </is>
      </c>
    </row>
    <row r="105">
      <c r="A105" t="inlineStr">
        <is>
          <t>archon-search</t>
        </is>
      </c>
      <c r="B105" t="inlineStr">
        <is>
          <t>/Users/manczg/Documents/development/archon-search/archon_search/pipeline.py</t>
        </is>
      </c>
      <c r="C105" t="inlineStr">
        <is>
          <t>smells-08</t>
        </is>
      </c>
      <c r="D105" t="n">
        <v>332</v>
      </c>
      <c r="E105" t="inlineStr">
        <is>
          <t>FP</t>
        </is>
      </c>
      <c r="F105" t="inlineStr">
        <is>
          <t>parameter already typed Optional[Type] with documented None default</t>
        </is>
      </c>
    </row>
    <row r="106">
      <c r="A106" t="inlineStr">
        <is>
          <t>archon-search</t>
        </is>
      </c>
      <c r="B106" t="inlineStr">
        <is>
          <t>/Users/manczg/Documents/development/archon-search/archon_search/pipeline.py</t>
        </is>
      </c>
      <c r="C106" t="inlineStr">
        <is>
          <t>smells-08</t>
        </is>
      </c>
      <c r="D106" t="n">
        <v>333</v>
      </c>
      <c r="E106" t="inlineStr">
        <is>
          <t>FP</t>
        </is>
      </c>
      <c r="F106" t="inlineStr">
        <is>
          <t>parameter already typed Optional[Type] with documented None default</t>
        </is>
      </c>
    </row>
    <row r="107">
      <c r="A107" t="inlineStr">
        <is>
          <t>archon-search</t>
        </is>
      </c>
      <c r="B107" t="inlineStr">
        <is>
          <t>/Users/manczg/Documents/development/archon-search/archon_search/pipeline.py</t>
        </is>
      </c>
      <c r="C107" t="inlineStr">
        <is>
          <t>smells-08</t>
        </is>
      </c>
      <c r="D107" t="n">
        <v>334</v>
      </c>
      <c r="E107" t="inlineStr">
        <is>
          <t>FP</t>
        </is>
      </c>
      <c r="F107" t="inlineStr">
        <is>
          <t>parameter already typed Optional[Type] with documented None default</t>
        </is>
      </c>
    </row>
    <row r="108">
      <c r="A108" t="inlineStr">
        <is>
          <t>archon-search</t>
        </is>
      </c>
      <c r="B108" t="inlineStr">
        <is>
          <t>/Users/manczg/Documents/development/archon-search/archon_search/pipeline.py</t>
        </is>
      </c>
      <c r="C108" t="inlineStr">
        <is>
          <t>smells-08</t>
        </is>
      </c>
      <c r="D108" t="n">
        <v>394</v>
      </c>
      <c r="E108" t="inlineStr">
        <is>
          <t>FP</t>
        </is>
      </c>
      <c r="F108" t="inlineStr">
        <is>
          <t>embedder parameter already typed Optional[Embedder] with documented None default</t>
        </is>
      </c>
    </row>
    <row r="109">
      <c r="A109" t="inlineStr">
        <is>
          <t>archon-search</t>
        </is>
      </c>
      <c r="B109" t="inlineStr">
        <is>
          <t>/Users/manczg/Documents/development/archon-search/archon_search/pipeline.py</t>
        </is>
      </c>
      <c r="C109" t="inlineStr">
        <is>
          <t>smells-08</t>
        </is>
      </c>
      <c r="D109" t="n">
        <v>426</v>
      </c>
      <c r="E109" t="inlineStr">
        <is>
          <t>FP</t>
        </is>
      </c>
      <c r="F109" t="inlineStr">
        <is>
          <t>parameter already typed Optional[list] with documented None default</t>
        </is>
      </c>
    </row>
    <row r="110">
      <c r="A110" t="inlineStr">
        <is>
          <t>archon-search</t>
        </is>
      </c>
      <c r="B110" t="inlineStr">
        <is>
          <t>/Users/manczg/Documents/development/archon-search/archon_search/pipeline.py</t>
        </is>
      </c>
      <c r="C110" t="inlineStr">
        <is>
          <t>smells-08</t>
        </is>
      </c>
      <c r="D110" t="n">
        <v>427</v>
      </c>
      <c r="E110" t="inlineStr">
        <is>
          <t>FP</t>
        </is>
      </c>
      <c r="F110" t="inlineStr">
        <is>
          <t>parameter already typed Optional[list] with documented None default</t>
        </is>
      </c>
    </row>
    <row r="111">
      <c r="A111" t="inlineStr">
        <is>
          <t>archon-search</t>
        </is>
      </c>
      <c r="B111" t="inlineStr">
        <is>
          <t>/Users/manczg/Documents/development/archon-search/archon_search/pipeline.py</t>
        </is>
      </c>
      <c r="C111" t="inlineStr">
        <is>
          <t>smells-08</t>
        </is>
      </c>
      <c r="D111" t="n">
        <v>432</v>
      </c>
      <c r="E111" t="inlineStr">
        <is>
          <t>FP</t>
        </is>
      </c>
      <c r="F111" t="inlineStr">
        <is>
          <t>parameter already typed Optional[Path] with documented None default</t>
        </is>
      </c>
    </row>
    <row r="112">
      <c r="A112" t="inlineStr">
        <is>
          <t>archon-search</t>
        </is>
      </c>
      <c r="B112" t="inlineStr">
        <is>
          <t>/Users/manczg/Documents/development/archon-search/archon_search/pipeline.py</t>
        </is>
      </c>
      <c r="C112" t="inlineStr">
        <is>
          <t>smells-08</t>
        </is>
      </c>
      <c r="D112" t="n">
        <v>433</v>
      </c>
      <c r="E112" t="inlineStr">
        <is>
          <t>FP</t>
        </is>
      </c>
      <c r="F112" t="inlineStr">
        <is>
          <t>parameter already typed Optional[int] with documented None default</t>
        </is>
      </c>
    </row>
    <row r="113">
      <c r="A113" t="inlineStr">
        <is>
          <t>archon-search</t>
        </is>
      </c>
      <c r="B113" t="inlineStr">
        <is>
          <t>/Users/manczg/Documents/development/archon-search/archon_search/pipeline.py</t>
        </is>
      </c>
      <c r="C113" t="inlineStr">
        <is>
          <t>smells-08</t>
        </is>
      </c>
      <c r="D113" t="n">
        <v>434</v>
      </c>
      <c r="E113" t="inlineStr">
        <is>
          <t>FP</t>
        </is>
      </c>
      <c r="F113" t="inlineStr">
        <is>
          <t>parameter already typed Optional[list] with documented None default</t>
        </is>
      </c>
    </row>
    <row r="114">
      <c r="A114" t="inlineStr">
        <is>
          <t>archon-search</t>
        </is>
      </c>
      <c r="B114" t="inlineStr">
        <is>
          <t>/Users/manczg/Documents/development/archon-search/archon_search/pipeline.py</t>
        </is>
      </c>
      <c r="C114" t="inlineStr">
        <is>
          <t>smells-08</t>
        </is>
      </c>
      <c r="D114" t="n">
        <v>893</v>
      </c>
      <c r="E114" t="inlineStr">
        <is>
          <t>FP</t>
        </is>
      </c>
      <c r="F114" t="inlineStr">
        <is>
          <t>parameter already typed Optional[Callable] with documented None default</t>
        </is>
      </c>
    </row>
    <row r="115">
      <c r="A115" t="inlineStr">
        <is>
          <t>archon-search</t>
        </is>
      </c>
      <c r="B115" t="inlineStr">
        <is>
          <t>/Users/manczg/Documents/development/archon-search/archon_search/pipeline.py</t>
        </is>
      </c>
      <c r="C115" t="inlineStr">
        <is>
          <t>smells-08</t>
        </is>
      </c>
      <c r="D115" t="n">
        <v>895</v>
      </c>
      <c r="E115" t="inlineStr">
        <is>
          <t>FP</t>
        </is>
      </c>
      <c r="F115" t="inlineStr">
        <is>
          <t>parameter already typed Optional[frozenset] with documented None default</t>
        </is>
      </c>
    </row>
    <row r="116">
      <c r="A116" t="inlineStr">
        <is>
          <t>archon-search</t>
        </is>
      </c>
      <c r="B116" t="inlineStr">
        <is>
          <t>/Users/manczg/Documents/development/archon-search/archon_search/pipeline.py</t>
        </is>
      </c>
      <c r="C116" t="inlineStr">
        <is>
          <t>smells-08</t>
        </is>
      </c>
      <c r="D116" t="n">
        <v>896</v>
      </c>
      <c r="E116" t="inlineStr">
        <is>
          <t>FP</t>
        </is>
      </c>
      <c r="F116" t="inlineStr">
        <is>
          <t>parameter already typed Optional[Callable] with documented None default</t>
        </is>
      </c>
    </row>
    <row r="117">
      <c r="A117" t="inlineStr">
        <is>
          <t>archon-search</t>
        </is>
      </c>
      <c r="B117" t="inlineStr">
        <is>
          <t>/Users/manczg/Documents/development/archon-search/archon_search/pipeline.py</t>
        </is>
      </c>
      <c r="C117" t="inlineStr">
        <is>
          <t>smells-08</t>
        </is>
      </c>
      <c r="D117" t="n">
        <v>901</v>
      </c>
      <c r="E117" t="inlineStr">
        <is>
          <t>FP</t>
        </is>
      </c>
      <c r="F117" t="inlineStr">
        <is>
          <t>parameter already typed Optional[Path] with documented None default</t>
        </is>
      </c>
    </row>
    <row r="118">
      <c r="A118" t="inlineStr">
        <is>
          <t>archon-search</t>
        </is>
      </c>
      <c r="B118" t="inlineStr">
        <is>
          <t>/Users/manczg/Documents/development/archon-search/archon_search/pipeline.py</t>
        </is>
      </c>
      <c r="C118" t="inlineStr">
        <is>
          <t>smells-08</t>
        </is>
      </c>
      <c r="D118" t="n">
        <v>903</v>
      </c>
      <c r="E118" t="inlineStr">
        <is>
          <t>FP</t>
        </is>
      </c>
      <c r="F118" t="inlineStr">
        <is>
          <t>parameter already typed Optional[int] with documented None default</t>
        </is>
      </c>
    </row>
    <row r="119">
      <c r="A119" t="inlineStr">
        <is>
          <t>archon-search</t>
        </is>
      </c>
      <c r="B119" t="inlineStr">
        <is>
          <t>/Users/manczg/Documents/development/archon-search/archon_search/pipeline.py</t>
        </is>
      </c>
      <c r="C119" t="inlineStr">
        <is>
          <t>smells-08</t>
        </is>
      </c>
      <c r="D119" t="n">
        <v>904</v>
      </c>
      <c r="E119" t="inlineStr">
        <is>
          <t>FP</t>
        </is>
      </c>
      <c r="F119" t="inlineStr">
        <is>
          <t>parameter already typed Optional[list] with documented None default</t>
        </is>
      </c>
    </row>
    <row r="120">
      <c r="A120" t="inlineStr">
        <is>
          <t>archon-search</t>
        </is>
      </c>
      <c r="B120" t="inlineStr">
        <is>
          <t>/Users/manczg/Documents/development/archon-search/archon_search/pipeline.py</t>
        </is>
      </c>
      <c r="C120" t="inlineStr">
        <is>
          <t>smells-08</t>
        </is>
      </c>
      <c r="D120" t="n">
        <v>1026</v>
      </c>
      <c r="E120" t="inlineStr">
        <is>
          <t>FP</t>
        </is>
      </c>
      <c r="F120" t="inlineStr">
        <is>
          <t>parameter already typed Optional[SearchFilters] with documented None default</t>
        </is>
      </c>
    </row>
    <row r="121">
      <c r="A121" t="inlineStr">
        <is>
          <t>archon-search</t>
        </is>
      </c>
      <c r="B121" t="inlineStr">
        <is>
          <t>/Users/manczg/Documents/development/archon-search/archon_search/pipeline.py</t>
        </is>
      </c>
      <c r="C121" t="inlineStr">
        <is>
          <t>smells-08</t>
        </is>
      </c>
      <c r="D121" t="n">
        <v>1027</v>
      </c>
      <c r="E121" t="inlineStr">
        <is>
          <t>FP</t>
        </is>
      </c>
      <c r="F121" t="inlineStr">
        <is>
          <t>parameter already typed Optional[list] with documented None default</t>
        </is>
      </c>
    </row>
    <row r="122">
      <c r="A122" t="inlineStr">
        <is>
          <t>archon-search</t>
        </is>
      </c>
      <c r="B122" t="inlineStr">
        <is>
          <t>/Users/manczg/Documents/development/archon-search/archon_search/pipeline.py</t>
        </is>
      </c>
      <c r="C122" t="inlineStr">
        <is>
          <t>smells-08</t>
        </is>
      </c>
      <c r="D122" t="n">
        <v>1029</v>
      </c>
      <c r="E122" t="inlineStr">
        <is>
          <t>FP</t>
        </is>
      </c>
      <c r="F122" t="inlineStr">
        <is>
          <t>parameter already typed Optional[RAGFusionGenerator] with documented None default</t>
        </is>
      </c>
    </row>
    <row r="123">
      <c r="A123" t="inlineStr">
        <is>
          <t>archon-search</t>
        </is>
      </c>
      <c r="B123" t="inlineStr">
        <is>
          <t>/Users/manczg/Documents/development/archon-search/archon_search/pipeline.py</t>
        </is>
      </c>
      <c r="C123" t="inlineStr">
        <is>
          <t>smells-08</t>
        </is>
      </c>
      <c r="D123" t="n">
        <v>1030</v>
      </c>
      <c r="E123" t="inlineStr">
        <is>
          <t>FP</t>
        </is>
      </c>
      <c r="F123" t="inlineStr">
        <is>
          <t>parameter already typed Optional[RAGFusionConfig] with documented None default</t>
        </is>
      </c>
    </row>
    <row r="124">
      <c r="A124" t="inlineStr">
        <is>
          <t>archon-search</t>
        </is>
      </c>
      <c r="B124" t="inlineStr">
        <is>
          <t>/Users/manczg/Documents/development/archon-search/archon_search/pipeline.py</t>
        </is>
      </c>
      <c r="C124" t="inlineStr">
        <is>
          <t>smells-08</t>
        </is>
      </c>
      <c r="D124" t="n">
        <v>1031</v>
      </c>
      <c r="E124" t="inlineStr">
        <is>
          <t>FP</t>
        </is>
      </c>
      <c r="F124" t="inlineStr">
        <is>
          <t>parameter already typed Optional[str] with documented None default</t>
        </is>
      </c>
    </row>
    <row r="125">
      <c r="A125" t="inlineStr">
        <is>
          <t>archon-search</t>
        </is>
      </c>
      <c r="B125" t="inlineStr">
        <is>
          <t>/Users/manczg/Documents/development/archon-search/archon_search/pipeline.py</t>
        </is>
      </c>
      <c r="C125" t="inlineStr">
        <is>
          <t>smells-08</t>
        </is>
      </c>
      <c r="D125" t="n">
        <v>1032</v>
      </c>
      <c r="E125" t="inlineStr">
        <is>
          <t>FP</t>
        </is>
      </c>
      <c r="F125" t="inlineStr">
        <is>
          <t>parameter already typed Optional[str] with documented None default</t>
        </is>
      </c>
    </row>
    <row r="126">
      <c r="A126" t="inlineStr">
        <is>
          <t>archon-search</t>
        </is>
      </c>
      <c r="B126" t="inlineStr">
        <is>
          <t>/Users/manczg/Documents/development/archon-search/archon_search/pipeline.py</t>
        </is>
      </c>
      <c r="C126" t="inlineStr">
        <is>
          <t>smells-08</t>
        </is>
      </c>
      <c r="D126" t="n">
        <v>1233</v>
      </c>
      <c r="E126" t="inlineStr">
        <is>
          <t>FP</t>
        </is>
      </c>
      <c r="F126" t="inlineStr">
        <is>
          <t>parameter already typed Optional[SearchFilters] with documented None default</t>
        </is>
      </c>
    </row>
    <row r="127">
      <c r="A127" t="inlineStr">
        <is>
          <t>archon-search</t>
        </is>
      </c>
      <c r="B127" t="inlineStr">
        <is>
          <t>/Users/manczg/Documents/development/archon-search/archon_search/pipeline.py</t>
        </is>
      </c>
      <c r="C127" t="inlineStr">
        <is>
          <t>smells-08</t>
        </is>
      </c>
      <c r="D127" t="n">
        <v>1234</v>
      </c>
      <c r="E127" t="inlineStr">
        <is>
          <t>FP</t>
        </is>
      </c>
      <c r="F127" t="inlineStr">
        <is>
          <t>parameter already typed Optional[str] with documented None default</t>
        </is>
      </c>
    </row>
    <row r="128">
      <c r="A128" t="inlineStr">
        <is>
          <t>archon-search</t>
        </is>
      </c>
      <c r="B128" t="inlineStr">
        <is>
          <t>/Users/manczg/Documents/development/archon-search/archon_search/pipeline.py</t>
        </is>
      </c>
      <c r="C128" t="inlineStr">
        <is>
          <t>smells-08</t>
        </is>
      </c>
      <c r="D128" t="n">
        <v>1319</v>
      </c>
      <c r="E128" t="inlineStr">
        <is>
          <t>FP</t>
        </is>
      </c>
      <c r="F128" t="inlineStr">
        <is>
          <t>parameter already typed Optional[SearchFilters] with documented None default</t>
        </is>
      </c>
    </row>
    <row r="129">
      <c r="A129" t="inlineStr">
        <is>
          <t>archon-search</t>
        </is>
      </c>
      <c r="B129" t="inlineStr">
        <is>
          <t>/Users/manczg/Documents/development/archon-search/archon_search/pipeline.py</t>
        </is>
      </c>
      <c r="C129" t="inlineStr">
        <is>
          <t>smells-08</t>
        </is>
      </c>
      <c r="D129" t="n">
        <v>1320</v>
      </c>
      <c r="E129" t="inlineStr">
        <is>
          <t>FP</t>
        </is>
      </c>
      <c r="F129" t="inlineStr">
        <is>
          <t>parameter already typed Optional[str] with documented None default</t>
        </is>
      </c>
    </row>
    <row r="130">
      <c r="A130" t="inlineStr">
        <is>
          <t>archon-search</t>
        </is>
      </c>
      <c r="B130" t="inlineStr">
        <is>
          <t>/Users/manczg/Documents/development/archon-search/archon_search/pipeline.py</t>
        </is>
      </c>
      <c r="C130" t="inlineStr">
        <is>
          <t>smells-08</t>
        </is>
      </c>
      <c r="D130" t="n">
        <v>1465</v>
      </c>
      <c r="E130" t="inlineStr">
        <is>
          <t>FP</t>
        </is>
      </c>
      <c r="F130" t="inlineStr">
        <is>
          <t>parameter already typed Optional[SearchFilters] with documented None default</t>
        </is>
      </c>
    </row>
    <row r="131">
      <c r="A131" t="inlineStr">
        <is>
          <t>archon-search</t>
        </is>
      </c>
      <c r="B131" t="inlineStr">
        <is>
          <t>/Users/manczg/Documents/development/archon-search/archon_search/pipeline.py</t>
        </is>
      </c>
      <c r="C131" t="inlineStr">
        <is>
          <t>smells-08</t>
        </is>
      </c>
      <c r="D131" t="n">
        <v>1690</v>
      </c>
      <c r="E131" t="inlineStr">
        <is>
          <t>FP</t>
        </is>
      </c>
      <c r="F131" t="inlineStr">
        <is>
          <t>parameter already typed Optional[SearchFilters] with documented None default</t>
        </is>
      </c>
    </row>
    <row r="132">
      <c r="A132" t="inlineStr">
        <is>
          <t>archon-search</t>
        </is>
      </c>
      <c r="B132" t="inlineStr">
        <is>
          <t>/Users/manczg/Documents/development/archon-search/archon_search/pipeline.py</t>
        </is>
      </c>
      <c r="C132" t="inlineStr">
        <is>
          <t>smells-08</t>
        </is>
      </c>
      <c r="D132" t="n">
        <v>1691</v>
      </c>
      <c r="E132" t="inlineStr">
        <is>
          <t>FP</t>
        </is>
      </c>
      <c r="F132" t="inlineStr">
        <is>
          <t>parameter already typed Optional[list] with documented None default</t>
        </is>
      </c>
    </row>
    <row r="133">
      <c r="A133" t="inlineStr">
        <is>
          <t>archon-search</t>
        </is>
      </c>
      <c r="B133" t="inlineStr">
        <is>
          <t>/Users/manczg/Documents/development/archon-search/archon_search/pipeline.py</t>
        </is>
      </c>
      <c r="C133" t="inlineStr">
        <is>
          <t>smells-08</t>
        </is>
      </c>
      <c r="D133" t="n">
        <v>1693</v>
      </c>
      <c r="E133" t="inlineStr">
        <is>
          <t>FP</t>
        </is>
      </c>
      <c r="F133" t="inlineStr">
        <is>
          <t>parameter already typed Optional[str] with documented None default</t>
        </is>
      </c>
    </row>
    <row r="134">
      <c r="A134" t="inlineStr">
        <is>
          <t>archon-search</t>
        </is>
      </c>
      <c r="B134" t="inlineStr">
        <is>
          <t>/Users/manczg/Documents/development/archon-search/archon_search/pipeline.py</t>
        </is>
      </c>
      <c r="C134" t="inlineStr">
        <is>
          <t>smells-08</t>
        </is>
      </c>
      <c r="D134" t="n">
        <v>1743</v>
      </c>
      <c r="E134" t="inlineStr">
        <is>
          <t>FP</t>
        </is>
      </c>
      <c r="F134" t="inlineStr">
        <is>
          <t>parameter already typed Optional[str] with documented None default</t>
        </is>
      </c>
    </row>
    <row r="135">
      <c r="A135" t="inlineStr">
        <is>
          <t>archon-search</t>
        </is>
      </c>
      <c r="B135" t="inlineStr">
        <is>
          <t>/Users/manczg/Documents/development/archon-search/archon_search/pipeline.py</t>
        </is>
      </c>
      <c r="C135" t="inlineStr">
        <is>
          <t>smells-08</t>
        </is>
      </c>
      <c r="D135" t="n">
        <v>1745</v>
      </c>
      <c r="E135" t="inlineStr">
        <is>
          <t>FP</t>
        </is>
      </c>
      <c r="F135" t="inlineStr">
        <is>
          <t>parameter already typed Optional[list] with documented None default</t>
        </is>
      </c>
    </row>
    <row r="136">
      <c r="A136" t="inlineStr">
        <is>
          <t>archon-search</t>
        </is>
      </c>
      <c r="B136" t="inlineStr">
        <is>
          <t>/Users/manczg/Documents/development/archon-search/archon_search/pipeline.py</t>
        </is>
      </c>
      <c r="C136" t="inlineStr">
        <is>
          <t>smells-08</t>
        </is>
      </c>
      <c r="D136" t="n">
        <v>1749</v>
      </c>
      <c r="E136" t="inlineStr">
        <is>
          <t>FP</t>
        </is>
      </c>
      <c r="F136" t="inlineStr">
        <is>
          <t>parameter already typed Optional[list] with documented None default</t>
        </is>
      </c>
    </row>
    <row r="137">
      <c r="A137" t="inlineStr">
        <is>
          <t>archon-search</t>
        </is>
      </c>
      <c r="B137" t="inlineStr">
        <is>
          <t>/Users/manczg/Documents/development/archon-search/archon_search/pipeline.py</t>
        </is>
      </c>
      <c r="C137" t="inlineStr">
        <is>
          <t>smells-08</t>
        </is>
      </c>
      <c r="D137" t="n">
        <v>1750</v>
      </c>
      <c r="E137" t="inlineStr">
        <is>
          <t>FP</t>
        </is>
      </c>
      <c r="F137" t="inlineStr">
        <is>
          <t>parameter already typed Optional[Embedder] with documented None default</t>
        </is>
      </c>
    </row>
    <row r="138">
      <c r="A138" t="inlineStr">
        <is>
          <t>archon-search</t>
        </is>
      </c>
      <c r="B138" t="inlineStr">
        <is>
          <t>/Users/manczg/Documents/development/archon-search/archon_search/pipeline.py</t>
        </is>
      </c>
      <c r="C138" t="inlineStr">
        <is>
          <t>smells-08</t>
        </is>
      </c>
      <c r="D138" t="n">
        <v>1752</v>
      </c>
      <c r="E138" t="inlineStr">
        <is>
          <t>FP</t>
        </is>
      </c>
      <c r="F138" t="inlineStr">
        <is>
          <t>parameter already typed Optional[RAGFusionGenerator] with documented None default</t>
        </is>
      </c>
    </row>
    <row r="139">
      <c r="A139" t="inlineStr">
        <is>
          <t>archon-search</t>
        </is>
      </c>
      <c r="B139" t="inlineStr">
        <is>
          <t>/Users/manczg/Documents/development/archon-search/archon_search/pipeline.py</t>
        </is>
      </c>
      <c r="C139" t="inlineStr">
        <is>
          <t>smells-08</t>
        </is>
      </c>
      <c r="D139" t="n">
        <v>1753</v>
      </c>
      <c r="E139" t="inlineStr">
        <is>
          <t>FP</t>
        </is>
      </c>
      <c r="F139" t="inlineStr">
        <is>
          <t>parameter already typed Optional[RAGFusionConfig] with documented None default</t>
        </is>
      </c>
    </row>
    <row r="140">
      <c r="A140" t="inlineStr">
        <is>
          <t>archon-search</t>
        </is>
      </c>
      <c r="B140" t="inlineStr">
        <is>
          <t>/Users/manczg/Documents/development/archon-search/archon_search/pipeline.py</t>
        </is>
      </c>
      <c r="C140" t="inlineStr">
        <is>
          <t>smells-08</t>
        </is>
      </c>
      <c r="D140" t="n">
        <v>1754</v>
      </c>
      <c r="E140" t="inlineStr">
        <is>
          <t>FP</t>
        </is>
      </c>
      <c r="F140" t="inlineStr">
        <is>
          <t>parameter already typed Optional[Literal] with documented None default</t>
        </is>
      </c>
    </row>
    <row r="141">
      <c r="A141" t="inlineStr">
        <is>
          <t>archon-search</t>
        </is>
      </c>
      <c r="B141" t="inlineStr">
        <is>
          <t>/Users/manczg/Documents/development/archon-search/archon_search/pipeline.py</t>
        </is>
      </c>
      <c r="C141" t="inlineStr">
        <is>
          <t>smells-08</t>
        </is>
      </c>
      <c r="D141" t="n">
        <v>1755</v>
      </c>
      <c r="E141" t="inlineStr">
        <is>
          <t>FP</t>
        </is>
      </c>
      <c r="F141" t="inlineStr">
        <is>
          <t>parameter already typed Optional[str] with documented None default</t>
        </is>
      </c>
    </row>
    <row r="142">
      <c r="A142" t="inlineStr">
        <is>
          <t>archon-search</t>
        </is>
      </c>
      <c r="B142" t="inlineStr">
        <is>
          <t>/Users/manczg/Documents/development/archon-search/archon_search/pipeline.py</t>
        </is>
      </c>
      <c r="C142" t="inlineStr">
        <is>
          <t>smells-08</t>
        </is>
      </c>
      <c r="D142" t="n">
        <v>2114</v>
      </c>
      <c r="E142" t="inlineStr">
        <is>
          <t>FP</t>
        </is>
      </c>
      <c r="F142" t="inlineStr">
        <is>
          <t>parameter already typed Optional[str] with documented None default</t>
        </is>
      </c>
    </row>
    <row r="143">
      <c r="A143" t="inlineStr">
        <is>
          <t>archon-search</t>
        </is>
      </c>
      <c r="B143" t="inlineStr">
        <is>
          <t>/Users/manczg/Documents/development/archon-search/archon_search/pipeline.py</t>
        </is>
      </c>
      <c r="C143" t="inlineStr">
        <is>
          <t>smells-08</t>
        </is>
      </c>
      <c r="D143" t="n">
        <v>2247</v>
      </c>
      <c r="E143" t="inlineStr">
        <is>
          <t>FP</t>
        </is>
      </c>
      <c r="F143" t="inlineStr">
        <is>
          <t>parameter already typed Optional[str] with documented None default</t>
        </is>
      </c>
    </row>
    <row r="144">
      <c r="A144" t="inlineStr">
        <is>
          <t>archon-search</t>
        </is>
      </c>
      <c r="B144" t="inlineStr">
        <is>
          <t>/Users/manczg/Documents/development/archon-search/archon_search/pipeline.py</t>
        </is>
      </c>
      <c r="C144" t="inlineStr">
        <is>
          <t>smells-08</t>
        </is>
      </c>
      <c r="D144" t="n">
        <v>2324</v>
      </c>
      <c r="E144" t="inlineStr">
        <is>
          <t>FP</t>
        </is>
      </c>
      <c r="F144" t="inlineStr">
        <is>
          <t>parameter already typed Optional[str] with documented None default</t>
        </is>
      </c>
    </row>
    <row r="145">
      <c r="A145" t="inlineStr">
        <is>
          <t>archon-search</t>
        </is>
      </c>
      <c r="B145" t="inlineStr">
        <is>
          <t>/Users/manczg/Documents/development/archon-search/archon_search/pipeline.py</t>
        </is>
      </c>
      <c r="C145" t="inlineStr">
        <is>
          <t>smells-08</t>
        </is>
      </c>
      <c r="D145" t="n">
        <v>2385</v>
      </c>
      <c r="E145" t="inlineStr">
        <is>
          <t>FP</t>
        </is>
      </c>
      <c r="F145" t="inlineStr">
        <is>
          <t>parameter already typed Optional[str] with documented None default</t>
        </is>
      </c>
    </row>
    <row r="146">
      <c r="A146" t="inlineStr">
        <is>
          <t>archon-search</t>
        </is>
      </c>
      <c r="B146" t="inlineStr">
        <is>
          <t>/Users/manczg/Documents/development/archon-search/archon_search/pipeline.py</t>
        </is>
      </c>
      <c r="C146" t="inlineStr">
        <is>
          <t>smells-08</t>
        </is>
      </c>
      <c r="D146" t="n">
        <v>2572</v>
      </c>
      <c r="E146" t="inlineStr">
        <is>
          <t>FP</t>
        </is>
      </c>
      <c r="F146" t="inlineStr">
        <is>
          <t>parameter already typed Optional[list] with documented None default</t>
        </is>
      </c>
    </row>
    <row r="147">
      <c r="A147" t="inlineStr">
        <is>
          <t>archon-search</t>
        </is>
      </c>
      <c r="B147" t="inlineStr">
        <is>
          <t>/Users/manczg/Documents/development/archon-search/archon_search/pipeline.py</t>
        </is>
      </c>
      <c r="C147" t="inlineStr">
        <is>
          <t>smells-08</t>
        </is>
      </c>
      <c r="D147" t="n">
        <v>2575</v>
      </c>
      <c r="E147" t="inlineStr">
        <is>
          <t>FP</t>
        </is>
      </c>
      <c r="F147" t="inlineStr">
        <is>
          <t>parameter already typed Optional[str] with documented None default</t>
        </is>
      </c>
    </row>
    <row r="148">
      <c r="A148" t="inlineStr">
        <is>
          <t>archon-search</t>
        </is>
      </c>
      <c r="B148" t="inlineStr">
        <is>
          <t>/Users/manczg/Documents/development/archon-search/archon_search/pipeline.py</t>
        </is>
      </c>
      <c r="C148" t="inlineStr">
        <is>
          <t>smells-08</t>
        </is>
      </c>
      <c r="D148" t="n">
        <v>2576</v>
      </c>
      <c r="E148" t="inlineStr">
        <is>
          <t>FP</t>
        </is>
      </c>
      <c r="F148" t="inlineStr">
        <is>
          <t>parameter already typed Optional[str] with documented None default</t>
        </is>
      </c>
    </row>
    <row r="149">
      <c r="A149" t="inlineStr">
        <is>
          <t>archon-search</t>
        </is>
      </c>
      <c r="B149" t="inlineStr">
        <is>
          <t>/Users/manczg/Documents/development/archon-search/archon_search/pipeline.py</t>
        </is>
      </c>
      <c r="C149" t="inlineStr">
        <is>
          <t>smells-08</t>
        </is>
      </c>
      <c r="D149" t="n">
        <v>2629</v>
      </c>
      <c r="E149" t="inlineStr">
        <is>
          <t>FP</t>
        </is>
      </c>
      <c r="F149" t="inlineStr">
        <is>
          <t>parameter already typed Optional[list] with documented None default</t>
        </is>
      </c>
    </row>
    <row r="150">
      <c r="A150" t="inlineStr">
        <is>
          <t>archon-search</t>
        </is>
      </c>
      <c r="B150" t="inlineStr">
        <is>
          <t>/Users/manczg/Documents/development/archon-search/archon_search/pipeline.py</t>
        </is>
      </c>
      <c r="C150" t="inlineStr">
        <is>
          <t>smells-08</t>
        </is>
      </c>
      <c r="D150" t="n">
        <v>2631</v>
      </c>
      <c r="E150" t="inlineStr">
        <is>
          <t>FP</t>
        </is>
      </c>
      <c r="F150" t="inlineStr">
        <is>
          <t>parameter already typed Optional[RAGFusionGenerator] with documented None default</t>
        </is>
      </c>
    </row>
    <row r="151">
      <c r="A151" t="inlineStr">
        <is>
          <t>archon-search</t>
        </is>
      </c>
      <c r="B151" t="inlineStr">
        <is>
          <t>/Users/manczg/Documents/development/archon-search/archon_search/pipeline.py</t>
        </is>
      </c>
      <c r="C151" t="inlineStr">
        <is>
          <t>smells-08</t>
        </is>
      </c>
      <c r="D151" t="n">
        <v>2632</v>
      </c>
      <c r="E151" t="inlineStr">
        <is>
          <t>FP</t>
        </is>
      </c>
      <c r="F151" t="inlineStr">
        <is>
          <t>parameter already typed Optional[RAGFusionConfig] with documented None default</t>
        </is>
      </c>
    </row>
    <row r="152">
      <c r="A152" t="inlineStr">
        <is>
          <t>archon-search</t>
        </is>
      </c>
      <c r="B152" t="inlineStr">
        <is>
          <t>/Users/manczg/Documents/development/archon-search/archon_search/pipeline.py</t>
        </is>
      </c>
      <c r="C152" t="inlineStr">
        <is>
          <t>smells-08</t>
        </is>
      </c>
      <c r="D152" t="n">
        <v>2633</v>
      </c>
      <c r="E152" t="inlineStr">
        <is>
          <t>FP</t>
        </is>
      </c>
      <c r="F152" t="inlineStr">
        <is>
          <t>parameter already typed Optional[SearchFilters] with documented None default</t>
        </is>
      </c>
    </row>
    <row r="153">
      <c r="A153" t="inlineStr">
        <is>
          <t>archon-search</t>
        </is>
      </c>
      <c r="B153" t="inlineStr">
        <is>
          <t>/Users/manczg/Documents/development/archon-search/archon_search/pipeline.py</t>
        </is>
      </c>
      <c r="C153" t="inlineStr">
        <is>
          <t>smells-08</t>
        </is>
      </c>
      <c r="D153" t="n">
        <v>2634</v>
      </c>
      <c r="E153" t="inlineStr">
        <is>
          <t>FP</t>
        </is>
      </c>
      <c r="F153" t="inlineStr">
        <is>
          <t>parameter already typed Optional[str] with documented None default</t>
        </is>
      </c>
    </row>
    <row r="154">
      <c r="A154" t="inlineStr">
        <is>
          <t>archon-search</t>
        </is>
      </c>
      <c r="B154" t="inlineStr">
        <is>
          <t>/Users/manczg/Documents/development/archon-search/archon_search/pipeline.py</t>
        </is>
      </c>
      <c r="C154" t="inlineStr">
        <is>
          <t>smells-08</t>
        </is>
      </c>
      <c r="D154" t="n">
        <v>2635</v>
      </c>
      <c r="E154" t="inlineStr">
        <is>
          <t>FP</t>
        </is>
      </c>
      <c r="F154" t="inlineStr">
        <is>
          <t>parameter already typed Optional[str] with documented None default</t>
        </is>
      </c>
    </row>
    <row r="155">
      <c r="A155" t="inlineStr">
        <is>
          <t>archon-search</t>
        </is>
      </c>
      <c r="B155" t="inlineStr">
        <is>
          <t>/Users/manczg/Documents/development/archon-search/archon_search/pipeline.py</t>
        </is>
      </c>
      <c r="C155" t="inlineStr">
        <is>
          <t>smells-08</t>
        </is>
      </c>
      <c r="D155" t="n">
        <v>3209</v>
      </c>
      <c r="E155" t="inlineStr">
        <is>
          <t>FP</t>
        </is>
      </c>
      <c r="F155" t="inlineStr">
        <is>
          <t>parameter already typed Optional[SearchFilters] with documented None default</t>
        </is>
      </c>
    </row>
    <row r="156">
      <c r="A156" t="inlineStr">
        <is>
          <t>archon-search</t>
        </is>
      </c>
      <c r="B156" t="inlineStr">
        <is>
          <t>/Users/manczg/Documents/development/archon-search/archon_search/pipeline.py</t>
        </is>
      </c>
      <c r="C156" t="inlineStr">
        <is>
          <t>smells-08</t>
        </is>
      </c>
      <c r="D156" t="n">
        <v>3210</v>
      </c>
      <c r="E156" t="inlineStr">
        <is>
          <t>FP</t>
        </is>
      </c>
      <c r="F156" t="inlineStr">
        <is>
          <t>parameter already typed Optional[str] with documented None default</t>
        </is>
      </c>
    </row>
    <row r="157">
      <c r="A157" t="inlineStr">
        <is>
          <t>archon-search</t>
        </is>
      </c>
      <c r="B157" t="inlineStr">
        <is>
          <t>/Users/manczg/Documents/development/archon-search/archon_search/pipeline.py</t>
        </is>
      </c>
      <c r="C157" t="inlineStr">
        <is>
          <t>smells-08</t>
        </is>
      </c>
      <c r="D157" t="n">
        <v>3297</v>
      </c>
      <c r="E157" t="inlineStr">
        <is>
          <t>FP</t>
        </is>
      </c>
      <c r="F157" t="inlineStr">
        <is>
          <t>parameter already typed Optional[SearchFilters] with documented None default</t>
        </is>
      </c>
    </row>
    <row r="158">
      <c r="A158" t="inlineStr">
        <is>
          <t>archon-search</t>
        </is>
      </c>
      <c r="B158" t="inlineStr">
        <is>
          <t>/Users/manczg/Documents/development/archon-search/archon_search/pipeline.py</t>
        </is>
      </c>
      <c r="C158" t="inlineStr">
        <is>
          <t>smells-08</t>
        </is>
      </c>
      <c r="D158" t="n">
        <v>3298</v>
      </c>
      <c r="E158" t="inlineStr">
        <is>
          <t>FP</t>
        </is>
      </c>
      <c r="F158" t="inlineStr">
        <is>
          <t>parameter already typed Optional[list] with documented None default</t>
        </is>
      </c>
    </row>
    <row r="159">
      <c r="A159" t="inlineStr">
        <is>
          <t>archon-search</t>
        </is>
      </c>
      <c r="B159" t="inlineStr">
        <is>
          <t>/Users/manczg/Documents/development/archon-search/archon_search/pipeline.py</t>
        </is>
      </c>
      <c r="C159" t="inlineStr">
        <is>
          <t>smells-08</t>
        </is>
      </c>
      <c r="D159" t="n">
        <v>3300</v>
      </c>
      <c r="E159" t="inlineStr">
        <is>
          <t>FP</t>
        </is>
      </c>
      <c r="F159" t="inlineStr">
        <is>
          <t>parameter already typed Optional[RAGFusionGenerator] with documented None default</t>
        </is>
      </c>
    </row>
    <row r="160">
      <c r="A160" t="inlineStr">
        <is>
          <t>archon-search</t>
        </is>
      </c>
      <c r="B160" t="inlineStr">
        <is>
          <t>/Users/manczg/Documents/development/archon-search/archon_search/pipeline.py</t>
        </is>
      </c>
      <c r="C160" t="inlineStr">
        <is>
          <t>smells-08</t>
        </is>
      </c>
      <c r="D160" t="n">
        <v>3301</v>
      </c>
      <c r="E160" t="inlineStr">
        <is>
          <t>FP</t>
        </is>
      </c>
      <c r="F160" t="inlineStr">
        <is>
          <t>parameter already typed Optional[RAGFusionConfig] with documented None default</t>
        </is>
      </c>
    </row>
    <row r="161">
      <c r="A161" t="inlineStr">
        <is>
          <t>archon-search</t>
        </is>
      </c>
      <c r="B161" t="inlineStr">
        <is>
          <t>/Users/manczg/Documents/development/archon-search/archon_search/pipeline.py</t>
        </is>
      </c>
      <c r="C161" t="inlineStr">
        <is>
          <t>smells-08</t>
        </is>
      </c>
      <c r="D161" t="n">
        <v>3302</v>
      </c>
      <c r="E161" t="inlineStr">
        <is>
          <t>FP</t>
        </is>
      </c>
      <c r="F161" t="inlineStr">
        <is>
          <t>parameter already typed Optional[str] with documented None default</t>
        </is>
      </c>
    </row>
    <row r="162">
      <c r="A162" t="inlineStr">
        <is>
          <t>archon-search</t>
        </is>
      </c>
      <c r="B162" t="inlineStr">
        <is>
          <t>/Users/manczg/Documents/development/archon-search/archon_search/pipeline.py</t>
        </is>
      </c>
      <c r="C162" t="inlineStr">
        <is>
          <t>smells-08</t>
        </is>
      </c>
      <c r="D162" t="n">
        <v>3414</v>
      </c>
      <c r="E162" t="inlineStr">
        <is>
          <t>TP</t>
        </is>
      </c>
      <c r="F162" t="inlineStr">
        <is>
          <t>get_collection_meta returns CollectionMeta | None, a nullable return-type annotation forcing callers to null-check</t>
        </is>
      </c>
    </row>
    <row r="163">
      <c r="A163" t="inlineStr">
        <is>
          <t>archon-search</t>
        </is>
      </c>
      <c r="B163" t="inlineStr">
        <is>
          <t>/Users/manczg/Documents/development/archon-search/archon_search/pipeline.py</t>
        </is>
      </c>
      <c r="C163" t="inlineStr">
        <is>
          <t>smells-08</t>
        </is>
      </c>
      <c r="D163" t="n">
        <v>3421</v>
      </c>
      <c r="E163" t="inlineStr">
        <is>
          <t>FP</t>
        </is>
      </c>
      <c r="F163" t="inlineStr">
        <is>
          <t>cursor parameter already typed Optional[str] with documented None default</t>
        </is>
      </c>
    </row>
    <row r="164">
      <c r="A164" t="inlineStr">
        <is>
          <t>archon-search</t>
        </is>
      </c>
      <c r="B164" t="inlineStr">
        <is>
          <t>/Users/manczg/Documents/development/archon-search/archon_search/pipeline.py</t>
        </is>
      </c>
      <c r="C164" t="inlineStr">
        <is>
          <t>smells-08</t>
        </is>
      </c>
      <c r="D164" t="n">
        <v>3423</v>
      </c>
      <c r="E164" t="inlineStr">
        <is>
          <t>TP</t>
        </is>
      </c>
      <c r="F164" t="inlineStr">
        <is>
          <t>list_documents return type embeds str | None (next_cursor) in the tuple return annotation — nullable return type</t>
        </is>
      </c>
    </row>
    <row r="165">
      <c r="A165" t="inlineStr">
        <is>
          <t>archon-search</t>
        </is>
      </c>
      <c r="B165" t="inlineStr">
        <is>
          <t>/Users/manczg/Documents/development/archon-search/archon_search/pipeline.py</t>
        </is>
      </c>
      <c r="C165" t="inlineStr">
        <is>
          <t>smells-08</t>
        </is>
      </c>
      <c r="D165" t="n">
        <v>3558</v>
      </c>
      <c r="E165" t="inlineStr">
        <is>
          <t>FP</t>
        </is>
      </c>
      <c r="F165" t="inlineStr">
        <is>
          <t>parameter already typed Optional[EmbedderBackend] with documented None default</t>
        </is>
      </c>
    </row>
    <row r="166">
      <c r="A166" t="inlineStr">
        <is>
          <t>archon-search</t>
        </is>
      </c>
      <c r="B166" t="inlineStr">
        <is>
          <t>/Users/manczg/Documents/development/archon-search/archon_search/pipeline.py</t>
        </is>
      </c>
      <c r="C166" t="inlineStr">
        <is>
          <t>smells-08</t>
        </is>
      </c>
      <c r="D166" t="n">
        <v>3559</v>
      </c>
      <c r="E166" t="inlineStr">
        <is>
          <t>FP</t>
        </is>
      </c>
      <c r="F166" t="inlineStr">
        <is>
          <t>parameter already typed Optional[RerankerBackend] with documented None default</t>
        </is>
      </c>
    </row>
    <row r="167">
      <c r="A167" t="inlineStr">
        <is>
          <t>archon-search</t>
        </is>
      </c>
      <c r="B167" t="inlineStr">
        <is>
          <t>/Users/manczg/Documents/development/archon-search/archon_search/pipeline.py</t>
        </is>
      </c>
      <c r="C167" t="inlineStr">
        <is>
          <t>smells-12</t>
        </is>
      </c>
      <c r="D167" t="n">
        <v>297</v>
      </c>
      <c r="E167" t="inlineStr">
        <is>
          <t>TP</t>
        </is>
      </c>
      <c r="F167" t="inlineStr">
        <is>
          <t>except Exception in _extract_front_matter catches generic base exception with no specific handling, silently returns fallback</t>
        </is>
      </c>
    </row>
    <row r="168">
      <c r="A168" t="inlineStr">
        <is>
          <t>archon-search</t>
        </is>
      </c>
      <c r="B168" t="inlineStr">
        <is>
          <t>/Users/manczg/Documents/development/archon-search/archon_search/pipeline.py</t>
        </is>
      </c>
      <c r="C168" t="inlineStr">
        <is>
          <t>smells-12</t>
        </is>
      </c>
      <c r="D168" t="n">
        <v>409</v>
      </c>
      <c r="E168" t="inlineStr">
        <is>
          <t>TP</t>
        </is>
      </c>
      <c r="F168" t="inlineStr">
        <is>
          <t>except Exception logs and continues without re-throwing (warmup_models embedder failure)</t>
        </is>
      </c>
    </row>
    <row r="169">
      <c r="A169" t="inlineStr">
        <is>
          <t>archon-search</t>
        </is>
      </c>
      <c r="B169" t="inlineStr">
        <is>
          <t>/Users/manczg/Documents/development/archon-search/archon_search/pipeline.py</t>
        </is>
      </c>
      <c r="C169" t="inlineStr">
        <is>
          <t>smells-12</t>
        </is>
      </c>
      <c r="D169" t="n">
        <v>414</v>
      </c>
      <c r="E169" t="inlineStr">
        <is>
          <t>TP</t>
        </is>
      </c>
      <c r="F169" t="inlineStr">
        <is>
          <t>except Exception logs and continues without re-throwing (warmup_models reranker failure)</t>
        </is>
      </c>
    </row>
    <row r="170">
      <c r="A170" t="inlineStr">
        <is>
          <t>archon-search</t>
        </is>
      </c>
      <c r="B170" t="inlineStr">
        <is>
          <t>/Users/manczg/Documents/development/archon-search/archon_search/pipeline.py</t>
        </is>
      </c>
      <c r="C170" t="inlineStr">
        <is>
          <t>smells-12</t>
        </is>
      </c>
      <c r="D170" t="n">
        <v>542</v>
      </c>
      <c r="E170" t="inlineStr">
        <is>
          <t>TP</t>
        </is>
      </c>
      <c r="F170" t="inlineStr">
        <is>
          <t>except Exception as e logs and continues without re-throwing (language detection failure)</t>
        </is>
      </c>
    </row>
    <row r="171">
      <c r="A171" t="inlineStr">
        <is>
          <t>archon-search</t>
        </is>
      </c>
      <c r="B171" t="inlineStr">
        <is>
          <t>/Users/manczg/Documents/development/archon-search/archon_search/pipeline.py</t>
        </is>
      </c>
      <c r="C171" t="inlineStr">
        <is>
          <t>smells-12</t>
        </is>
      </c>
      <c r="D171" t="n">
        <v>656</v>
      </c>
      <c r="E171" t="inlineStr">
        <is>
          <t>TP</t>
        </is>
      </c>
      <c r="F171" t="inlineStr">
        <is>
          <t>except Exception logs and continues without re-throwing (graph extraction failure)</t>
        </is>
      </c>
    </row>
    <row r="172">
      <c r="A172" t="inlineStr">
        <is>
          <t>archon-search</t>
        </is>
      </c>
      <c r="B172" t="inlineStr">
        <is>
          <t>/Users/manczg/Documents/development/archon-search/archon_search/pipeline.py</t>
        </is>
      </c>
      <c r="C172" t="inlineStr">
        <is>
          <t>smells-12</t>
        </is>
      </c>
      <c r="D172" t="n">
        <v>711</v>
      </c>
      <c r="E172" t="inlineStr">
        <is>
          <t>TP</t>
        </is>
      </c>
      <c r="F172" t="inlineStr">
        <is>
          <t>except Exception logs and continues without re-throwing (optimize_fts failure)</t>
        </is>
      </c>
    </row>
    <row r="173">
      <c r="A173" t="inlineStr">
        <is>
          <t>archon-search</t>
        </is>
      </c>
      <c r="B173" t="inlineStr">
        <is>
          <t>/Users/manczg/Documents/development/archon-search/archon_search/pipeline.py</t>
        </is>
      </c>
      <c r="C173" t="inlineStr">
        <is>
          <t>smells-12</t>
        </is>
      </c>
      <c r="D173" t="n">
        <v>766</v>
      </c>
      <c r="E173" t="inlineStr">
        <is>
          <t>TP</t>
        </is>
      </c>
      <c r="F173" t="inlineStr">
        <is>
          <t>except Exception logs and continues without re-throwing (graph write failure)</t>
        </is>
      </c>
    </row>
    <row r="174">
      <c r="A174" t="inlineStr">
        <is>
          <t>archon-search</t>
        </is>
      </c>
      <c r="B174" t="inlineStr">
        <is>
          <t>/Users/manczg/Documents/development/archon-search/archon_search/pipeline.py</t>
        </is>
      </c>
      <c r="C174" t="inlineStr">
        <is>
          <t>smells-12</t>
        </is>
      </c>
      <c r="D174" t="n">
        <v>833</v>
      </c>
      <c r="E174" t="inlineStr">
        <is>
          <t>TP</t>
        </is>
      </c>
      <c r="F174" t="inlineStr">
        <is>
          <t>except Exception logs and continues without re-throwing (DefRef extraction failure)</t>
        </is>
      </c>
    </row>
    <row r="175">
      <c r="A175" t="inlineStr">
        <is>
          <t>archon-search</t>
        </is>
      </c>
      <c r="B175" t="inlineStr">
        <is>
          <t>/Users/manczg/Documents/development/archon-search/archon_search/pipeline.py</t>
        </is>
      </c>
      <c r="C175" t="inlineStr">
        <is>
          <t>smells-12</t>
        </is>
      </c>
      <c r="D175" t="n">
        <v>852</v>
      </c>
      <c r="E175" t="inlineStr">
        <is>
          <t>TP</t>
        </is>
      </c>
      <c r="F175" t="inlineStr">
        <is>
          <t>except Exception logs and continues without re-throwing (PageRank recompute callback failure)</t>
        </is>
      </c>
    </row>
    <row r="176">
      <c r="A176" t="inlineStr">
        <is>
          <t>archon-search</t>
        </is>
      </c>
      <c r="B176" t="inlineStr">
        <is>
          <t>/Users/manczg/Documents/development/archon-search/archon_search/pipeline.py</t>
        </is>
      </c>
      <c r="C176" t="inlineStr">
        <is>
          <t>smells-12</t>
        </is>
      </c>
      <c r="D176" t="n">
        <v>872</v>
      </c>
      <c r="E176" t="inlineStr">
        <is>
          <t>TP</t>
        </is>
      </c>
      <c r="F176" t="inlineStr">
        <is>
          <t>except Exception logs and continues without re-throwing (synonym enrichment callback failure)</t>
        </is>
      </c>
    </row>
    <row r="177">
      <c r="A177" t="inlineStr">
        <is>
          <t>archon-search</t>
        </is>
      </c>
      <c r="B177" t="inlineStr">
        <is>
          <t>/Users/manczg/Documents/development/archon-search/archon_search/pipeline.py</t>
        </is>
      </c>
      <c r="C177" t="inlineStr">
        <is>
          <t>smells-12</t>
        </is>
      </c>
      <c r="D177" t="n">
        <v>970</v>
      </c>
      <c r="E177" t="inlineStr">
        <is>
          <t>TP</t>
        </is>
      </c>
      <c r="F177" t="inlineStr">
        <is>
          <t>except Exception logs and continues without re-throwing (optimize_fts failure)</t>
        </is>
      </c>
    </row>
    <row r="178">
      <c r="A178" t="inlineStr">
        <is>
          <t>archon-search</t>
        </is>
      </c>
      <c r="B178" t="inlineStr">
        <is>
          <t>/Users/manczg/Documents/development/archon-search/archon_search/pipeline.py</t>
        </is>
      </c>
      <c r="C178" t="inlineStr">
        <is>
          <t>smells-12</t>
        </is>
      </c>
      <c r="D178" t="n">
        <v>1103</v>
      </c>
      <c r="E178" t="inlineStr">
        <is>
          <t>TP</t>
        </is>
      </c>
      <c r="F178" t="inlineStr">
        <is>
          <t>except Exception logs and continues without re-throwing (rag_fusion generate_variants failure)</t>
        </is>
      </c>
    </row>
    <row r="179">
      <c r="A179" t="inlineStr">
        <is>
          <t>archon-search</t>
        </is>
      </c>
      <c r="B179" t="inlineStr">
        <is>
          <t>/Users/manczg/Documents/development/archon-search/archon_search/pipeline.py</t>
        </is>
      </c>
      <c r="C179" t="inlineStr">
        <is>
          <t>smells-12</t>
        </is>
      </c>
      <c r="D179" t="n">
        <v>1123</v>
      </c>
      <c r="E179" t="inlineStr">
        <is>
          <t>TP</t>
        </is>
      </c>
      <c r="F179" t="inlineStr">
        <is>
          <t>except Exception logs and continues without re-throwing (rag_fusion embedding failure)</t>
        </is>
      </c>
    </row>
    <row r="180">
      <c r="A180" t="inlineStr">
        <is>
          <t>archon-search</t>
        </is>
      </c>
      <c r="B180" t="inlineStr">
        <is>
          <t>/Users/manczg/Documents/development/archon-search/archon_search/pipeline.py</t>
        </is>
      </c>
      <c r="C180" t="inlineStr">
        <is>
          <t>smells-12</t>
        </is>
      </c>
      <c r="D180" t="n">
        <v>1358</v>
      </c>
      <c r="E180" t="inlineStr">
        <is>
          <t>TP</t>
        </is>
      </c>
      <c r="F180" t="inlineStr">
        <is>
          <t>except Exception logs and continues without re-throwing (PPRWalker.walk failure)</t>
        </is>
      </c>
    </row>
    <row r="181">
      <c r="A181" t="inlineStr">
        <is>
          <t>archon-search</t>
        </is>
      </c>
      <c r="B181" t="inlineStr">
        <is>
          <t>/Users/manczg/Documents/development/archon-search/archon_search/pipeline.py</t>
        </is>
      </c>
      <c r="C181" t="inlineStr">
        <is>
          <t>smells-12</t>
        </is>
      </c>
      <c r="D181" t="n">
        <v>1509</v>
      </c>
      <c r="E181" t="inlineStr">
        <is>
          <t>TP</t>
        </is>
      </c>
      <c r="F181" t="inlineStr">
        <is>
          <t>except Exception logs and continues without re-throwing (find_nodes_by_name failure)</t>
        </is>
      </c>
    </row>
    <row r="182">
      <c r="A182" t="inlineStr">
        <is>
          <t>archon-search</t>
        </is>
      </c>
      <c r="B182" t="inlineStr">
        <is>
          <t>/Users/manczg/Documents/development/archon-search/archon_search/pipeline.py</t>
        </is>
      </c>
      <c r="C182" t="inlineStr">
        <is>
          <t>smells-12</t>
        </is>
      </c>
      <c r="D182" t="n">
        <v>1530</v>
      </c>
      <c r="E182" t="inlineStr">
        <is>
          <t>TP</t>
        </is>
      </c>
      <c r="F182" t="inlineStr">
        <is>
          <t>except Exception logs and continues without re-throwing (communities_table_exists failure)</t>
        </is>
      </c>
    </row>
    <row r="183">
      <c r="A183" t="inlineStr">
        <is>
          <t>archon-search</t>
        </is>
      </c>
      <c r="B183" t="inlineStr">
        <is>
          <t>/Users/manczg/Documents/development/archon-search/archon_search/pipeline.py</t>
        </is>
      </c>
      <c r="C183" t="inlineStr">
        <is>
          <t>smells-12</t>
        </is>
      </c>
      <c r="D183" t="n">
        <v>1550</v>
      </c>
      <c r="E183" t="inlineStr">
        <is>
          <t>TP</t>
        </is>
      </c>
      <c r="F183" t="inlineStr">
        <is>
          <t>except Exception logs and continues without re-throwing (get_communities_for_entities failure)</t>
        </is>
      </c>
    </row>
    <row r="184">
      <c r="A184" t="inlineStr">
        <is>
          <t>archon-search</t>
        </is>
      </c>
      <c r="B184" t="inlineStr">
        <is>
          <t>/Users/manczg/Documents/development/archon-search/archon_search/pipeline.py</t>
        </is>
      </c>
      <c r="C184" t="inlineStr">
        <is>
          <t>smells-12</t>
        </is>
      </c>
      <c r="D184" t="n">
        <v>1985</v>
      </c>
      <c r="E184" t="inlineStr">
        <is>
          <t>TP</t>
        </is>
      </c>
      <c r="F184" t="inlineStr">
        <is>
          <t>except Exception as exc logs and continues without re-throwing (rag_fusion explain generate_variants failure)</t>
        </is>
      </c>
    </row>
    <row r="185">
      <c r="A185" t="inlineStr">
        <is>
          <t>archon-search</t>
        </is>
      </c>
      <c r="B185" t="inlineStr">
        <is>
          <t>/Users/manczg/Documents/development/archon-search/archon_search/pipeline.py</t>
        </is>
      </c>
      <c r="C185" t="inlineStr">
        <is>
          <t>smells-12</t>
        </is>
      </c>
      <c r="D185" t="n">
        <v>2004</v>
      </c>
      <c r="E185" t="inlineStr">
        <is>
          <t>TP</t>
        </is>
      </c>
      <c r="F185" t="inlineStr">
        <is>
          <t>except Exception as exc logs and continues without re-throwing (rag_fusion explain embedding failure)</t>
        </is>
      </c>
    </row>
    <row r="186">
      <c r="A186" t="inlineStr">
        <is>
          <t>archon-search</t>
        </is>
      </c>
      <c r="B186" t="inlineStr">
        <is>
          <t>/Users/manczg/Documents/development/archon-search/archon_search/pipeline.py</t>
        </is>
      </c>
      <c r="C186" t="inlineStr">
        <is>
          <t>smells-12</t>
        </is>
      </c>
      <c r="D186" t="n">
        <v>2148</v>
      </c>
      <c r="E186" t="inlineStr">
        <is>
          <t>TP</t>
        </is>
      </c>
      <c r="F186" t="inlineStr">
        <is>
          <t>except Exception logs and continues without re-throwing (find_nodes_by_name failure)</t>
        </is>
      </c>
    </row>
    <row r="187">
      <c r="A187" t="inlineStr">
        <is>
          <t>archon-search</t>
        </is>
      </c>
      <c r="B187" t="inlineStr">
        <is>
          <t>/Users/manczg/Documents/development/archon-search/archon_search/pipeline.py</t>
        </is>
      </c>
      <c r="C187" t="inlineStr">
        <is>
          <t>smells-12</t>
        </is>
      </c>
      <c r="D187" t="n">
        <v>2164</v>
      </c>
      <c r="E187" t="inlineStr">
        <is>
          <t>TP</t>
        </is>
      </c>
      <c r="F187" t="inlineStr">
        <is>
          <t>except Exception logs and continues without re-throwing (get_edges_for_nodes failure)</t>
        </is>
      </c>
    </row>
    <row r="188">
      <c r="A188" t="inlineStr">
        <is>
          <t>archon-search</t>
        </is>
      </c>
      <c r="B188" t="inlineStr">
        <is>
          <t>/Users/manczg/Documents/development/archon-search/archon_search/pipeline.py</t>
        </is>
      </c>
      <c r="C188" t="inlineStr">
        <is>
          <t>smells-12</t>
        </is>
      </c>
      <c r="D188" t="n">
        <v>2174</v>
      </c>
      <c r="E188" t="inlineStr">
        <is>
          <t>TP</t>
        </is>
      </c>
      <c r="F188" t="inlineStr">
        <is>
          <t>except Exception logs and continues without re-throwing (get_neighbours failure)</t>
        </is>
      </c>
    </row>
    <row r="189">
      <c r="A189" t="inlineStr">
        <is>
          <t>archon-search</t>
        </is>
      </c>
      <c r="B189" t="inlineStr">
        <is>
          <t>/Users/manczg/Documents/development/archon-search/archon_search/pipeline.py</t>
        </is>
      </c>
      <c r="C189" t="inlineStr">
        <is>
          <t>smells-12</t>
        </is>
      </c>
      <c r="D189" t="n">
        <v>2268</v>
      </c>
      <c r="E189" t="inlineStr">
        <is>
          <t>TP</t>
        </is>
      </c>
      <c r="F189" t="inlineStr">
        <is>
          <t>except Exception logs and continues without re-throwing (PPRWalker.walk failure)</t>
        </is>
      </c>
    </row>
    <row r="190">
      <c r="A190" t="inlineStr">
        <is>
          <t>archon-search</t>
        </is>
      </c>
      <c r="B190" t="inlineStr">
        <is>
          <t>/Users/manczg/Documents/development/archon-search/archon_search/pipeline.py</t>
        </is>
      </c>
      <c r="C190" t="inlineStr">
        <is>
          <t>smells-12</t>
        </is>
      </c>
      <c r="D190" t="n">
        <v>2298</v>
      </c>
      <c r="E190" t="inlineStr">
        <is>
          <t>TP</t>
        </is>
      </c>
      <c r="F190" t="inlineStr">
        <is>
          <t>except Exception logs and continues without re-throwing (node lookup failure)</t>
        </is>
      </c>
    </row>
    <row r="191">
      <c r="A191" t="inlineStr">
        <is>
          <t>archon-search</t>
        </is>
      </c>
      <c r="B191" t="inlineStr">
        <is>
          <t>/Users/manczg/Documents/development/archon-search/archon_search/pipeline.py</t>
        </is>
      </c>
      <c r="C191" t="inlineStr">
        <is>
          <t>smells-12</t>
        </is>
      </c>
      <c r="D191" t="n">
        <v>2427</v>
      </c>
      <c r="E191" t="inlineStr">
        <is>
          <t>TP</t>
        </is>
      </c>
      <c r="F191" t="inlineStr">
        <is>
          <t>except Exception logs and continues without re-throwing (find_nodes_by_name failure)</t>
        </is>
      </c>
    </row>
    <row r="192">
      <c r="A192" t="inlineStr">
        <is>
          <t>archon-search</t>
        </is>
      </c>
      <c r="B192" t="inlineStr">
        <is>
          <t>/Users/manczg/Documents/development/archon-search/archon_search/pipeline.py</t>
        </is>
      </c>
      <c r="C192" t="inlineStr">
        <is>
          <t>smells-12</t>
        </is>
      </c>
      <c r="D192" t="n">
        <v>2445</v>
      </c>
      <c r="E192" t="inlineStr">
        <is>
          <t>TP</t>
        </is>
      </c>
      <c r="F192" t="inlineStr">
        <is>
          <t>except Exception logs and continues without re-throwing (communities_table_exists failure)</t>
        </is>
      </c>
    </row>
    <row r="193">
      <c r="A193" t="inlineStr">
        <is>
          <t>archon-search</t>
        </is>
      </c>
      <c r="B193" t="inlineStr">
        <is>
          <t>/Users/manczg/Documents/development/archon-search/archon_search/pipeline.py</t>
        </is>
      </c>
      <c r="C193" t="inlineStr">
        <is>
          <t>smells-12</t>
        </is>
      </c>
      <c r="D193" t="n">
        <v>2461</v>
      </c>
      <c r="E193" t="inlineStr">
        <is>
          <t>TP</t>
        </is>
      </c>
      <c r="F193" t="inlineStr">
        <is>
          <t>except Exception logs and continues without re-throwing (get_communities_for_entities failure)</t>
        </is>
      </c>
    </row>
    <row r="194">
      <c r="A194" t="inlineStr">
        <is>
          <t>archon-search</t>
        </is>
      </c>
      <c r="B194" t="inlineStr">
        <is>
          <t>/Users/manczg/Documents/development/archon-search/archon_search/pipeline.py</t>
        </is>
      </c>
      <c r="C194" t="inlineStr">
        <is>
          <t>smells-12</t>
        </is>
      </c>
      <c r="D194" t="n">
        <v>2697</v>
      </c>
      <c r="E194" t="inlineStr">
        <is>
          <t>TP</t>
        </is>
      </c>
      <c r="F194" t="inlineStr">
        <is>
          <t>except Exception logs and continues without re-throwing (rag_fusion search_many generate_variants failure)</t>
        </is>
      </c>
    </row>
    <row r="195">
      <c r="A195" t="inlineStr">
        <is>
          <t>archon-search</t>
        </is>
      </c>
      <c r="B195" t="inlineStr">
        <is>
          <t>/Users/manczg/Documents/development/archon-search/archon_search/pipeline.py</t>
        </is>
      </c>
      <c r="C195" t="inlineStr">
        <is>
          <t>smells-12</t>
        </is>
      </c>
      <c r="D195" t="n">
        <v>2713</v>
      </c>
      <c r="E195" t="inlineStr">
        <is>
          <t>TP</t>
        </is>
      </c>
      <c r="F195" t="inlineStr">
        <is>
          <t>except Exception logs and continues without re-throwing (rag_fusion search_many embedding failure)</t>
        </is>
      </c>
    </row>
    <row r="196">
      <c r="A196" t="inlineStr">
        <is>
          <t>archon-search</t>
        </is>
      </c>
      <c r="B196" t="inlineStr">
        <is>
          <t>/Users/manczg/Documents/development/archon-search/archon_search/pipeline.py</t>
        </is>
      </c>
      <c r="C196" t="inlineStr">
        <is>
          <t>smells-12</t>
        </is>
      </c>
      <c r="D196" t="n">
        <v>3006</v>
      </c>
      <c r="E196" t="inlineStr">
        <is>
          <t>TP</t>
        </is>
      </c>
      <c r="F196" t="inlineStr">
        <is>
          <t>except Exception logs and continues without re-throwing (find_nodes_by_name failure)</t>
        </is>
      </c>
    </row>
    <row r="197">
      <c r="A197" t="inlineStr">
        <is>
          <t>archon-search</t>
        </is>
      </c>
      <c r="B197" t="inlineStr">
        <is>
          <t>/Users/manczg/Documents/development/archon-search/archon_search/pipeline.py</t>
        </is>
      </c>
      <c r="C197" t="inlineStr">
        <is>
          <t>smells-12</t>
        </is>
      </c>
      <c r="D197" t="n">
        <v>3020</v>
      </c>
      <c r="E197" t="inlineStr">
        <is>
          <t>TP</t>
        </is>
      </c>
      <c r="F197" t="inlineStr">
        <is>
          <t>except Exception logs and continues without re-throwing (communities_table_exists failure)</t>
        </is>
      </c>
    </row>
    <row r="198">
      <c r="A198" t="inlineStr">
        <is>
          <t>archon-search</t>
        </is>
      </c>
      <c r="B198" t="inlineStr">
        <is>
          <t>/Users/manczg/Documents/development/archon-search/archon_search/pipeline.py</t>
        </is>
      </c>
      <c r="C198" t="inlineStr">
        <is>
          <t>smells-12</t>
        </is>
      </c>
      <c r="D198" t="n">
        <v>3039</v>
      </c>
      <c r="E198" t="inlineStr">
        <is>
          <t>TP</t>
        </is>
      </c>
      <c r="F198" t="inlineStr">
        <is>
          <t>except Exception logs and continues without re-throwing (get_communities_for_entities failure)</t>
        </is>
      </c>
    </row>
    <row r="199">
      <c r="A199" t="inlineStr">
        <is>
          <t>archon-search</t>
        </is>
      </c>
      <c r="B199" t="inlineStr">
        <is>
          <t>/Users/manczg/Documents/development/archon-search/archon_search/pipeline.py</t>
        </is>
      </c>
      <c r="C199" t="inlineStr">
        <is>
          <t>smells-12</t>
        </is>
      </c>
      <c r="D199" t="n">
        <v>3388</v>
      </c>
      <c r="E199" t="inlineStr">
        <is>
          <t>TP</t>
        </is>
      </c>
      <c r="F199" t="inlineStr">
        <is>
          <t>except Exception logs and continues without re-throwing (graph mention cleanup failure)</t>
        </is>
      </c>
    </row>
    <row r="200">
      <c r="A200" t="inlineStr">
        <is>
          <t>archon-search</t>
        </is>
      </c>
      <c r="B200" t="inlineStr">
        <is>
          <t>/Users/manczg/Documents/development/archon-search/archon_search/pipeline.py</t>
        </is>
      </c>
      <c r="C200" t="inlineStr">
        <is>
          <t>smells-12</t>
        </is>
      </c>
      <c r="D200" t="n">
        <v>3398</v>
      </c>
      <c r="E200" t="inlineStr">
        <is>
          <t>TP</t>
        </is>
      </c>
      <c r="F200" t="inlineStr">
        <is>
          <t>except Exception logs and continues without re-throwing (graph node/edge cleanup failure)</t>
        </is>
      </c>
    </row>
    <row r="201">
      <c r="A201" t="inlineStr">
        <is>
          <t>archon-search</t>
        </is>
      </c>
      <c r="B201" t="inlineStr">
        <is>
          <t>/Users/manczg/Documents/development/archon-search/archon_search/pipeline.py</t>
        </is>
      </c>
      <c r="C201" t="inlineStr">
        <is>
          <t>solid-06</t>
        </is>
      </c>
      <c r="D201" t="n">
        <v>78</v>
      </c>
      <c r="E201" t="inlineStr">
        <is>
          <t>FP</t>
        </is>
      </c>
      <c r="F201" t="inlineStr">
        <is>
          <t>self.names on CollectionNotFoundError(Exception) — exception classes are conventional public data carriers, not encapsulation breaks</t>
        </is>
      </c>
    </row>
    <row r="202">
      <c r="A202" t="inlineStr">
        <is>
          <t>archon-search</t>
        </is>
      </c>
      <c r="B202" t="inlineStr">
        <is>
          <t>/Users/manczg/Documents/development/archon-search/archon_search/pipeline.py</t>
        </is>
      </c>
      <c r="C202" t="inlineStr">
        <is>
          <t>solid-06</t>
        </is>
      </c>
      <c r="D202" t="n">
        <v>90</v>
      </c>
      <c r="E202" t="inlineStr">
        <is>
          <t>FP</t>
        </is>
      </c>
      <c r="F202" t="inlineStr">
        <is>
          <t>self.cause on MetadataLookupError(Exception) — exception data carrier</t>
        </is>
      </c>
    </row>
    <row r="203">
      <c r="A203" t="inlineStr">
        <is>
          <t>archon-search</t>
        </is>
      </c>
      <c r="B203" t="inlineStr">
        <is>
          <t>/Users/manczg/Documents/development/archon-search/archon_search/pipeline.py</t>
        </is>
      </c>
      <c r="C203" t="inlineStr">
        <is>
          <t>solid-06</t>
        </is>
      </c>
      <c r="D203" t="n">
        <v>137</v>
      </c>
      <c r="E203" t="inlineStr">
        <is>
          <t>FP</t>
        </is>
      </c>
      <c r="F203" t="inlineStr">
        <is>
          <t>self.stage on ExplainStageError(Exception), docstring explicitly says it 'carries the stage name' — data carrier</t>
        </is>
      </c>
    </row>
    <row r="204">
      <c r="A204" t="inlineStr">
        <is>
          <t>archon-search</t>
        </is>
      </c>
      <c r="B204" t="inlineStr">
        <is>
          <t>/Users/manczg/Documents/development/archon-search/archon_search/pipeline.py</t>
        </is>
      </c>
      <c r="C204" t="inlineStr">
        <is>
          <t>solid-06</t>
        </is>
      </c>
      <c r="D204" t="n">
        <v>138</v>
      </c>
      <c r="E204" t="inlineStr">
        <is>
          <t>FP</t>
        </is>
      </c>
      <c r="F204" t="inlineStr">
        <is>
          <t>self.original on ExplainStageError(Exception) — exception data carrier</t>
        </is>
      </c>
    </row>
    <row r="205">
      <c r="A205" t="inlineStr">
        <is>
          <t>archon-search</t>
        </is>
      </c>
      <c r="B205" t="inlineStr">
        <is>
          <t>/Users/manczg/Documents/development/archon-search/archon_search/pipeline.py</t>
        </is>
      </c>
      <c r="C205" t="inlineStr">
        <is>
          <t>solid-06</t>
        </is>
      </c>
      <c r="D205" t="n">
        <v>146</v>
      </c>
      <c r="E205" t="inlineStr">
        <is>
          <t>FP</t>
        </is>
      </c>
      <c r="F205" t="inlineStr">
        <is>
          <t>self.collection on GraphCommunitiesNotBuiltError(Exception) — exception data carrier</t>
        </is>
      </c>
    </row>
    <row r="206">
      <c r="A206" t="inlineStr">
        <is>
          <t>archon-search</t>
        </is>
      </c>
      <c r="B206" t="inlineStr">
        <is>
          <t>/Users/manczg/Documents/development/archon-search/archon_search/pipeline.py</t>
        </is>
      </c>
      <c r="C206" t="inlineStr">
        <is>
          <t>solid-06</t>
        </is>
      </c>
      <c r="D206" t="n">
        <v>336</v>
      </c>
      <c r="E206" t="inlineStr">
        <is>
          <t>TP</t>
        </is>
      </c>
      <c r="F206" t="inlineStr">
        <is>
          <t>self.store is public while every other SearchPipeline collaborator field uses the _prefix private convention — real encapsulation inconsistency</t>
        </is>
      </c>
    </row>
    <row r="207">
      <c r="A207" t="inlineStr">
        <is>
          <t>archon-search</t>
        </is>
      </c>
      <c r="B207" t="inlineStr">
        <is>
          <t>/Users/manczg/Documents/development/archon-search/archon_search/pipeline.py</t>
        </is>
      </c>
      <c r="C207" t="inlineStr">
        <is>
          <t>solid-07</t>
        </is>
      </c>
      <c r="D207" t="n">
        <v>1031</v>
      </c>
      <c r="E207" t="inlineStr">
        <is>
          <t>TP</t>
        </is>
      </c>
      <c r="F207" t="inlineStr">
        <is>
          <t>graph_mode typed as plain str in search() though it's a bounded set of values elsewhere typed as Literal — primitive obsession</t>
        </is>
      </c>
    </row>
    <row r="208">
      <c r="A208" t="inlineStr">
        <is>
          <t>archon-search</t>
        </is>
      </c>
      <c r="B208" t="inlineStr">
        <is>
          <t>/Users/manczg/Documents/development/archon-search/archon_search/pipeline.py</t>
        </is>
      </c>
      <c r="C208" t="inlineStr">
        <is>
          <t>solid-07</t>
        </is>
      </c>
      <c r="D208" t="n">
        <v>1228</v>
      </c>
      <c r="E208" t="inlineStr">
        <is>
          <t>TP</t>
        </is>
      </c>
      <c r="F208" t="inlineStr">
        <is>
          <t>graph_mode typed as plain str in _search_graph_mode signature — primitive obsession</t>
        </is>
      </c>
    </row>
    <row r="209">
      <c r="A209" t="inlineStr">
        <is>
          <t>archon-search</t>
        </is>
      </c>
      <c r="B209" t="inlineStr">
        <is>
          <t>/Users/manczg/Documents/development/archon-search/archon_search/pipeline.py</t>
        </is>
      </c>
      <c r="C209" t="inlineStr">
        <is>
          <t>solid-07</t>
        </is>
      </c>
      <c r="D209" t="n">
        <v>2499</v>
      </c>
      <c r="E209" t="inlineStr">
        <is>
          <t>FP</t>
        </is>
      </c>
      <c r="F209" t="inlineStr">
        <is>
          <t>entity_id is a transient local variable built from an already-str-typed GraphNode.id for display/provenance, not a parameter/field domain boundary</t>
        </is>
      </c>
    </row>
    <row r="210">
      <c r="A210" t="inlineStr">
        <is>
          <t>archon-search</t>
        </is>
      </c>
      <c r="B210" t="inlineStr">
        <is>
          <t>/Users/manczg/Documents/development/archon-search/archon_search/pipeline.py</t>
        </is>
      </c>
      <c r="C210" t="inlineStr">
        <is>
          <t>solid-07</t>
        </is>
      </c>
      <c r="D210" t="n">
        <v>2634</v>
      </c>
      <c r="E210" t="inlineStr">
        <is>
          <t>TP</t>
        </is>
      </c>
      <c r="F210" t="inlineStr">
        <is>
          <t>graph_mode typed as plain str in search_many signature — primitive obsession</t>
        </is>
      </c>
    </row>
    <row r="211">
      <c r="A211" t="inlineStr">
        <is>
          <t>archon-search</t>
        </is>
      </c>
      <c r="B211" t="inlineStr">
        <is>
          <t>/Users/manczg/Documents/development/archon-search/archon_search/pipeline.py</t>
        </is>
      </c>
      <c r="C211" t="inlineStr">
        <is>
          <t>solid-07</t>
        </is>
      </c>
      <c r="D211" t="n">
        <v>3357</v>
      </c>
      <c r="E211" t="inlineStr">
        <is>
          <t>TP</t>
        </is>
      </c>
      <c r="F211" t="inlineStr">
        <is>
          <t>doc_id: str is a genuine domain identifier (sha256 hash) used broadly without a value-object wrapper</t>
        </is>
      </c>
    </row>
    <row r="212">
      <c r="A212" t="inlineStr">
        <is>
          <t>archon-search</t>
        </is>
      </c>
      <c r="B212" t="inlineStr">
        <is>
          <t>/Users/manczg/Documents/development/archon-search/archon_search/pipeline.py</t>
        </is>
      </c>
      <c r="C212" t="inlineStr">
        <is>
          <t>solid-07</t>
        </is>
      </c>
      <c r="D212" t="n">
        <v>3382</v>
      </c>
      <c r="E212" t="inlineStr">
        <is>
          <t>TP</t>
        </is>
      </c>
      <c r="F212" t="inlineStr">
        <is>
          <t>doc_id: str is a genuine domain identifier used broadly without a value-object wrapper</t>
        </is>
      </c>
    </row>
    <row r="213">
      <c r="A213" t="inlineStr">
        <is>
          <t>archon-search</t>
        </is>
      </c>
      <c r="B213" t="inlineStr">
        <is>
          <t>/Users/manczg/Documents/development/archon-search/archon_search/pipeline.py</t>
        </is>
      </c>
      <c r="C213" t="inlineStr">
        <is>
          <t>solid-10</t>
        </is>
      </c>
      <c r="D213" t="n">
        <v>517</v>
      </c>
      <c r="E213" t="inlineStr">
        <is>
          <t>TP</t>
        </is>
      </c>
      <c r="F213" t="inlineStr">
        <is>
          <t>CodeEnricher() instantiated directly inside ingest_file (a domain/application method), unlike other collaborators (embedder, chunker, parser) that are constructor-injected</t>
        </is>
      </c>
    </row>
    <row r="214">
      <c r="A214" t="inlineStr">
        <is>
          <t>archon-search</t>
        </is>
      </c>
      <c r="B214" t="inlineStr">
        <is>
          <t>/Users/manczg/Documents/development/archon-search/archon_search/pipeline.py</t>
        </is>
      </c>
      <c r="C214" t="inlineStr">
        <is>
          <t>solid-10</t>
        </is>
      </c>
      <c r="D214" t="n">
        <v>522</v>
      </c>
      <c r="E214" t="inlineStr">
        <is>
          <t>TP</t>
        </is>
      </c>
      <c r="F214" t="inlineStr">
        <is>
          <t>MarkdownEnricher() instantiated directly inside ingest_file, same inconsistency with DI pattern used elsewhere</t>
        </is>
      </c>
    </row>
    <row r="215">
      <c r="A215" t="inlineStr">
        <is>
          <t>archon-search</t>
        </is>
      </c>
      <c r="B215" t="inlineStr">
        <is>
          <t>/Users/manczg/Documents/development/archon-search/archon_search/pipeline.py</t>
        </is>
      </c>
      <c r="C215" t="inlineStr">
        <is>
          <t>solid-10</t>
        </is>
      </c>
      <c r="D215" t="n">
        <v>3578</v>
      </c>
      <c r="E215" t="inlineStr">
        <is>
          <t>FP</t>
        </is>
      </c>
      <c r="F215" t="inlineStr">
        <is>
          <t>SearchStore(...) constructed inside create_pipeline(), a composition-root/factory function — exactly what the check tells you to dismiss</t>
        </is>
      </c>
    </row>
    <row r="216">
      <c r="A216" t="inlineStr">
        <is>
          <t>archon-search</t>
        </is>
      </c>
      <c r="B216" t="inlineStr">
        <is>
          <t>/Users/manczg/Documents/development/archon-search/archon_search/pipeline.py</t>
        </is>
      </c>
      <c r="C216" t="inlineStr">
        <is>
          <t>solid-10</t>
        </is>
      </c>
      <c r="D216" t="n">
        <v>3592</v>
      </c>
      <c r="E216" t="inlineStr">
        <is>
          <t>FP</t>
        </is>
      </c>
      <c r="F216" t="inlineStr">
        <is>
          <t>DocumentChunker(...) constructed inside create_pipeline() composition-root factory function</t>
        </is>
      </c>
    </row>
    <row r="217">
      <c r="A217" t="inlineStr">
        <is>
          <t>archon-search</t>
        </is>
      </c>
      <c r="B217" t="inlineStr">
        <is>
          <t>/Users/manczg/Documents/development/archon-search/archon_search/pipeline.py</t>
        </is>
      </c>
      <c r="C217" t="inlineStr">
        <is>
          <t>solid-10</t>
        </is>
      </c>
      <c r="D217" t="n">
        <v>3593</v>
      </c>
      <c r="E217" t="inlineStr">
        <is>
          <t>FP</t>
        </is>
      </c>
      <c r="F217" t="inlineStr">
        <is>
          <t>ASTChunker(...) constructed inside create_pipeline() composition-root factory function</t>
        </is>
      </c>
    </row>
    <row r="218">
      <c r="A218" t="inlineStr">
        <is>
          <t>archon-search</t>
        </is>
      </c>
      <c r="B218" t="inlineStr">
        <is>
          <t>/Users/manczg/Documents/development/archon-search/archon_search/pipeline.py</t>
        </is>
      </c>
      <c r="C218" t="inlineStr">
        <is>
          <t>solid-10</t>
        </is>
      </c>
      <c r="D218" t="n">
        <v>3594</v>
      </c>
      <c r="E218" t="inlineStr">
        <is>
          <t>FP</t>
        </is>
      </c>
      <c r="F218" t="inlineStr">
        <is>
          <t>DocumentParser(...) constructed inside create_pipeline() composition-root factory function</t>
        </is>
      </c>
    </row>
    <row r="219">
      <c r="A219" t="inlineStr">
        <is>
          <t>archon-search</t>
        </is>
      </c>
      <c r="B219" t="inlineStr">
        <is>
          <t>/Users/manczg/Documents/development/archon-search/archon_search/pipeline.py</t>
        </is>
      </c>
      <c r="C219" t="inlineStr">
        <is>
          <t>solid-15</t>
        </is>
      </c>
      <c r="D219" t="n">
        <v>3161</v>
      </c>
      <c r="E219" t="inlineStr">
        <is>
          <t>FP</t>
        </is>
      </c>
      <c r="F219" t="inlineStr">
        <is>
          <t>elif pairs with the same graph_mode=='local' check's graph_store-availability guard, not a multi-branch type dispatch chain selecting different behaviors per value</t>
        </is>
      </c>
    </row>
    <row r="220">
      <c r="A220" t="inlineStr">
        <is>
          <t>archon-search</t>
        </is>
      </c>
      <c r="B220" t="inlineStr">
        <is>
          <t>/Users/manczg/Documents/development/archon-search/archon_search/pipeline.py</t>
        </is>
      </c>
      <c r="C220" t="inlineStr">
        <is>
          <t>tests-01</t>
        </is>
      </c>
      <c r="D220" t="n">
        <v>53</v>
      </c>
      <c r="E220" t="inlineStr">
        <is>
          <t>FP</t>
        </is>
      </c>
      <c r="F220" t="inlineStr">
        <is>
          <t>pipeline.py has extensive test coverage under tests/test_pipeline_*.py and tests/pipeline/test_pipeline_*.py (dozens of files) — module tested from differently-named files, not literally untested</t>
        </is>
      </c>
    </row>
    <row r="221">
      <c r="A221" t="inlineStr">
        <is>
          <t>archon-search</t>
        </is>
      </c>
      <c r="B221" t="inlineStr">
        <is>
          <t>/Users/manczg/Documents/development/archon-search/archon_search/store.py</t>
        </is>
      </c>
      <c r="C221" t="inlineStr">
        <is>
          <t>clarity-09</t>
        </is>
      </c>
      <c r="D221" t="n">
        <v>596</v>
      </c>
      <c r="E221" t="inlineStr">
        <is>
          <t>FP</t>
        </is>
      </c>
      <c r="F221" t="inlineStr">
        <is>
          <t>x==a and (y.get(k) or DEFAULT)==b pattern — null-coalescing default, only 2 real terms</t>
        </is>
      </c>
    </row>
    <row r="222">
      <c r="A222" t="inlineStr">
        <is>
          <t>archon-search</t>
        </is>
      </c>
      <c r="B222" t="inlineStr">
        <is>
          <t>/Users/manczg/Documents/development/archon-search/archon_search/store.py</t>
        </is>
      </c>
      <c r="C222" t="inlineStr">
        <is>
          <t>clarity-09</t>
        </is>
      </c>
      <c r="D222" t="n">
        <v>1370</v>
      </c>
      <c r="E222" t="inlineStr">
        <is>
          <t>FP</t>
        </is>
      </c>
      <c r="F222" t="inlineStr">
        <is>
          <t>same null-coalescing fallback pattern as line 596, 2 terms not 3</t>
        </is>
      </c>
    </row>
    <row r="223">
      <c r="A223" t="inlineStr">
        <is>
          <t>archon-search</t>
        </is>
      </c>
      <c r="B223" t="inlineStr">
        <is>
          <t>/Users/manczg/Documents/development/archon-search/archon_search/store.py</t>
        </is>
      </c>
      <c r="C223" t="inlineStr">
        <is>
          <t>clarity-09</t>
        </is>
      </c>
      <c r="D223" t="n">
        <v>1800</v>
      </c>
      <c r="E223" t="inlineStr">
        <is>
          <t>TP</t>
        </is>
      </c>
      <c r="F223" t="inlineStr">
        <is>
          <t>not X and any(A or B for ...) — 3 real sub-expressions in one condition</t>
        </is>
      </c>
    </row>
    <row r="224">
      <c r="A224" t="inlineStr">
        <is>
          <t>archon-search</t>
        </is>
      </c>
      <c r="B224" t="inlineStr">
        <is>
          <t>/Users/manczg/Documents/development/archon-search/archon_search/store.py</t>
        </is>
      </c>
      <c r="C224" t="inlineStr">
        <is>
          <t>clarity-09</t>
        </is>
      </c>
      <c r="D224" t="n">
        <v>2168</v>
      </c>
      <c r="E224" t="inlineStr">
        <is>
          <t>TP</t>
        </is>
      </c>
      <c r="F224" t="inlineStr">
        <is>
          <t>filters and (indexed_after or indexed_before) — 3 sub-expressions, not a fallback default</t>
        </is>
      </c>
    </row>
    <row r="225">
      <c r="A225" t="inlineStr">
        <is>
          <t>archon-search</t>
        </is>
      </c>
      <c r="B225" t="inlineStr">
        <is>
          <t>/Users/manczg/Documents/development/archon-search/archon_search/store.py</t>
        </is>
      </c>
      <c r="C225" t="inlineStr">
        <is>
          <t>clarity-09</t>
        </is>
      </c>
      <c r="D225" t="n">
        <v>517</v>
      </c>
      <c r="E225" t="inlineStr">
        <is>
          <t>TP</t>
        </is>
      </c>
      <c r="F225" t="inlineStr">
        <is>
          <t>multi-line wrapped condition matches note's exact isinstance/any() mcond example</t>
        </is>
      </c>
    </row>
    <row r="226">
      <c r="A226" t="inlineStr">
        <is>
          <t>archon-search</t>
        </is>
      </c>
      <c r="B226" t="inlineStr">
        <is>
          <t>/Users/manczg/Documents/development/archon-search/archon_search/store.py</t>
        </is>
      </c>
      <c r="C226" t="inlineStr">
        <is>
          <t>clarity-09</t>
        </is>
      </c>
      <c r="D226" t="n">
        <v>540</v>
      </c>
      <c r="E226" t="inlineStr">
        <is>
          <t>TP</t>
        </is>
      </c>
      <c r="F226" t="inlineStr">
        <is>
          <t>multi-line wrapped condition, same isinstance/any() shape as line 517</t>
        </is>
      </c>
    </row>
    <row r="227">
      <c r="A227" t="inlineStr">
        <is>
          <t>archon-search</t>
        </is>
      </c>
      <c r="B227" t="inlineStr">
        <is>
          <t>/Users/manczg/Documents/development/archon-search/archon_search/store.py</t>
        </is>
      </c>
      <c r="C227" t="inlineStr">
        <is>
          <t>clarity-09</t>
        </is>
      </c>
      <c r="D227" t="n">
        <v>1202</v>
      </c>
      <c r="E227" t="inlineStr">
        <is>
          <t>TP</t>
        </is>
      </c>
      <c r="F227" t="inlineStr">
        <is>
          <t>multi-line wrapped condition: progress_cb is not None and (... or ...)</t>
        </is>
      </c>
    </row>
    <row r="228">
      <c r="A228" t="inlineStr">
        <is>
          <t>archon-search</t>
        </is>
      </c>
      <c r="B228" t="inlineStr">
        <is>
          <t>/Users/manczg/Documents/development/archon-search/archon_search/store.py</t>
        </is>
      </c>
      <c r="C228" t="inlineStr">
        <is>
          <t>clarity-09</t>
        </is>
      </c>
      <c r="D228" t="n">
        <v>1815</v>
      </c>
      <c r="E228" t="inlineStr">
        <is>
          <t>TP</t>
        </is>
      </c>
      <c r="F228" t="inlineStr">
        <is>
          <t>not X and (A or B or C) multi-line condition, 4 sub-expressions</t>
        </is>
      </c>
    </row>
    <row r="229">
      <c r="A229" t="inlineStr">
        <is>
          <t>archon-search</t>
        </is>
      </c>
      <c r="B229" t="inlineStr">
        <is>
          <t>/Users/manczg/Documents/development/archon-search/archon_search/store.py</t>
        </is>
      </c>
      <c r="C229" t="inlineStr">
        <is>
          <t>clarity-16</t>
        </is>
      </c>
      <c r="D229" t="n">
        <v>504</v>
      </c>
      <c r="E229" t="inlineStr">
        <is>
          <t>TP</t>
        </is>
      </c>
      <c r="F229" t="inlineStr">
        <is>
          <t>_row_to_meta has 13+ branch lines (try/except/if/else/ternary chains)</t>
        </is>
      </c>
    </row>
    <row r="230">
      <c r="A230" t="inlineStr">
        <is>
          <t>archon-search</t>
        </is>
      </c>
      <c r="B230" t="inlineStr">
        <is>
          <t>/Users/manczg/Documents/development/archon-search/archon_search/store.py</t>
        </is>
      </c>
      <c r="C230" t="inlineStr">
        <is>
          <t>clarity-16</t>
        </is>
      </c>
      <c r="D230" t="n">
        <v>694</v>
      </c>
      <c r="E230" t="inlineStr">
        <is>
          <t>TP</t>
        </is>
      </c>
      <c r="F230" t="inlineStr">
        <is>
          <t>migrate_per_collection_model has 15+ branch lines</t>
        </is>
      </c>
    </row>
    <row r="231">
      <c r="A231" t="inlineStr">
        <is>
          <t>archon-search</t>
        </is>
      </c>
      <c r="B231" t="inlineStr">
        <is>
          <t>/Users/manczg/Documents/development/archon-search/archon_search/store.py</t>
        </is>
      </c>
      <c r="C231" t="inlineStr">
        <is>
          <t>clarity-16</t>
        </is>
      </c>
      <c r="D231" t="n">
        <v>1218</v>
      </c>
      <c r="E231" t="inlineStr">
        <is>
          <t>TP</t>
        </is>
      </c>
      <c r="F231" t="inlineStr">
        <is>
          <t>update_collection_meta has 12+ branch lines (ternaries, if/else, except)</t>
        </is>
      </c>
    </row>
    <row r="232">
      <c r="A232" t="inlineStr">
        <is>
          <t>archon-search</t>
        </is>
      </c>
      <c r="B232" t="inlineStr">
        <is>
          <t>/Users/manczg/Documents/development/archon-search/archon_search/store.py</t>
        </is>
      </c>
      <c r="C232" t="inlineStr">
        <is>
          <t>clarity-16</t>
        </is>
      </c>
      <c r="D232" t="n">
        <v>1481</v>
      </c>
      <c r="E232" t="inlineStr">
        <is>
          <t>TP</t>
        </is>
      </c>
      <c r="F232" t="inlineStr">
        <is>
          <t>_do_update_meta_on_add has well over 10 branch lines across both meta-update paths</t>
        </is>
      </c>
    </row>
    <row r="233">
      <c r="A233" t="inlineStr">
        <is>
          <t>archon-search</t>
        </is>
      </c>
      <c r="B233" t="inlineStr">
        <is>
          <t>/Users/manczg/Documents/development/archon-search/archon_search/store.py</t>
        </is>
      </c>
      <c r="C233" t="inlineStr">
        <is>
          <t>clarity-16</t>
        </is>
      </c>
      <c r="D233" t="n">
        <v>1935</v>
      </c>
      <c r="E233" t="inlineStr">
        <is>
          <t>TP</t>
        </is>
      </c>
      <c r="F233" t="inlineStr">
        <is>
          <t>reindex_metadata has 18+ branch lines</t>
        </is>
      </c>
    </row>
    <row r="234">
      <c r="A234" t="inlineStr">
        <is>
          <t>archon-search</t>
        </is>
      </c>
      <c r="B234" t="inlineStr">
        <is>
          <t>/Users/manczg/Documents/development/archon-search/archon_search/store.py</t>
        </is>
      </c>
      <c r="C234" t="inlineStr">
        <is>
          <t>clarity-16</t>
        </is>
      </c>
      <c r="D234" t="n">
        <v>2062</v>
      </c>
      <c r="E234" t="inlineStr">
        <is>
          <t>TP</t>
        </is>
      </c>
      <c r="F234" t="inlineStr">
        <is>
          <t>hybrid_search has 20+ branch lines</t>
        </is>
      </c>
    </row>
    <row r="235">
      <c r="A235" t="inlineStr">
        <is>
          <t>archon-search</t>
        </is>
      </c>
      <c r="B235" t="inlineStr">
        <is>
          <t>/Users/manczg/Documents/development/archon-search/archon_search/store.py</t>
        </is>
      </c>
      <c r="C235" t="inlineStr">
        <is>
          <t>clarity-16</t>
        </is>
      </c>
      <c r="D235" t="n">
        <v>2329</v>
      </c>
      <c r="E235" t="inlineStr">
        <is>
          <t>TP</t>
        </is>
      </c>
      <c r="F235" t="inlineStr">
        <is>
          <t>list_documents has 13+ branch lines</t>
        </is>
      </c>
    </row>
    <row r="236">
      <c r="A236" t="inlineStr">
        <is>
          <t>archon-search</t>
        </is>
      </c>
      <c r="B236" t="inlineStr">
        <is>
          <t>/Users/manczg/Documents/development/archon-search/archon_search/store.py</t>
        </is>
      </c>
      <c r="C236" t="inlineStr">
        <is>
          <t>clarity-16</t>
        </is>
      </c>
      <c r="D236" t="n">
        <v>2950</v>
      </c>
      <c r="E236" t="inlineStr">
        <is>
          <t>TP</t>
        </is>
      </c>
      <c r="F236" t="inlineStr">
        <is>
          <t>_hybrid_search_with_trace has 20+ branch lines</t>
        </is>
      </c>
    </row>
    <row r="237">
      <c r="A237" t="inlineStr">
        <is>
          <t>archon-search</t>
        </is>
      </c>
      <c r="B237" t="inlineStr">
        <is>
          <t>/Users/manczg/Documents/development/archon-search/archon_search/store.py</t>
        </is>
      </c>
      <c r="C237" t="inlineStr">
        <is>
          <t>clarity-17</t>
        </is>
      </c>
      <c r="D237" t="n">
        <v>2950</v>
      </c>
      <c r="E237" t="inlineStr">
        <is>
          <t>TP</t>
        </is>
      </c>
      <c r="F237" t="inlineStr">
        <is>
          <t>_hybrid_search_with_trace spans lines 2950-3105 = 156 lines, over 150</t>
        </is>
      </c>
    </row>
    <row r="238">
      <c r="A238" t="inlineStr">
        <is>
          <t>archon-search</t>
        </is>
      </c>
      <c r="B238" t="inlineStr">
        <is>
          <t>/Users/manczg/Documents/development/archon-search/archon_search/store.py</t>
        </is>
      </c>
      <c r="C238" t="inlineStr">
        <is>
          <t>ddd-01</t>
        </is>
      </c>
      <c r="D238" t="n">
        <v>34</v>
      </c>
      <c r="E238" t="inlineStr">
        <is>
          <t>FP</t>
        </is>
      </c>
      <c r="F238" t="inlineStr">
        <is>
          <t>ReindexResult counters (processed/updated/warnings) incremented during a run — deliberate accumulator, note's exact dismiss example</t>
        </is>
      </c>
    </row>
    <row r="239">
      <c r="A239" t="inlineStr">
        <is>
          <t>archon-search</t>
        </is>
      </c>
      <c r="B239" t="inlineStr">
        <is>
          <t>/Users/manczg/Documents/development/archon-search/archon_search/store.py</t>
        </is>
      </c>
      <c r="C239" t="inlineStr">
        <is>
          <t>ddd-01</t>
        </is>
      </c>
      <c r="D239" t="n">
        <v>45</v>
      </c>
      <c r="E239" t="inlineStr">
        <is>
          <t>TP</t>
        </is>
      </c>
      <c r="F239" t="inlineStr">
        <is>
          <t>ChunkIngestResult is an identity-free mutable dataclass result carrier (SearchPipelineResult-style), no frozen=True</t>
        </is>
      </c>
    </row>
    <row r="240">
      <c r="A240" t="inlineStr">
        <is>
          <t>archon-search</t>
        </is>
      </c>
      <c r="B240" t="inlineStr">
        <is>
          <t>/Users/manczg/Documents/development/archon-search/archon_search/store.py</t>
        </is>
      </c>
      <c r="C240" t="inlineStr">
        <is>
          <t>safety-07</t>
        </is>
      </c>
      <c r="D240" t="n">
        <v>258</v>
      </c>
      <c r="E240" t="inlineStr">
        <is>
          <t>TP</t>
        </is>
      </c>
      <c r="F240" t="inlineStr">
        <is>
          <t># noqa: PLC0415 suppresses local-import lint warning in production code</t>
        </is>
      </c>
    </row>
    <row r="241">
      <c r="A241" t="inlineStr">
        <is>
          <t>archon-search</t>
        </is>
      </c>
      <c r="B241" t="inlineStr">
        <is>
          <t>/Users/manczg/Documents/development/archon-search/archon_search/store.py</t>
        </is>
      </c>
      <c r="C241" t="inlineStr">
        <is>
          <t>safety-07</t>
        </is>
      </c>
      <c r="D241" t="n">
        <v>280</v>
      </c>
      <c r="E241" t="inlineStr">
        <is>
          <t>TP</t>
        </is>
      </c>
      <c r="F241" t="inlineStr">
        <is>
          <t># noqa: PLC0415 suppresses local-import lint warning</t>
        </is>
      </c>
    </row>
    <row r="242">
      <c r="A242" t="inlineStr">
        <is>
          <t>archon-search</t>
        </is>
      </c>
      <c r="B242" t="inlineStr">
        <is>
          <t>/Users/manczg/Documents/development/archon-search/archon_search/store.py</t>
        </is>
      </c>
      <c r="C242" t="inlineStr">
        <is>
          <t>safety-07</t>
        </is>
      </c>
      <c r="D242" t="n">
        <v>308</v>
      </c>
      <c r="E242" t="inlineStr">
        <is>
          <t>TP</t>
        </is>
      </c>
      <c r="F242" t="inlineStr">
        <is>
          <t># noqa: PLC0415 suppresses local-import lint warning</t>
        </is>
      </c>
    </row>
    <row r="243">
      <c r="A243" t="inlineStr">
        <is>
          <t>archon-search</t>
        </is>
      </c>
      <c r="B243" t="inlineStr">
        <is>
          <t>/Users/manczg/Documents/development/archon-search/archon_search/store.py</t>
        </is>
      </c>
      <c r="C243" t="inlineStr">
        <is>
          <t>safety-07</t>
        </is>
      </c>
      <c r="D243" t="n">
        <v>367</v>
      </c>
      <c r="E243" t="inlineStr">
        <is>
          <t>TP</t>
        </is>
      </c>
      <c r="F243" t="inlineStr">
        <is>
          <t># noqa: PLC0415 suppresses local-import lint warning</t>
        </is>
      </c>
    </row>
    <row r="244">
      <c r="A244" t="inlineStr">
        <is>
          <t>archon-search</t>
        </is>
      </c>
      <c r="B244" t="inlineStr">
        <is>
          <t>/Users/manczg/Documents/development/archon-search/archon_search/store.py</t>
        </is>
      </c>
      <c r="C244" t="inlineStr">
        <is>
          <t>safety-07</t>
        </is>
      </c>
      <c r="D244" t="n">
        <v>395</v>
      </c>
      <c r="E244" t="inlineStr">
        <is>
          <t>TP</t>
        </is>
      </c>
      <c r="F244" t="inlineStr">
        <is>
          <t># noqa: PLC0415 suppresses local-import lint warning</t>
        </is>
      </c>
    </row>
    <row r="245">
      <c r="A245" t="inlineStr">
        <is>
          <t>archon-search</t>
        </is>
      </c>
      <c r="B245" t="inlineStr">
        <is>
          <t>/Users/manczg/Documents/development/archon-search/archon_search/store.py</t>
        </is>
      </c>
      <c r="C245" t="inlineStr">
        <is>
          <t>safety-07</t>
        </is>
      </c>
      <c r="D245" t="n">
        <v>505</v>
      </c>
      <c r="E245" t="inlineStr">
        <is>
          <t>TP</t>
        </is>
      </c>
      <c r="F245" t="inlineStr">
        <is>
          <t># noqa: PLC0415 suppresses local-import lint warning</t>
        </is>
      </c>
    </row>
    <row r="246">
      <c r="A246" t="inlineStr">
        <is>
          <t>archon-search</t>
        </is>
      </c>
      <c r="B246" t="inlineStr">
        <is>
          <t>/Users/manczg/Documents/development/archon-search/archon_search/store.py</t>
        </is>
      </c>
      <c r="C246" t="inlineStr">
        <is>
          <t>safety-07</t>
        </is>
      </c>
      <c r="D246" t="n">
        <v>791</v>
      </c>
      <c r="E246" t="inlineStr">
        <is>
          <t>TP</t>
        </is>
      </c>
      <c r="F246" t="inlineStr">
        <is>
          <t># noqa: PLC0415 suppresses local-import lint warning</t>
        </is>
      </c>
    </row>
    <row r="247">
      <c r="A247" t="inlineStr">
        <is>
          <t>archon-search</t>
        </is>
      </c>
      <c r="B247" t="inlineStr">
        <is>
          <t>/Users/manczg/Documents/development/archon-search/archon_search/store.py</t>
        </is>
      </c>
      <c r="C247" t="inlineStr">
        <is>
          <t>safety-07</t>
        </is>
      </c>
      <c r="D247" t="n">
        <v>813</v>
      </c>
      <c r="E247" t="inlineStr">
        <is>
          <t>TP</t>
        </is>
      </c>
      <c r="F247" t="inlineStr">
        <is>
          <t># noqa: PLC0415 suppresses local-import lint warning</t>
        </is>
      </c>
    </row>
    <row r="248">
      <c r="A248" t="inlineStr">
        <is>
          <t>archon-search</t>
        </is>
      </c>
      <c r="B248" t="inlineStr">
        <is>
          <t>/Users/manczg/Documents/development/archon-search/archon_search/store.py</t>
        </is>
      </c>
      <c r="C248" t="inlineStr">
        <is>
          <t>safety-07</t>
        </is>
      </c>
      <c r="D248" t="n">
        <v>851</v>
      </c>
      <c r="E248" t="inlineStr">
        <is>
          <t>TP</t>
        </is>
      </c>
      <c r="F248" t="inlineStr">
        <is>
          <t># noqa: PLC0415 suppresses local-import lint warning</t>
        </is>
      </c>
    </row>
    <row r="249">
      <c r="A249" t="inlineStr">
        <is>
          <t>archon-search</t>
        </is>
      </c>
      <c r="B249" t="inlineStr">
        <is>
          <t>/Users/manczg/Documents/development/archon-search/archon_search/store.py</t>
        </is>
      </c>
      <c r="C249" t="inlineStr">
        <is>
          <t>safety-07</t>
        </is>
      </c>
      <c r="D249" t="n">
        <v>872</v>
      </c>
      <c r="E249" t="inlineStr">
        <is>
          <t>TP</t>
        </is>
      </c>
      <c r="F249" t="inlineStr">
        <is>
          <t># noqa: PLC0415 suppresses local-import lint warning</t>
        </is>
      </c>
    </row>
    <row r="250">
      <c r="A250" t="inlineStr">
        <is>
          <t>archon-search</t>
        </is>
      </c>
      <c r="B250" t="inlineStr">
        <is>
          <t>/Users/manczg/Documents/development/archon-search/archon_search/store.py</t>
        </is>
      </c>
      <c r="C250" t="inlineStr">
        <is>
          <t>safety-07</t>
        </is>
      </c>
      <c r="D250" t="n">
        <v>893</v>
      </c>
      <c r="E250" t="inlineStr">
        <is>
          <t>TP</t>
        </is>
      </c>
      <c r="F250" t="inlineStr">
        <is>
          <t># noqa: PLC0415 suppresses local-import lint warning</t>
        </is>
      </c>
    </row>
    <row r="251">
      <c r="A251" t="inlineStr">
        <is>
          <t>archon-search</t>
        </is>
      </c>
      <c r="B251" t="inlineStr">
        <is>
          <t>/Users/manczg/Documents/development/archon-search/archon_search/store.py</t>
        </is>
      </c>
      <c r="C251" t="inlineStr">
        <is>
          <t>safety-07</t>
        </is>
      </c>
      <c r="D251" t="n">
        <v>920</v>
      </c>
      <c r="E251" t="inlineStr">
        <is>
          <t>TP</t>
        </is>
      </c>
      <c r="F251" t="inlineStr">
        <is>
          <t># noqa: PLC0415 suppresses local-import lint warning</t>
        </is>
      </c>
    </row>
    <row r="252">
      <c r="A252" t="inlineStr">
        <is>
          <t>archon-search</t>
        </is>
      </c>
      <c r="B252" t="inlineStr">
        <is>
          <t>/Users/manczg/Documents/development/archon-search/archon_search/store.py</t>
        </is>
      </c>
      <c r="C252" t="inlineStr">
        <is>
          <t>safety-07</t>
        </is>
      </c>
      <c r="D252" t="n">
        <v>1313</v>
      </c>
      <c r="E252" t="inlineStr">
        <is>
          <t>TP</t>
        </is>
      </c>
      <c r="F252" t="inlineStr">
        <is>
          <t># noqa: PLC0415 suppresses local-import lint warning</t>
        </is>
      </c>
    </row>
    <row r="253">
      <c r="A253" t="inlineStr">
        <is>
          <t>archon-search</t>
        </is>
      </c>
      <c r="B253" t="inlineStr">
        <is>
          <t>/Users/manczg/Documents/development/archon-search/archon_search/store.py</t>
        </is>
      </c>
      <c r="C253" t="inlineStr">
        <is>
          <t>safety-07</t>
        </is>
      </c>
      <c r="D253" t="n">
        <v>1493</v>
      </c>
      <c r="E253" t="inlineStr">
        <is>
          <t>TP</t>
        </is>
      </c>
      <c r="F253" t="inlineStr">
        <is>
          <t># noqa: PLC0415 suppresses local-import lint warning</t>
        </is>
      </c>
    </row>
    <row r="254">
      <c r="A254" t="inlineStr">
        <is>
          <t>archon-search</t>
        </is>
      </c>
      <c r="B254" t="inlineStr">
        <is>
          <t>/Users/manczg/Documents/development/archon-search/archon_search/store.py</t>
        </is>
      </c>
      <c r="C254" t="inlineStr">
        <is>
          <t>safety-07</t>
        </is>
      </c>
      <c r="D254" t="n">
        <v>1639</v>
      </c>
      <c r="E254" t="inlineStr">
        <is>
          <t>TP</t>
        </is>
      </c>
      <c r="F254" t="inlineStr">
        <is>
          <t># noqa: PLC0415 suppresses local-import lint warning</t>
        </is>
      </c>
    </row>
    <row r="255">
      <c r="A255" t="inlineStr">
        <is>
          <t>archon-search</t>
        </is>
      </c>
      <c r="B255" t="inlineStr">
        <is>
          <t>/Users/manczg/Documents/development/archon-search/archon_search/store.py</t>
        </is>
      </c>
      <c r="C255" t="inlineStr">
        <is>
          <t>safety-07</t>
        </is>
      </c>
      <c r="D255" t="n">
        <v>1640</v>
      </c>
      <c r="E255" t="inlineStr">
        <is>
          <t>TP</t>
        </is>
      </c>
      <c r="F255" t="inlineStr">
        <is>
          <t># noqa: PLC0415 suppresses local-import lint warning</t>
        </is>
      </c>
    </row>
    <row r="256">
      <c r="A256" t="inlineStr">
        <is>
          <t>archon-search</t>
        </is>
      </c>
      <c r="B256" t="inlineStr">
        <is>
          <t>/Users/manczg/Documents/development/archon-search/archon_search/store.py</t>
        </is>
      </c>
      <c r="C256" t="inlineStr">
        <is>
          <t>safety-07</t>
        </is>
      </c>
      <c r="D256" t="n">
        <v>1868</v>
      </c>
      <c r="E256" t="inlineStr">
        <is>
          <t>TP</t>
        </is>
      </c>
      <c r="F256" t="inlineStr">
        <is>
          <t># noqa: PLC0415 suppresses local-import lint warning</t>
        </is>
      </c>
    </row>
    <row r="257">
      <c r="A257" t="inlineStr">
        <is>
          <t>archon-search</t>
        </is>
      </c>
      <c r="B257" t="inlineStr">
        <is>
          <t>/Users/manczg/Documents/development/archon-search/archon_search/store.py</t>
        </is>
      </c>
      <c r="C257" t="inlineStr">
        <is>
          <t>safety-07</t>
        </is>
      </c>
      <c r="D257" t="n">
        <v>1957</v>
      </c>
      <c r="E257" t="inlineStr">
        <is>
          <t>TP</t>
        </is>
      </c>
      <c r="F257" t="inlineStr">
        <is>
          <t># noqa: PLC0415 suppresses local-import lint warning</t>
        </is>
      </c>
    </row>
    <row r="258">
      <c r="A258" t="inlineStr">
        <is>
          <t>archon-search</t>
        </is>
      </c>
      <c r="B258" t="inlineStr">
        <is>
          <t>/Users/manczg/Documents/development/archon-search/archon_search/store.py</t>
        </is>
      </c>
      <c r="C258" t="inlineStr">
        <is>
          <t>safety-07</t>
        </is>
      </c>
      <c r="D258" t="n">
        <v>2009</v>
      </c>
      <c r="E258" t="inlineStr">
        <is>
          <t>TP</t>
        </is>
      </c>
      <c r="F258" t="inlineStr">
        <is>
          <t># noqa: BLE001 suppresses blind-except lint warning</t>
        </is>
      </c>
    </row>
    <row r="259">
      <c r="A259" t="inlineStr">
        <is>
          <t>archon-search</t>
        </is>
      </c>
      <c r="B259" t="inlineStr">
        <is>
          <t>/Users/manczg/Documents/development/archon-search/archon_search/store.py</t>
        </is>
      </c>
      <c r="C259" t="inlineStr">
        <is>
          <t>safety-07</t>
        </is>
      </c>
      <c r="D259" t="n">
        <v>2015</v>
      </c>
      <c r="E259" t="inlineStr">
        <is>
          <t>TP</t>
        </is>
      </c>
      <c r="F259" t="inlineStr">
        <is>
          <t># noqa: BLE001 suppresses blind-except lint warning</t>
        </is>
      </c>
    </row>
    <row r="260">
      <c r="A260" t="inlineStr">
        <is>
          <t>archon-search</t>
        </is>
      </c>
      <c r="B260" t="inlineStr">
        <is>
          <t>/Users/manczg/Documents/development/archon-search/archon_search/store.py</t>
        </is>
      </c>
      <c r="C260" t="inlineStr">
        <is>
          <t>safety-07</t>
        </is>
      </c>
      <c r="D260" t="n">
        <v>2161</v>
      </c>
      <c r="E260" t="inlineStr">
        <is>
          <t>TP</t>
        </is>
      </c>
      <c r="F260" t="inlineStr">
        <is>
          <t># type: ignore[arg-type] suppresses type-checker signal</t>
        </is>
      </c>
    </row>
    <row r="261">
      <c r="A261" t="inlineStr">
        <is>
          <t>archon-search</t>
        </is>
      </c>
      <c r="B261" t="inlineStr">
        <is>
          <t>/Users/manczg/Documents/development/archon-search/archon_search/store.py</t>
        </is>
      </c>
      <c r="C261" t="inlineStr">
        <is>
          <t>safety-07</t>
        </is>
      </c>
      <c r="D261" t="n">
        <v>2895</v>
      </c>
      <c r="E261" t="inlineStr">
        <is>
          <t>TP</t>
        </is>
      </c>
      <c r="F261" t="inlineStr">
        <is>
          <t># noqa: PLC0415 suppresses local-import lint warning</t>
        </is>
      </c>
    </row>
    <row r="262">
      <c r="A262" t="inlineStr">
        <is>
          <t>archon-search</t>
        </is>
      </c>
      <c r="B262" t="inlineStr">
        <is>
          <t>/Users/manczg/Documents/development/archon-search/archon_search/store.py</t>
        </is>
      </c>
      <c r="C262" t="inlineStr">
        <is>
          <t>safety-07</t>
        </is>
      </c>
      <c r="D262" t="n">
        <v>2922</v>
      </c>
      <c r="E262" t="inlineStr">
        <is>
          <t>TP</t>
        </is>
      </c>
      <c r="F262" t="inlineStr">
        <is>
          <t># noqa: PLC0415 suppresses local-import lint warning</t>
        </is>
      </c>
    </row>
    <row r="263">
      <c r="A263" t="inlineStr">
        <is>
          <t>archon-search</t>
        </is>
      </c>
      <c r="B263" t="inlineStr">
        <is>
          <t>/Users/manczg/Documents/development/archon-search/archon_search/store.py</t>
        </is>
      </c>
      <c r="C263" t="inlineStr">
        <is>
          <t>safety-07</t>
        </is>
      </c>
      <c r="D263" t="n">
        <v>3093</v>
      </c>
      <c r="E263" t="inlineStr">
        <is>
          <t>TP</t>
        </is>
      </c>
      <c r="F263" t="inlineStr">
        <is>
          <t># type: ignore[arg-type] suppresses type-checker signal</t>
        </is>
      </c>
    </row>
    <row r="264">
      <c r="A264" t="inlineStr">
        <is>
          <t>archon-search</t>
        </is>
      </c>
      <c r="B264" t="inlineStr">
        <is>
          <t>/Users/manczg/Documents/development/archon-search/archon_search/store.py</t>
        </is>
      </c>
      <c r="C264" t="inlineStr">
        <is>
          <t>safety-11</t>
        </is>
      </c>
      <c r="D264" t="n">
        <v>330</v>
      </c>
      <c r="E264" t="inlineStr">
        <is>
          <t>TP</t>
        </is>
      </c>
      <c r="F264" t="inlineStr">
        <is>
          <t>time.monotonic() drives ping() TTL cache decision, not just a metric</t>
        </is>
      </c>
    </row>
    <row r="265">
      <c r="A265" t="inlineStr">
        <is>
          <t>archon-search</t>
        </is>
      </c>
      <c r="B265" t="inlineStr">
        <is>
          <t>/Users/manczg/Documents/development/archon-search/archon_search/store.py</t>
        </is>
      </c>
      <c r="C265" t="inlineStr">
        <is>
          <t>safety-11</t>
        </is>
      </c>
      <c r="D265" t="n">
        <v>336</v>
      </c>
      <c r="E265" t="inlineStr">
        <is>
          <t>TP</t>
        </is>
      </c>
      <c r="F265" t="inlineStr">
        <is>
          <t>time.monotonic() stored into ping TTL cache, drives cache expiry decision</t>
        </is>
      </c>
    </row>
    <row r="266">
      <c r="A266" t="inlineStr">
        <is>
          <t>archon-search</t>
        </is>
      </c>
      <c r="B266" t="inlineStr">
        <is>
          <t>/Users/manczg/Documents/development/archon-search/archon_search/store.py</t>
        </is>
      </c>
      <c r="C266" t="inlineStr">
        <is>
          <t>safety-11</t>
        </is>
      </c>
      <c r="D266" t="n">
        <v>341</v>
      </c>
      <c r="E266" t="inlineStr">
        <is>
          <t>TP</t>
        </is>
      </c>
      <c r="F266" t="inlineStr">
        <is>
          <t>time.monotonic() stored into ping TTL cache, drives cache expiry decision</t>
        </is>
      </c>
    </row>
    <row r="267">
      <c r="A267" t="inlineStr">
        <is>
          <t>archon-search</t>
        </is>
      </c>
      <c r="B267" t="inlineStr">
        <is>
          <t>/Users/manczg/Documents/development/archon-search/archon_search/store.py</t>
        </is>
      </c>
      <c r="C267" t="inlineStr">
        <is>
          <t>safety-11</t>
        </is>
      </c>
      <c r="D267" t="n">
        <v>1650</v>
      </c>
      <c r="E267" t="inlineStr">
        <is>
          <t>TP</t>
        </is>
      </c>
      <c r="F267" t="inlineStr">
        <is>
          <t>datetime.now() written into stored CollectionMeta record (last_indexed)</t>
        </is>
      </c>
    </row>
    <row r="268">
      <c r="A268" t="inlineStr">
        <is>
          <t>archon-search</t>
        </is>
      </c>
      <c r="B268" t="inlineStr">
        <is>
          <t>/Users/manczg/Documents/development/archon-search/archon_search/store.py</t>
        </is>
      </c>
      <c r="C268" t="inlineStr">
        <is>
          <t>safety-11</t>
        </is>
      </c>
      <c r="D268" t="n">
        <v>1925</v>
      </c>
      <c r="E268" t="inlineStr">
        <is>
          <t>TP</t>
        </is>
      </c>
      <c r="F268" t="inlineStr">
        <is>
          <t>random.shuffle affects caller-observable ordering of sampled texts</t>
        </is>
      </c>
    </row>
    <row r="269">
      <c r="A269" t="inlineStr">
        <is>
          <t>archon-search</t>
        </is>
      </c>
      <c r="B269" t="inlineStr">
        <is>
          <t>/Users/manczg/Documents/development/archon-search/archon_search/store.py</t>
        </is>
      </c>
      <c r="C269" t="inlineStr">
        <is>
          <t>safety-11</t>
        </is>
      </c>
      <c r="D269" t="n">
        <v>2474</v>
      </c>
      <c r="E269" t="inlineStr">
        <is>
          <t>TP</t>
        </is>
      </c>
      <c r="F269" t="inlineStr">
        <is>
          <t>datetime.now() drives TTL/expiry window used to build the query predicate</t>
        </is>
      </c>
    </row>
    <row r="270">
      <c r="A270" t="inlineStr">
        <is>
          <t>archon-search</t>
        </is>
      </c>
      <c r="B270" t="inlineStr">
        <is>
          <t>/Users/manczg/Documents/development/archon-search/archon_search/store.py</t>
        </is>
      </c>
      <c r="C270" t="inlineStr">
        <is>
          <t>safety-11</t>
        </is>
      </c>
      <c r="D270" t="n">
        <v>2573</v>
      </c>
      <c r="E270" t="inlineStr">
        <is>
          <t>TP</t>
        </is>
      </c>
      <c r="F270" t="inlineStr">
        <is>
          <t>datetime.now() drives expired-chunk deletion predicate</t>
        </is>
      </c>
    </row>
    <row r="271">
      <c r="A271" t="inlineStr">
        <is>
          <t>archon-search</t>
        </is>
      </c>
      <c r="B271" t="inlineStr">
        <is>
          <t>/Users/manczg/Documents/development/archon-search/archon_search/store.py</t>
        </is>
      </c>
      <c r="C271" t="inlineStr">
        <is>
          <t>safety-11</t>
        </is>
      </c>
      <c r="D271" t="n">
        <v>2627</v>
      </c>
      <c r="E271" t="inlineStr">
        <is>
          <t>TP</t>
        </is>
      </c>
      <c r="F271" t="inlineStr">
        <is>
          <t>datetime.now() drives expired-chunk count predicate</t>
        </is>
      </c>
    </row>
    <row r="272">
      <c r="A272" t="inlineStr">
        <is>
          <t>archon-search</t>
        </is>
      </c>
      <c r="B272" t="inlineStr">
        <is>
          <t>/Users/manczg/Documents/development/archon-search/archon_search/store.py</t>
        </is>
      </c>
      <c r="C272" t="inlineStr">
        <is>
          <t>safety-15</t>
        </is>
      </c>
      <c r="D272" t="n">
        <v>161</v>
      </c>
      <c r="E272" t="inlineStr">
        <is>
          <t>TP</t>
        </is>
      </c>
      <c r="F272" t="inlineStr">
        <is>
          <t>f"{col} IN ({items})" — matches note's own IN(...) list injection-surface example</t>
        </is>
      </c>
    </row>
    <row r="273">
      <c r="A273" t="inlineStr">
        <is>
          <t>archon-search</t>
        </is>
      </c>
      <c r="B273" t="inlineStr">
        <is>
          <t>/Users/manczg/Documents/development/archon-search/archon_search/store.py</t>
        </is>
      </c>
      <c r="C273" t="inlineStr">
        <is>
          <t>safety-15</t>
        </is>
      </c>
      <c r="D273" t="n">
        <v>611</v>
      </c>
      <c r="E273" t="inlineStr">
        <is>
          <t>TP</t>
        </is>
      </c>
      <c r="F273" t="inlineStr">
        <is>
          <t>AND-spliced concatenated predicate: _where_eq(...) + " AND " + _where_eq(...)</t>
        </is>
      </c>
    </row>
    <row r="274">
      <c r="A274" t="inlineStr">
        <is>
          <t>archon-search</t>
        </is>
      </c>
      <c r="B274" t="inlineStr">
        <is>
          <t>/Users/manczg/Documents/development/archon-search/archon_search/store.py</t>
        </is>
      </c>
      <c r="C274" t="inlineStr">
        <is>
          <t>safety-15</t>
        </is>
      </c>
      <c r="D274" t="n">
        <v>744</v>
      </c>
      <c r="E274" t="inlineStr">
        <is>
          <t>TP</t>
        </is>
      </c>
      <c r="F274" t="inlineStr">
        <is>
          <t>AND-spliced concatenated predicate with ns_predicate</t>
        </is>
      </c>
    </row>
    <row r="275">
      <c r="A275" t="inlineStr">
        <is>
          <t>archon-search</t>
        </is>
      </c>
      <c r="B275" t="inlineStr">
        <is>
          <t>/Users/manczg/Documents/development/archon-search/archon_search/store.py</t>
        </is>
      </c>
      <c r="C275" t="inlineStr">
        <is>
          <t>safety-15</t>
        </is>
      </c>
      <c r="D275" t="n">
        <v>1294</v>
      </c>
      <c r="E275" t="inlineStr">
        <is>
          <t>TP</t>
        </is>
      </c>
      <c r="F275" t="inlineStr">
        <is>
          <t>AND-spliced concatenated predicate with literal IS NULL clause</t>
        </is>
      </c>
    </row>
    <row r="276">
      <c r="A276" t="inlineStr">
        <is>
          <t>archon-search</t>
        </is>
      </c>
      <c r="B276" t="inlineStr">
        <is>
          <t>/Users/manczg/Documents/development/archon-search/archon_search/store.py</t>
        </is>
      </c>
      <c r="C276" t="inlineStr">
        <is>
          <t>safety-15</t>
        </is>
      </c>
      <c r="D276" t="n">
        <v>1462</v>
      </c>
      <c r="E276" t="inlineStr">
        <is>
          <t>TP</t>
        </is>
      </c>
      <c r="F276" t="inlineStr">
        <is>
          <t>AND-spliced concatenated predicate with literal IS NULL clause</t>
        </is>
      </c>
    </row>
    <row r="277">
      <c r="A277" t="inlineStr">
        <is>
          <t>archon-search</t>
        </is>
      </c>
      <c r="B277" t="inlineStr">
        <is>
          <t>/Users/manczg/Documents/development/archon-search/archon_search/store.py</t>
        </is>
      </c>
      <c r="C277" t="inlineStr">
        <is>
          <t>safety-15</t>
        </is>
      </c>
      <c r="D277" t="n">
        <v>2045</v>
      </c>
      <c r="E277" t="inlineStr">
        <is>
          <t>TP</t>
        </is>
      </c>
      <c r="F277" t="inlineStr">
        <is>
          <t>raw unescaped f-string chunk_id interpolated directly into WHERE clause, matches note's own quoted-literal example</t>
        </is>
      </c>
    </row>
    <row r="278">
      <c r="A278" t="inlineStr">
        <is>
          <t>archon-search</t>
        </is>
      </c>
      <c r="B278" t="inlineStr">
        <is>
          <t>/Users/manczg/Documents/development/archon-search/archon_search/store.py</t>
        </is>
      </c>
      <c r="C278" t="inlineStr">
        <is>
          <t>safety-15</t>
        </is>
      </c>
      <c r="D278" t="n">
        <v>2480</v>
      </c>
      <c r="E278" t="inlineStr">
        <is>
          <t>TP</t>
        </is>
      </c>
      <c r="F278" t="inlineStr">
        <is>
          <t>comparison predicate built by + concatenation of quoted runtime value</t>
        </is>
      </c>
    </row>
    <row r="279">
      <c r="A279" t="inlineStr">
        <is>
          <t>archon-search</t>
        </is>
      </c>
      <c r="B279" t="inlineStr">
        <is>
          <t>/Users/manczg/Documents/development/archon-search/archon_search/store.py</t>
        </is>
      </c>
      <c r="C279" t="inlineStr">
        <is>
          <t>safety-15</t>
        </is>
      </c>
      <c r="D279" t="n">
        <v>2481</v>
      </c>
      <c r="E279" t="inlineStr">
        <is>
          <t>TP</t>
        </is>
      </c>
      <c r="F279" t="inlineStr">
        <is>
          <t>comparison predicate built by + concatenation of quoted runtime value</t>
        </is>
      </c>
    </row>
    <row r="280">
      <c r="A280" t="inlineStr">
        <is>
          <t>archon-search</t>
        </is>
      </c>
      <c r="B280" t="inlineStr">
        <is>
          <t>/Users/manczg/Documents/development/archon-search/archon_search/store.py</t>
        </is>
      </c>
      <c r="C280" t="inlineStr">
        <is>
          <t>safety-15</t>
        </is>
      </c>
      <c r="D280" t="n">
        <v>2493</v>
      </c>
      <c r="E280" t="inlineStr">
        <is>
          <t>TP</t>
        </is>
      </c>
      <c r="F280" t="inlineStr">
        <is>
          <t>cursor-derived predicate assembled via + concatenation, cursor is caller-supplied pagination input</t>
        </is>
      </c>
    </row>
    <row r="281">
      <c r="A281" t="inlineStr">
        <is>
          <t>archon-search</t>
        </is>
      </c>
      <c r="B281" t="inlineStr">
        <is>
          <t>/Users/manczg/Documents/development/archon-search/archon_search/store.py</t>
        </is>
      </c>
      <c r="C281" t="inlineStr">
        <is>
          <t>safety-15</t>
        </is>
      </c>
      <c r="D281" t="n">
        <v>2494</v>
      </c>
      <c r="E281" t="inlineStr">
        <is>
          <t>TP</t>
        </is>
      </c>
      <c r="F281" t="inlineStr">
        <is>
          <t>cursor-derived predicate assembled via + concatenation</t>
        </is>
      </c>
    </row>
    <row r="282">
      <c r="A282" t="inlineStr">
        <is>
          <t>archon-search</t>
        </is>
      </c>
      <c r="B282" t="inlineStr">
        <is>
          <t>/Users/manczg/Documents/development/archon-search/archon_search/store.py</t>
        </is>
      </c>
      <c r="C282" t="inlineStr">
        <is>
          <t>safety-15</t>
        </is>
      </c>
      <c r="D282" t="n">
        <v>2495</v>
      </c>
      <c r="E282" t="inlineStr">
        <is>
          <t>TP</t>
        </is>
      </c>
      <c r="F282" t="inlineStr">
        <is>
          <t>cursor-derived predicate assembled via + concatenation</t>
        </is>
      </c>
    </row>
    <row r="283">
      <c r="A283" t="inlineStr">
        <is>
          <t>archon-search</t>
        </is>
      </c>
      <c r="B283" t="inlineStr">
        <is>
          <t>/Users/manczg/Documents/development/archon-search/archon_search/store.py</t>
        </is>
      </c>
      <c r="C283" t="inlineStr">
        <is>
          <t>safety-15</t>
        </is>
      </c>
      <c r="D283" t="n">
        <v>2496</v>
      </c>
      <c r="E283" t="inlineStr">
        <is>
          <t>TP</t>
        </is>
      </c>
      <c r="F283" t="inlineStr">
        <is>
          <t>cursor-derived predicate assembled via + concatenation</t>
        </is>
      </c>
    </row>
    <row r="284">
      <c r="A284" t="inlineStr">
        <is>
          <t>archon-search</t>
        </is>
      </c>
      <c r="B284" t="inlineStr">
        <is>
          <t>/Users/manczg/Documents/development/archon-search/archon_search/store.py</t>
        </is>
      </c>
      <c r="C284" t="inlineStr">
        <is>
          <t>safety-15</t>
        </is>
      </c>
      <c r="D284" t="n">
        <v>2574</v>
      </c>
      <c r="E284" t="inlineStr">
        <is>
          <t>TP</t>
        </is>
      </c>
      <c r="F284" t="inlineStr">
        <is>
          <t>comparison predicate built by + concatenation of quoted runtime value</t>
        </is>
      </c>
    </row>
    <row r="285">
      <c r="A285" t="inlineStr">
        <is>
          <t>archon-search</t>
        </is>
      </c>
      <c r="B285" t="inlineStr">
        <is>
          <t>/Users/manczg/Documents/development/archon-search/archon_search/store.py</t>
        </is>
      </c>
      <c r="C285" t="inlineStr">
        <is>
          <t>safety-15</t>
        </is>
      </c>
      <c r="D285" t="n">
        <v>2589</v>
      </c>
      <c r="E285" t="inlineStr">
        <is>
          <t>TP</t>
        </is>
      </c>
      <c r="F285" t="inlineStr">
        <is>
          <t>AND-spliced concatenated predicate combining expired_pred and _where_in</t>
        </is>
      </c>
    </row>
    <row r="286">
      <c r="A286" t="inlineStr">
        <is>
          <t>archon-search</t>
        </is>
      </c>
      <c r="B286" t="inlineStr">
        <is>
          <t>/Users/manczg/Documents/development/archon-search/archon_search/store.py</t>
        </is>
      </c>
      <c r="C286" t="inlineStr">
        <is>
          <t>safety-15</t>
        </is>
      </c>
      <c r="D286" t="n">
        <v>2628</v>
      </c>
      <c r="E286" t="inlineStr">
        <is>
          <t>TP</t>
        </is>
      </c>
      <c r="F286" t="inlineStr">
        <is>
          <t>comparison predicate built by + concatenation of quoted runtime value</t>
        </is>
      </c>
    </row>
    <row r="287">
      <c r="A287" t="inlineStr">
        <is>
          <t>archon-search</t>
        </is>
      </c>
      <c r="B287" t="inlineStr">
        <is>
          <t>/Users/manczg/Documents/development/archon-search/archon_search/store.py</t>
        </is>
      </c>
      <c r="C287" t="inlineStr">
        <is>
          <t>safety-15</t>
        </is>
      </c>
      <c r="D287" t="n">
        <v>2876</v>
      </c>
      <c r="E287" t="inlineStr">
        <is>
          <t>FP</t>
        </is>
      </c>
      <c r="F287" t="inlineStr">
        <is>
          <t>interpolated value is a hardcoded empty-string literal, a compile-time constant</t>
        </is>
      </c>
    </row>
    <row r="288">
      <c r="A288" t="inlineStr">
        <is>
          <t>archon-search</t>
        </is>
      </c>
      <c r="B288" t="inlineStr">
        <is>
          <t>/Users/manczg/Documents/development/archon-search/archon_search/store.py</t>
        </is>
      </c>
      <c r="C288" t="inlineStr">
        <is>
          <t>smells-01</t>
        </is>
      </c>
      <c r="D288" t="n">
        <v>1</v>
      </c>
      <c r="E288" t="inlineStr">
        <is>
          <t>TP</t>
        </is>
      </c>
      <c r="F288" t="inlineStr">
        <is>
          <t>file is 3105 lines, well over the 1000-line threshold</t>
        </is>
      </c>
    </row>
    <row r="289">
      <c r="A289" t="inlineStr">
        <is>
          <t>archon-search</t>
        </is>
      </c>
      <c r="B289" t="inlineStr">
        <is>
          <t>/Users/manczg/Documents/development/archon-search/archon_search/store.py</t>
        </is>
      </c>
      <c r="C289" t="inlineStr">
        <is>
          <t>smells-02</t>
        </is>
      </c>
      <c r="D289" t="n">
        <v>168</v>
      </c>
      <c r="E289" t="inlineStr">
        <is>
          <t>TP</t>
        </is>
      </c>
      <c r="F289" t="inlineStr">
        <is>
          <t>_centroid_sum_valid has 4 params, no self</t>
        </is>
      </c>
    </row>
    <row r="290">
      <c r="A290" t="inlineStr">
        <is>
          <t>archon-search</t>
        </is>
      </c>
      <c r="B290" t="inlineStr">
        <is>
          <t>/Users/manczg/Documents/development/archon-search/archon_search/store.py</t>
        </is>
      </c>
      <c r="C290" t="inlineStr">
        <is>
          <t>smells-02</t>
        </is>
      </c>
      <c r="D290" t="n">
        <v>1128</v>
      </c>
      <c r="E290" t="inlineStr">
        <is>
          <t>TP</t>
        </is>
      </c>
      <c r="F290" t="inlineStr">
        <is>
          <t>apply_rewrite_migration has 4 params excluding self</t>
        </is>
      </c>
    </row>
    <row r="291">
      <c r="A291" t="inlineStr">
        <is>
          <t>archon-search</t>
        </is>
      </c>
      <c r="B291" t="inlineStr">
        <is>
          <t>/Users/manczg/Documents/development/archon-search/archon_search/store.py</t>
        </is>
      </c>
      <c r="C291" t="inlineStr">
        <is>
          <t>smells-02</t>
        </is>
      </c>
      <c r="D291" t="n">
        <v>1298</v>
      </c>
      <c r="E291" t="inlineStr">
        <is>
          <t>TP</t>
        </is>
      </c>
      <c r="F291" t="inlineStr">
        <is>
          <t>update_description has 6 params excluding self</t>
        </is>
      </c>
    </row>
    <row r="292">
      <c r="A292" t="inlineStr">
        <is>
          <t>archon-search</t>
        </is>
      </c>
      <c r="B292" t="inlineStr">
        <is>
          <t>/Users/manczg/Documents/development/archon-search/archon_search/store.py</t>
        </is>
      </c>
      <c r="C292" t="inlineStr">
        <is>
          <t>smells-02</t>
        </is>
      </c>
      <c r="D292" t="n">
        <v>1481</v>
      </c>
      <c r="E292" t="inlineStr">
        <is>
          <t>TP</t>
        </is>
      </c>
      <c r="F292" t="inlineStr">
        <is>
          <t>_do_update_meta_on_add has 7 params excluding self</t>
        </is>
      </c>
    </row>
    <row r="293">
      <c r="A293" t="inlineStr">
        <is>
          <t>archon-search</t>
        </is>
      </c>
      <c r="B293" t="inlineStr">
        <is>
          <t>/Users/manczg/Documents/development/archon-search/archon_search/store.py</t>
        </is>
      </c>
      <c r="C293" t="inlineStr">
        <is>
          <t>smells-02</t>
        </is>
      </c>
      <c r="D293" t="n">
        <v>1631</v>
      </c>
      <c r="E293" t="inlineStr">
        <is>
          <t>TP</t>
        </is>
      </c>
      <c r="F293" t="inlineStr">
        <is>
          <t>_do_subtract_meta_on_delete has 4 params excluding self</t>
        </is>
      </c>
    </row>
    <row r="294">
      <c r="A294" t="inlineStr">
        <is>
          <t>archon-search</t>
        </is>
      </c>
      <c r="B294" t="inlineStr">
        <is>
          <t>/Users/manczg/Documents/development/archon-search/archon_search/store.py</t>
        </is>
      </c>
      <c r="C294" t="inlineStr">
        <is>
          <t>smells-02</t>
        </is>
      </c>
      <c r="D294" t="n">
        <v>1727</v>
      </c>
      <c r="E294" t="inlineStr">
        <is>
          <t>TP</t>
        </is>
      </c>
      <c r="F294" t="inlineStr">
        <is>
          <t>ingest_chunks has 6 params excluding self</t>
        </is>
      </c>
    </row>
    <row r="295">
      <c r="A295" t="inlineStr">
        <is>
          <t>archon-search</t>
        </is>
      </c>
      <c r="B295" t="inlineStr">
        <is>
          <t>/Users/manczg/Documents/development/archon-search/archon_search/store.py</t>
        </is>
      </c>
      <c r="C295" t="inlineStr">
        <is>
          <t>smells-02</t>
        </is>
      </c>
      <c r="D295" t="n">
        <v>1935</v>
      </c>
      <c r="E295" t="inlineStr">
        <is>
          <t>TP</t>
        </is>
      </c>
      <c r="F295" t="inlineStr">
        <is>
          <t>reindex_metadata has 4 params excluding self</t>
        </is>
      </c>
    </row>
    <row r="296">
      <c r="A296" t="inlineStr">
        <is>
          <t>archon-search</t>
        </is>
      </c>
      <c r="B296" t="inlineStr">
        <is>
          <t>/Users/manczg/Documents/development/archon-search/archon_search/store.py</t>
        </is>
      </c>
      <c r="C296" t="inlineStr">
        <is>
          <t>smells-02</t>
        </is>
      </c>
      <c r="D296" t="n">
        <v>2062</v>
      </c>
      <c r="E296" t="inlineStr">
        <is>
          <t>TP</t>
        </is>
      </c>
      <c r="F296" t="inlineStr">
        <is>
          <t>hybrid_search has 5 params excluding self</t>
        </is>
      </c>
    </row>
    <row r="297">
      <c r="A297" t="inlineStr">
        <is>
          <t>archon-search</t>
        </is>
      </c>
      <c r="B297" t="inlineStr">
        <is>
          <t>/Users/manczg/Documents/development/archon-search/archon_search/store.py</t>
        </is>
      </c>
      <c r="C297" t="inlineStr">
        <is>
          <t>smells-02</t>
        </is>
      </c>
      <c r="D297" t="n">
        <v>2183</v>
      </c>
      <c r="E297" t="inlineStr">
        <is>
          <t>TP</t>
        </is>
      </c>
      <c r="F297" t="inlineStr">
        <is>
          <t>hybrid_search_with_trace has 6 params excluding self</t>
        </is>
      </c>
    </row>
    <row r="298">
      <c r="A298" t="inlineStr">
        <is>
          <t>archon-search</t>
        </is>
      </c>
      <c r="B298" t="inlineStr">
        <is>
          <t>/Users/manczg/Documents/development/archon-search/archon_search/store.py</t>
        </is>
      </c>
      <c r="C298" t="inlineStr">
        <is>
          <t>smells-02</t>
        </is>
      </c>
      <c r="D298" t="n">
        <v>2233</v>
      </c>
      <c r="E298" t="inlineStr">
        <is>
          <t>TP</t>
        </is>
      </c>
      <c r="F298" t="inlineStr">
        <is>
          <t>delete_document has 4 params excluding self</t>
        </is>
      </c>
    </row>
    <row r="299">
      <c r="A299" t="inlineStr">
        <is>
          <t>archon-search</t>
        </is>
      </c>
      <c r="B299" t="inlineStr">
        <is>
          <t>/Users/manczg/Documents/development/archon-search/archon_search/store.py</t>
        </is>
      </c>
      <c r="C299" t="inlineStr">
        <is>
          <t>smells-02</t>
        </is>
      </c>
      <c r="D299" t="n">
        <v>2301</v>
      </c>
      <c r="E299" t="inlineStr">
        <is>
          <t>TP</t>
        </is>
      </c>
      <c r="F299" t="inlineStr">
        <is>
          <t>delete_by_source_path has 4 params excluding self</t>
        </is>
      </c>
    </row>
    <row r="300">
      <c r="A300" t="inlineStr">
        <is>
          <t>archon-search</t>
        </is>
      </c>
      <c r="B300" t="inlineStr">
        <is>
          <t>/Users/manczg/Documents/development/archon-search/archon_search/store.py</t>
        </is>
      </c>
      <c r="C300" t="inlineStr">
        <is>
          <t>smells-02</t>
        </is>
      </c>
      <c r="D300" t="n">
        <v>2437</v>
      </c>
      <c r="E300" t="inlineStr">
        <is>
          <t>TP</t>
        </is>
      </c>
      <c r="F300" t="inlineStr">
        <is>
          <t>query_expiring_chunks has 5 params excluding self</t>
        </is>
      </c>
    </row>
    <row r="301">
      <c r="A301" t="inlineStr">
        <is>
          <t>archon-search</t>
        </is>
      </c>
      <c r="B301" t="inlineStr">
        <is>
          <t>/Users/manczg/Documents/development/archon-search/archon_search/store.py</t>
        </is>
      </c>
      <c r="C301" t="inlineStr">
        <is>
          <t>smells-02</t>
        </is>
      </c>
      <c r="D301" t="n">
        <v>2635</v>
      </c>
      <c r="E301" t="inlineStr">
        <is>
          <t>TP</t>
        </is>
      </c>
      <c r="F301" t="inlineStr">
        <is>
          <t>fetch_adjacent_chunks has 4 params excluding self</t>
        </is>
      </c>
    </row>
    <row r="302">
      <c r="A302" t="inlineStr">
        <is>
          <t>archon-search</t>
        </is>
      </c>
      <c r="B302" t="inlineStr">
        <is>
          <t>/Users/manczg/Documents/development/archon-search/archon_search/store.py</t>
        </is>
      </c>
      <c r="C302" t="inlineStr">
        <is>
          <t>smells-02</t>
        </is>
      </c>
      <c r="D302" t="n">
        <v>2950</v>
      </c>
      <c r="E302" t="inlineStr">
        <is>
          <t>TP</t>
        </is>
      </c>
      <c r="F302" t="inlineStr">
        <is>
          <t>module-level _hybrid_search_with_trace has 7 params (store is not self/cls, not excluded)</t>
        </is>
      </c>
    </row>
    <row r="303">
      <c r="A303" t="inlineStr">
        <is>
          <t>archon-search</t>
        </is>
      </c>
      <c r="B303" t="inlineStr">
        <is>
          <t>/Users/manczg/Documents/development/archon-search/archon_search/store.py</t>
        </is>
      </c>
      <c r="C303" t="inlineStr">
        <is>
          <t>smells-03</t>
        </is>
      </c>
      <c r="D303" t="n">
        <v>1732</v>
      </c>
      <c r="E303" t="inlineStr">
        <is>
          <t>TP</t>
        </is>
      </c>
      <c r="F303" t="inlineStr">
        <is>
          <t>_locked_by_caller bool selects lock-acquisition behavior, not a state flag</t>
        </is>
      </c>
    </row>
    <row r="304">
      <c r="A304" t="inlineStr">
        <is>
          <t>archon-search</t>
        </is>
      </c>
      <c r="B304" t="inlineStr">
        <is>
          <t>/Users/manczg/Documents/development/archon-search/archon_search/store.py</t>
        </is>
      </c>
      <c r="C304" t="inlineStr">
        <is>
          <t>smells-03</t>
        </is>
      </c>
      <c r="D304" t="n">
        <v>1733</v>
      </c>
      <c r="E304" t="inlineStr">
        <is>
          <t>TP</t>
        </is>
      </c>
      <c r="F304" t="inlineStr">
        <is>
          <t>_is_continuation bool selects doc_count increment behavior</t>
        </is>
      </c>
    </row>
    <row r="305">
      <c r="A305" t="inlineStr">
        <is>
          <t>archon-search</t>
        </is>
      </c>
      <c r="B305" t="inlineStr">
        <is>
          <t>/Users/manczg/Documents/development/archon-search/archon_search/store.py</t>
        </is>
      </c>
      <c r="C305" t="inlineStr">
        <is>
          <t>smells-03</t>
        </is>
      </c>
      <c r="D305" t="n">
        <v>1939</v>
      </c>
      <c r="E305" t="inlineStr">
        <is>
          <t>TP</t>
        </is>
      </c>
      <c r="F305" t="inlineStr">
        <is>
          <t>dry_run bool selects whether writes are applied — classic behavioral flag</t>
        </is>
      </c>
    </row>
    <row r="306">
      <c r="A306" t="inlineStr">
        <is>
          <t>archon-search</t>
        </is>
      </c>
      <c r="B306" t="inlineStr">
        <is>
          <t>/Users/manczg/Documents/development/archon-search/archon_search/store.py</t>
        </is>
      </c>
      <c r="C306" t="inlineStr">
        <is>
          <t>smells-03</t>
        </is>
      </c>
      <c r="D306" t="n">
        <v>1940</v>
      </c>
      <c r="E306" t="inlineStr">
        <is>
          <t>TP</t>
        </is>
      </c>
      <c r="F306" t="inlineStr">
        <is>
          <t>normalize_timestamps bool selects timestamp-normalization code path</t>
        </is>
      </c>
    </row>
    <row r="307">
      <c r="A307" t="inlineStr">
        <is>
          <t>archon-search</t>
        </is>
      </c>
      <c r="B307" t="inlineStr">
        <is>
          <t>/Users/manczg/Documents/development/archon-search/archon_search/store.py</t>
        </is>
      </c>
      <c r="C307" t="inlineStr">
        <is>
          <t>smells-03</t>
        </is>
      </c>
      <c r="D307" t="n">
        <v>2239</v>
      </c>
      <c r="E307" t="inlineStr">
        <is>
          <t>TP</t>
        </is>
      </c>
      <c r="F307" t="inlineStr">
        <is>
          <t>skip_fts_optimize bool selects whether FTS maintenance runs</t>
        </is>
      </c>
    </row>
    <row r="308">
      <c r="A308" t="inlineStr">
        <is>
          <t>archon-search</t>
        </is>
      </c>
      <c r="B308" t="inlineStr">
        <is>
          <t>/Users/manczg/Documents/development/archon-search/archon_search/store.py</t>
        </is>
      </c>
      <c r="C308" t="inlineStr">
        <is>
          <t>smells-03</t>
        </is>
      </c>
      <c r="D308" t="n">
        <v>2307</v>
      </c>
      <c r="E308" t="inlineStr">
        <is>
          <t>TP</t>
        </is>
      </c>
      <c r="F308" t="inlineStr">
        <is>
          <t>skip_fts_optimize bool selects whether FTS maintenance runs</t>
        </is>
      </c>
    </row>
    <row r="309">
      <c r="A309" t="inlineStr">
        <is>
          <t>archon-search</t>
        </is>
      </c>
      <c r="B309" t="inlineStr">
        <is>
          <t>/Users/manczg/Documents/development/archon-search/archon_search/store.py</t>
        </is>
      </c>
      <c r="C309" t="inlineStr">
        <is>
          <t>smells-08</t>
        </is>
      </c>
      <c r="D309" t="n">
        <v>271</v>
      </c>
      <c r="E309" t="inlineStr">
        <is>
          <t>FP</t>
        </is>
      </c>
      <c r="F309" t="inlineStr">
        <is>
          <t>config parameter already typed SearchConfig | None with documented default — the check's own remedy</t>
        </is>
      </c>
    </row>
    <row r="310">
      <c r="A310" t="inlineStr">
        <is>
          <t>archon-search</t>
        </is>
      </c>
      <c r="B310" t="inlineStr">
        <is>
          <t>/Users/manczg/Documents/development/archon-search/archon_search/store.py</t>
        </is>
      </c>
      <c r="C310" t="inlineStr">
        <is>
          <t>smells-08</t>
        </is>
      </c>
      <c r="D310" t="n">
        <v>590</v>
      </c>
      <c r="E310" t="inlineStr">
        <is>
          <t>TP</t>
        </is>
      </c>
      <c r="F310" t="inlineStr">
        <is>
          <t>return None statement, hidden-null-return category</t>
        </is>
      </c>
    </row>
    <row r="311">
      <c r="A311" t="inlineStr">
        <is>
          <t>archon-search</t>
        </is>
      </c>
      <c r="B311" t="inlineStr">
        <is>
          <t>/Users/manczg/Documents/development/archon-search/archon_search/store.py</t>
        </is>
      </c>
      <c r="C311" t="inlineStr">
        <is>
          <t>smells-08</t>
        </is>
      </c>
      <c r="D311" t="n">
        <v>599</v>
      </c>
      <c r="E311" t="inlineStr">
        <is>
          <t>TP</t>
        </is>
      </c>
      <c r="F311" t="inlineStr">
        <is>
          <t>return None statement, hidden-null-return category</t>
        </is>
      </c>
    </row>
    <row r="312">
      <c r="A312" t="inlineStr">
        <is>
          <t>archon-search</t>
        </is>
      </c>
      <c r="B312" t="inlineStr">
        <is>
          <t>/Users/manczg/Documents/development/archon-search/archon_search/store.py</t>
        </is>
      </c>
      <c r="C312" t="inlineStr">
        <is>
          <t>smells-08</t>
        </is>
      </c>
      <c r="D312" t="n">
        <v>1133</v>
      </c>
      <c r="E312" t="inlineStr">
        <is>
          <t>FP</t>
        </is>
      </c>
      <c r="F312" t="inlineStr">
        <is>
          <t>progress_cb parameter already typed Callable|None with documented default</t>
        </is>
      </c>
    </row>
    <row r="313">
      <c r="A313" t="inlineStr">
        <is>
          <t>archon-search</t>
        </is>
      </c>
      <c r="B313" t="inlineStr">
        <is>
          <t>/Users/manczg/Documents/development/archon-search/archon_search/store.py</t>
        </is>
      </c>
      <c r="C313" t="inlineStr">
        <is>
          <t>smells-08</t>
        </is>
      </c>
      <c r="D313" t="n">
        <v>1364</v>
      </c>
      <c r="E313" t="inlineStr">
        <is>
          <t>TP</t>
        </is>
      </c>
      <c r="F313" t="inlineStr">
        <is>
          <t>return None statement, hidden-null-return category</t>
        </is>
      </c>
    </row>
    <row r="314">
      <c r="A314" t="inlineStr">
        <is>
          <t>archon-search</t>
        </is>
      </c>
      <c r="B314" t="inlineStr">
        <is>
          <t>/Users/manczg/Documents/development/archon-search/archon_search/store.py</t>
        </is>
      </c>
      <c r="C314" t="inlineStr">
        <is>
          <t>smells-08</t>
        </is>
      </c>
      <c r="D314" t="n">
        <v>1734</v>
      </c>
      <c r="E314" t="inlineStr">
        <is>
          <t>FP</t>
        </is>
      </c>
      <c r="F314" t="inlineStr">
        <is>
          <t>embedding_model parameter already typed str | None with documented default</t>
        </is>
      </c>
    </row>
    <row r="315">
      <c r="A315" t="inlineStr">
        <is>
          <t>archon-search</t>
        </is>
      </c>
      <c r="B315" t="inlineStr">
        <is>
          <t>/Users/manczg/Documents/development/archon-search/archon_search/store.py</t>
        </is>
      </c>
      <c r="C315" t="inlineStr">
        <is>
          <t>smells-08</t>
        </is>
      </c>
      <c r="D315" t="n">
        <v>1941</v>
      </c>
      <c r="E315" t="inlineStr">
        <is>
          <t>FP</t>
        </is>
      </c>
      <c r="F315" t="inlineStr">
        <is>
          <t>progress_cb parameter already typed Callable | None with documented default</t>
        </is>
      </c>
    </row>
    <row r="316">
      <c r="A316" t="inlineStr">
        <is>
          <t>archon-search</t>
        </is>
      </c>
      <c r="B316" t="inlineStr">
        <is>
          <t>/Users/manczg/Documents/development/archon-search/archon_search/store.py</t>
        </is>
      </c>
      <c r="C316" t="inlineStr">
        <is>
          <t>smells-08</t>
        </is>
      </c>
      <c r="D316" t="n">
        <v>2068</v>
      </c>
      <c r="E316" t="inlineStr">
        <is>
          <t>FP</t>
        </is>
      </c>
      <c r="F316" t="inlineStr">
        <is>
          <t>filters parameter already typed SearchFilters | None with documented default</t>
        </is>
      </c>
    </row>
    <row r="317">
      <c r="A317" t="inlineStr">
        <is>
          <t>archon-search</t>
        </is>
      </c>
      <c r="B317" t="inlineStr">
        <is>
          <t>/Users/manczg/Documents/development/archon-search/archon_search/store.py</t>
        </is>
      </c>
      <c r="C317" t="inlineStr">
        <is>
          <t>smells-08</t>
        </is>
      </c>
      <c r="D317" t="n">
        <v>2189</v>
      </c>
      <c r="E317" t="inlineStr">
        <is>
          <t>FP</t>
        </is>
      </c>
      <c r="F317" t="inlineStr">
        <is>
          <t>filters parameter already typed SearchFilters | None with documented default</t>
        </is>
      </c>
    </row>
    <row r="318">
      <c r="A318" t="inlineStr">
        <is>
          <t>archon-search</t>
        </is>
      </c>
      <c r="B318" t="inlineStr">
        <is>
          <t>/Users/manczg/Documents/development/archon-search/archon_search/store.py</t>
        </is>
      </c>
      <c r="C318" t="inlineStr">
        <is>
          <t>smells-08</t>
        </is>
      </c>
      <c r="D318" t="n">
        <v>2190</v>
      </c>
      <c r="E318" t="inlineStr">
        <is>
          <t>FP</t>
        </is>
      </c>
      <c r="F318" t="inlineStr">
        <is>
          <t>scope_filter parameter already typed str | None with documented default</t>
        </is>
      </c>
    </row>
    <row r="319">
      <c r="A319" t="inlineStr">
        <is>
          <t>archon-search</t>
        </is>
      </c>
      <c r="B319" t="inlineStr">
        <is>
          <t>/Users/manczg/Documents/development/archon-search/archon_search/store.py</t>
        </is>
      </c>
      <c r="C319" t="inlineStr">
        <is>
          <t>smells-08</t>
        </is>
      </c>
      <c r="D319" t="n">
        <v>2330</v>
      </c>
      <c r="E319" t="inlineStr">
        <is>
          <t>FP</t>
        </is>
      </c>
      <c r="F319" t="inlineStr">
        <is>
          <t>cursor parameter already typed str | None with documented default</t>
        </is>
      </c>
    </row>
    <row r="320">
      <c r="A320" t="inlineStr">
        <is>
          <t>archon-search</t>
        </is>
      </c>
      <c r="B320" t="inlineStr">
        <is>
          <t>/Users/manczg/Documents/development/archon-search/archon_search/store.py</t>
        </is>
      </c>
      <c r="C320" t="inlineStr">
        <is>
          <t>smells-08</t>
        </is>
      </c>
      <c r="D320" t="n">
        <v>2331</v>
      </c>
      <c r="E320" t="inlineStr">
        <is>
          <t>TP</t>
        </is>
      </c>
      <c r="F320" t="inlineStr">
        <is>
          <t>nullable tuple return-type annotation, not exempted parameter shape</t>
        </is>
      </c>
    </row>
    <row r="321">
      <c r="A321" t="inlineStr">
        <is>
          <t>archon-search</t>
        </is>
      </c>
      <c r="B321" t="inlineStr">
        <is>
          <t>/Users/manczg/Documents/development/archon-search/archon_search/store.py</t>
        </is>
      </c>
      <c r="C321" t="inlineStr">
        <is>
          <t>smells-08</t>
        </is>
      </c>
      <c r="D321" t="n">
        <v>2443</v>
      </c>
      <c r="E321" t="inlineStr">
        <is>
          <t>FP</t>
        </is>
      </c>
      <c r="F321" t="inlineStr">
        <is>
          <t>cursor parameter already typed str | None with documented default</t>
        </is>
      </c>
    </row>
    <row r="322">
      <c r="A322" t="inlineStr">
        <is>
          <t>archon-search</t>
        </is>
      </c>
      <c r="B322" t="inlineStr">
        <is>
          <t>/Users/manczg/Documents/development/archon-search/archon_search/store.py</t>
        </is>
      </c>
      <c r="C322" t="inlineStr">
        <is>
          <t>smells-08</t>
        </is>
      </c>
      <c r="D322" t="n">
        <v>2444</v>
      </c>
      <c r="E322" t="inlineStr">
        <is>
          <t>TP</t>
        </is>
      </c>
      <c r="F322" t="inlineStr">
        <is>
          <t>nullable tuple return-type annotation, not exempted parameter shape</t>
        </is>
      </c>
    </row>
    <row r="323">
      <c r="A323" t="inlineStr">
        <is>
          <t>archon-search</t>
        </is>
      </c>
      <c r="B323" t="inlineStr">
        <is>
          <t>/Users/manczg/Documents/development/archon-search/archon_search/store.py</t>
        </is>
      </c>
      <c r="C323" t="inlineStr">
        <is>
          <t>smells-08</t>
        </is>
      </c>
      <c r="D323" t="n">
        <v>2779</v>
      </c>
      <c r="E323" t="inlineStr">
        <is>
          <t>TP</t>
        </is>
      </c>
      <c r="F323" t="inlineStr">
        <is>
          <t>nullable return-type annotation (int | None), not exempted parameter shape</t>
        </is>
      </c>
    </row>
    <row r="324">
      <c r="A324" t="inlineStr">
        <is>
          <t>archon-search</t>
        </is>
      </c>
      <c r="B324" t="inlineStr">
        <is>
          <t>/Users/manczg/Documents/development/archon-search/archon_search/store.py</t>
        </is>
      </c>
      <c r="C324" t="inlineStr">
        <is>
          <t>smells-08</t>
        </is>
      </c>
      <c r="D324" t="n">
        <v>2793</v>
      </c>
      <c r="E324" t="inlineStr">
        <is>
          <t>TP</t>
        </is>
      </c>
      <c r="F324" t="inlineStr">
        <is>
          <t>return None statement, hidden-null-return category</t>
        </is>
      </c>
    </row>
    <row r="325">
      <c r="A325" t="inlineStr">
        <is>
          <t>archon-search</t>
        </is>
      </c>
      <c r="B325" t="inlineStr">
        <is>
          <t>/Users/manczg/Documents/development/archon-search/archon_search/store.py</t>
        </is>
      </c>
      <c r="C325" t="inlineStr">
        <is>
          <t>smells-08</t>
        </is>
      </c>
      <c r="D325" t="n">
        <v>2798</v>
      </c>
      <c r="E325" t="inlineStr">
        <is>
          <t>TP</t>
        </is>
      </c>
      <c r="F325" t="inlineStr">
        <is>
          <t>return None statement, hidden-null-return category</t>
        </is>
      </c>
    </row>
    <row r="326">
      <c r="A326" t="inlineStr">
        <is>
          <t>archon-search</t>
        </is>
      </c>
      <c r="B326" t="inlineStr">
        <is>
          <t>/Users/manczg/Documents/development/archon-search/archon_search/store.py</t>
        </is>
      </c>
      <c r="C326" t="inlineStr">
        <is>
          <t>smells-08</t>
        </is>
      </c>
      <c r="D326" t="n">
        <v>2956</v>
      </c>
      <c r="E326" t="inlineStr">
        <is>
          <t>FP</t>
        </is>
      </c>
      <c r="F326" t="inlineStr">
        <is>
          <t>filters parameter already typed SearchFilters | None with documented default</t>
        </is>
      </c>
    </row>
    <row r="327">
      <c r="A327" t="inlineStr">
        <is>
          <t>archon-search</t>
        </is>
      </c>
      <c r="B327" t="inlineStr">
        <is>
          <t>/Users/manczg/Documents/development/archon-search/archon_search/store.py</t>
        </is>
      </c>
      <c r="C327" t="inlineStr">
        <is>
          <t>smells-08</t>
        </is>
      </c>
      <c r="D327" t="n">
        <v>2957</v>
      </c>
      <c r="E327" t="inlineStr">
        <is>
          <t>FP</t>
        </is>
      </c>
      <c r="F327" t="inlineStr">
        <is>
          <t>scope_filter parameter already typed str | None with documented default</t>
        </is>
      </c>
    </row>
    <row r="328">
      <c r="A328" t="inlineStr">
        <is>
          <t>archon-search</t>
        </is>
      </c>
      <c r="B328" t="inlineStr">
        <is>
          <t>/Users/manczg/Documents/development/archon-search/archon_search/store.py</t>
        </is>
      </c>
      <c r="C328" t="inlineStr">
        <is>
          <t>smells-12</t>
        </is>
      </c>
      <c r="D328" t="n">
        <v>340</v>
      </c>
      <c r="E328" t="inlineStr">
        <is>
          <t>TP</t>
        </is>
      </c>
      <c r="F328" t="inlineStr">
        <is>
          <t>bare except Exception in ping() swallows failure silently, no log, returns False</t>
        </is>
      </c>
    </row>
    <row r="329">
      <c r="A329" t="inlineStr">
        <is>
          <t>archon-search</t>
        </is>
      </c>
      <c r="B329" t="inlineStr">
        <is>
          <t>/Users/manczg/Documents/development/archon-search/archon_search/store.py</t>
        </is>
      </c>
      <c r="C329" t="inlineStr">
        <is>
          <t>smells-12</t>
        </is>
      </c>
      <c r="D329" t="n">
        <v>754</v>
      </c>
      <c r="E329" t="inlineStr">
        <is>
          <t>TP</t>
        </is>
      </c>
      <c r="F329" t="inlineStr">
        <is>
          <t>log-and-continue: broad except Exception, logs warning, no re-raise</t>
        </is>
      </c>
    </row>
    <row r="330">
      <c r="A330" t="inlineStr">
        <is>
          <t>archon-search</t>
        </is>
      </c>
      <c r="B330" t="inlineStr">
        <is>
          <t>/Users/manczg/Documents/development/archon-search/archon_search/store.py</t>
        </is>
      </c>
      <c r="C330" t="inlineStr">
        <is>
          <t>smells-12</t>
        </is>
      </c>
      <c r="D330" t="n">
        <v>1927</v>
      </c>
      <c r="E330" t="inlineStr">
        <is>
          <t>TP</t>
        </is>
      </c>
      <c r="F330" t="inlineStr">
        <is>
          <t>log-and-continue: broad except Exception, logs and returns empty list</t>
        </is>
      </c>
    </row>
    <row r="331">
      <c r="A331" t="inlineStr">
        <is>
          <t>archon-search</t>
        </is>
      </c>
      <c r="B331" t="inlineStr">
        <is>
          <t>/Users/manczg/Documents/development/archon-search/archon_search/store.py</t>
        </is>
      </c>
      <c r="C331" t="inlineStr">
        <is>
          <t>smells-12</t>
        </is>
      </c>
      <c r="D331" t="n">
        <v>2009</v>
      </c>
      <c r="E331" t="inlineStr">
        <is>
          <t>TP</t>
        </is>
      </c>
      <c r="F331" t="inlineStr">
        <is>
          <t>generic except Exception with no specific handling, only records generic warning string</t>
        </is>
      </c>
    </row>
    <row r="332">
      <c r="A332" t="inlineStr">
        <is>
          <t>archon-search</t>
        </is>
      </c>
      <c r="B332" t="inlineStr">
        <is>
          <t>/Users/manczg/Documents/development/archon-search/archon_search/store.py</t>
        </is>
      </c>
      <c r="C332" t="inlineStr">
        <is>
          <t>smells-12</t>
        </is>
      </c>
      <c r="D332" t="n">
        <v>2015</v>
      </c>
      <c r="E332" t="inlineStr">
        <is>
          <t>TP</t>
        </is>
      </c>
      <c r="F332" t="inlineStr">
        <is>
          <t>generic except Exception with no specific handling, only records generic warning string</t>
        </is>
      </c>
    </row>
    <row r="333">
      <c r="A333" t="inlineStr">
        <is>
          <t>archon-search</t>
        </is>
      </c>
      <c r="B333" t="inlineStr">
        <is>
          <t>/Users/manczg/Documents/development/archon-search/archon_search/store.py</t>
        </is>
      </c>
      <c r="C333" t="inlineStr">
        <is>
          <t>solid-06</t>
        </is>
      </c>
      <c r="D333" t="n">
        <v>65</v>
      </c>
      <c r="E333" t="inlineStr">
        <is>
          <t>FP</t>
        </is>
      </c>
      <c r="F333" t="inlineStr">
        <is>
          <t>Exception subclass attribute — data-holder-like, meant for callers to read on catch</t>
        </is>
      </c>
    </row>
    <row r="334">
      <c r="A334" t="inlineStr">
        <is>
          <t>archon-search</t>
        </is>
      </c>
      <c r="B334" t="inlineStr">
        <is>
          <t>/Users/manczg/Documents/development/archon-search/archon_search/store.py</t>
        </is>
      </c>
      <c r="C334" t="inlineStr">
        <is>
          <t>solid-07</t>
        </is>
      </c>
      <c r="D334" t="n">
        <v>1465</v>
      </c>
      <c r="E334" t="inlineStr">
        <is>
          <t>TP</t>
        </is>
      </c>
      <c r="F334" t="inlineStr">
        <is>
          <t>doc_id: str repeated raw identifier, validated ad hoc via regex instead of a value object</t>
        </is>
      </c>
    </row>
    <row r="335">
      <c r="A335" t="inlineStr">
        <is>
          <t>archon-search</t>
        </is>
      </c>
      <c r="B335" t="inlineStr">
        <is>
          <t>/Users/manczg/Documents/development/archon-search/archon_search/store.py</t>
        </is>
      </c>
      <c r="C335" t="inlineStr">
        <is>
          <t>solid-07</t>
        </is>
      </c>
      <c r="D335" t="n">
        <v>2236</v>
      </c>
      <c r="E335" t="inlineStr">
        <is>
          <t>TP</t>
        </is>
      </c>
      <c r="F335" t="inlineStr">
        <is>
          <t>doc_id: str repeated raw identifier, validated ad hoc via regex instead of a value object</t>
        </is>
      </c>
    </row>
    <row r="336">
      <c r="A336" t="inlineStr">
        <is>
          <t>archon-search</t>
        </is>
      </c>
      <c r="B336" t="inlineStr">
        <is>
          <t>/Users/manczg/Documents/development/archon-search/archon_search/store.py</t>
        </is>
      </c>
      <c r="C336" t="inlineStr">
        <is>
          <t>solid-07</t>
        </is>
      </c>
      <c r="D336" t="n">
        <v>2638</v>
      </c>
      <c r="E336" t="inlineStr">
        <is>
          <t>TP</t>
        </is>
      </c>
      <c r="F336" t="inlineStr">
        <is>
          <t>doc_id: str repeated raw identifier, validated ad hoc via regex instead of a value object</t>
        </is>
      </c>
    </row>
    <row r="337">
      <c r="A337" t="inlineStr">
        <is>
          <t>archon-search</t>
        </is>
      </c>
      <c r="B337" t="inlineStr">
        <is>
          <t>/Users/manczg/Documents/development/archon-search/archon_search/store.py</t>
        </is>
      </c>
      <c r="C337" t="inlineStr">
        <is>
          <t>solid-07</t>
        </is>
      </c>
      <c r="D337" t="n">
        <v>2722</v>
      </c>
      <c r="E337" t="inlineStr">
        <is>
          <t>TP</t>
        </is>
      </c>
      <c r="F337" t="inlineStr">
        <is>
          <t>doc_id: str repeated raw identifier, no validation here, passed through as bare primitive</t>
        </is>
      </c>
    </row>
    <row r="338">
      <c r="A338" t="inlineStr">
        <is>
          <t>archon-search</t>
        </is>
      </c>
      <c r="B338" t="inlineStr">
        <is>
          <t>/Users/manczg/Documents/development/archon-search/archon_search/graph_store.py</t>
        </is>
      </c>
      <c r="C338" t="inlineStr">
        <is>
          <t>clarity-09</t>
        </is>
      </c>
      <c r="D338" t="n">
        <v>1524</v>
      </c>
      <c r="E338" t="inlineStr">
        <is>
          <t>TP</t>
        </is>
      </c>
      <c r="F338" t="inlineStr">
        <is>
          <t>wrapped if with 3 OR/AND-joined terms, not extracted into named predicate</t>
        </is>
      </c>
    </row>
    <row r="339">
      <c r="A339" t="inlineStr">
        <is>
          <t>archon-search</t>
        </is>
      </c>
      <c r="B339" t="inlineStr">
        <is>
          <t>/Users/manczg/Documents/development/archon-search/archon_search/graph_store.py</t>
        </is>
      </c>
      <c r="C339" t="inlineStr">
        <is>
          <t>clarity-09</t>
        </is>
      </c>
      <c r="D339" t="n">
        <v>2187</v>
      </c>
      <c r="E339" t="inlineStr">
        <is>
          <t>TP</t>
        </is>
      </c>
      <c r="F339" t="inlineStr">
        <is>
          <t>list-comp if filter joins 3 terms via and/or, not extracted into named predicate</t>
        </is>
      </c>
    </row>
    <row r="340">
      <c r="A340" t="inlineStr">
        <is>
          <t>archon-search</t>
        </is>
      </c>
      <c r="B340" t="inlineStr">
        <is>
          <t>/Users/manczg/Documents/development/archon-search/archon_search/graph_store.py</t>
        </is>
      </c>
      <c r="C340" t="inlineStr">
        <is>
          <t>clarity-16</t>
        </is>
      </c>
      <c r="D340" t="n">
        <v>289</v>
      </c>
      <c r="E340" t="inlineStr">
        <is>
          <t>TP</t>
        </is>
      </c>
      <c r="F340" t="inlineStr">
        <is>
          <t>ensure_graph_tables has ~17 branch lines (if/else/except), well over 10</t>
        </is>
      </c>
    </row>
    <row r="341">
      <c r="A341" t="inlineStr">
        <is>
          <t>archon-search</t>
        </is>
      </c>
      <c r="B341" t="inlineStr">
        <is>
          <t>/Users/manczg/Documents/development/archon-search/archon_search/graph_store.py</t>
        </is>
      </c>
      <c r="C341" t="inlineStr">
        <is>
          <t>clarity-16</t>
        </is>
      </c>
      <c r="D341" t="n">
        <v>375</v>
      </c>
      <c r="E341" t="inlineStr">
        <is>
          <t>TP</t>
        </is>
      </c>
      <c r="F341" t="inlineStr">
        <is>
          <t>write_graph has many if/else/ternary branches across 207 lines, well over 10</t>
        </is>
      </c>
    </row>
    <row r="342">
      <c r="A342" t="inlineStr">
        <is>
          <t>archon-search</t>
        </is>
      </c>
      <c r="B342" t="inlineStr">
        <is>
          <t>/Users/manczg/Documents/development/archon-search/archon_search/graph_store.py</t>
        </is>
      </c>
      <c r="C342" t="inlineStr">
        <is>
          <t>clarity-16</t>
        </is>
      </c>
      <c r="D342" t="n">
        <v>859</v>
      </c>
      <c r="E342" t="inlineStr">
        <is>
          <t>TP</t>
        </is>
      </c>
      <c r="F342" t="inlineStr">
        <is>
          <t>_traverse_impact has ~16 branch lines (for/if/else), well over 10</t>
        </is>
      </c>
    </row>
    <row r="343">
      <c r="A343" t="inlineStr">
        <is>
          <t>archon-search</t>
        </is>
      </c>
      <c r="B343" t="inlineStr">
        <is>
          <t>/Users/manczg/Documents/development/archon-search/archon_search/graph_store.py</t>
        </is>
      </c>
      <c r="C343" t="inlineStr">
        <is>
          <t>clarity-16</t>
        </is>
      </c>
      <c r="D343" t="n">
        <v>1442</v>
      </c>
      <c r="E343" t="inlineStr">
        <is>
          <t>TP</t>
        </is>
      </c>
      <c r="F343" t="inlineStr">
        <is>
          <t>delete_defref_graph_by_doc has ~30 branch lines (try/except/if/for), well over 10</t>
        </is>
      </c>
    </row>
    <row r="344">
      <c r="A344" t="inlineStr">
        <is>
          <t>archon-search</t>
        </is>
      </c>
      <c r="B344" t="inlineStr">
        <is>
          <t>/Users/manczg/Documents/development/archon-search/archon_search/graph_store.py</t>
        </is>
      </c>
      <c r="C344" t="inlineStr">
        <is>
          <t>clarity-16</t>
        </is>
      </c>
      <c r="D344" t="n">
        <v>2039</v>
      </c>
      <c r="E344" t="inlineStr">
        <is>
          <t>TP</t>
        </is>
      </c>
      <c r="F344" t="inlineStr">
        <is>
          <t>delete_orphan_nodes_and_edges has ~25 branch lines (try/except/if/for), well over 10</t>
        </is>
      </c>
    </row>
    <row r="345">
      <c r="A345" t="inlineStr">
        <is>
          <t>archon-search</t>
        </is>
      </c>
      <c r="B345" t="inlineStr">
        <is>
          <t>/Users/manczg/Documents/development/archon-search/archon_search/graph_store.py</t>
        </is>
      </c>
      <c r="C345" t="inlineStr">
        <is>
          <t>clarity-17</t>
        </is>
      </c>
      <c r="D345" t="n">
        <v>375</v>
      </c>
      <c r="E345" t="inlineStr">
        <is>
          <t>TP</t>
        </is>
      </c>
      <c r="F345" t="inlineStr">
        <is>
          <t>write_graph spans 375-582, 208 lines, over 150</t>
        </is>
      </c>
    </row>
    <row r="346">
      <c r="A346" t="inlineStr">
        <is>
          <t>archon-search</t>
        </is>
      </c>
      <c r="B346" t="inlineStr">
        <is>
          <t>/Users/manczg/Documents/development/archon-search/archon_search/graph_store.py</t>
        </is>
      </c>
      <c r="C346" t="inlineStr">
        <is>
          <t>clarity-17</t>
        </is>
      </c>
      <c r="D346" t="n">
        <v>1442</v>
      </c>
      <c r="E346" t="inlineStr">
        <is>
          <t>TP</t>
        </is>
      </c>
      <c r="F346" t="inlineStr">
        <is>
          <t>delete_defref_graph_by_doc spans 1442-1592, 151 lines, over 150</t>
        </is>
      </c>
    </row>
    <row r="347">
      <c r="A347" t="inlineStr">
        <is>
          <t>archon-search</t>
        </is>
      </c>
      <c r="B347" t="inlineStr">
        <is>
          <t>/Users/manczg/Documents/development/archon-search/archon_search/graph_store.py</t>
        </is>
      </c>
      <c r="C347" t="inlineStr">
        <is>
          <t>clarity-17</t>
        </is>
      </c>
      <c r="D347" t="n">
        <v>2039</v>
      </c>
      <c r="E347" t="inlineStr">
        <is>
          <t>TP</t>
        </is>
      </c>
      <c r="F347" t="inlineStr">
        <is>
          <t>delete_orphan_nodes_and_edges spans 2039-2244, 206 lines, over 150</t>
        </is>
      </c>
    </row>
    <row r="348">
      <c r="A348" t="inlineStr">
        <is>
          <t>archon-search</t>
        </is>
      </c>
      <c r="B348" t="inlineStr">
        <is>
          <t>/Users/manczg/Documents/development/archon-search/archon_search/graph_store.py</t>
        </is>
      </c>
      <c r="C348" t="inlineStr">
        <is>
          <t>safety-07</t>
        </is>
      </c>
      <c r="D348" t="n">
        <v>166</v>
      </c>
      <c r="E348" t="inlineStr">
        <is>
          <t>TP</t>
        </is>
      </c>
      <c r="F348" t="inlineStr">
        <is>
          <t># noqa: PLC0415 suppression on import</t>
        </is>
      </c>
    </row>
    <row r="349">
      <c r="A349" t="inlineStr">
        <is>
          <t>archon-search</t>
        </is>
      </c>
      <c r="B349" t="inlineStr">
        <is>
          <t>/Users/manczg/Documents/development/archon-search/archon_search/graph_store.py</t>
        </is>
      </c>
      <c r="C349" t="inlineStr">
        <is>
          <t>safety-07</t>
        </is>
      </c>
      <c r="D349" t="n">
        <v>213</v>
      </c>
      <c r="E349" t="inlineStr">
        <is>
          <t>TP</t>
        </is>
      </c>
      <c r="F349" t="inlineStr">
        <is>
          <t># type: ignore[return] suppression on def</t>
        </is>
      </c>
    </row>
    <row r="350">
      <c r="A350" t="inlineStr">
        <is>
          <t>archon-search</t>
        </is>
      </c>
      <c r="B350" t="inlineStr">
        <is>
          <t>/Users/manczg/Documents/development/archon-search/archon_search/graph_store.py</t>
        </is>
      </c>
      <c r="C350" t="inlineStr">
        <is>
          <t>safety-07</t>
        </is>
      </c>
      <c r="D350" t="n">
        <v>222</v>
      </c>
      <c r="E350" t="inlineStr">
        <is>
          <t>TP</t>
        </is>
      </c>
      <c r="F350" t="inlineStr">
        <is>
          <t># noqa: PLC0415 suppression on import</t>
        </is>
      </c>
    </row>
    <row r="351">
      <c r="A351" t="inlineStr">
        <is>
          <t>archon-search</t>
        </is>
      </c>
      <c r="B351" t="inlineStr">
        <is>
          <t>/Users/manczg/Documents/development/archon-search/archon_search/graph_store.py</t>
        </is>
      </c>
      <c r="C351" t="inlineStr">
        <is>
          <t>safety-07</t>
        </is>
      </c>
      <c r="D351" t="n">
        <v>237</v>
      </c>
      <c r="E351" t="inlineStr">
        <is>
          <t>TP</t>
        </is>
      </c>
      <c r="F351" t="inlineStr">
        <is>
          <t># type: ignore[return] suppression on def</t>
        </is>
      </c>
    </row>
    <row r="352">
      <c r="A352" t="inlineStr">
        <is>
          <t>archon-search</t>
        </is>
      </c>
      <c r="B352" t="inlineStr">
        <is>
          <t>/Users/manczg/Documents/development/archon-search/archon_search/graph_store.py</t>
        </is>
      </c>
      <c r="C352" t="inlineStr">
        <is>
          <t>safety-07</t>
        </is>
      </c>
      <c r="D352" t="n">
        <v>239</v>
      </c>
      <c r="E352" t="inlineStr">
        <is>
          <t>TP</t>
        </is>
      </c>
      <c r="F352" t="inlineStr">
        <is>
          <t># noqa: PLC0415 suppression on import</t>
        </is>
      </c>
    </row>
    <row r="353">
      <c r="A353" t="inlineStr">
        <is>
          <t>archon-search</t>
        </is>
      </c>
      <c r="B353" t="inlineStr">
        <is>
          <t>/Users/manczg/Documents/development/archon-search/archon_search/graph_store.py</t>
        </is>
      </c>
      <c r="C353" t="inlineStr">
        <is>
          <t>safety-07</t>
        </is>
      </c>
      <c r="D353" t="n">
        <v>251</v>
      </c>
      <c r="E353" t="inlineStr">
        <is>
          <t>TP</t>
        </is>
      </c>
      <c r="F353" t="inlineStr">
        <is>
          <t># type: ignore[return] suppression on def</t>
        </is>
      </c>
    </row>
    <row r="354">
      <c r="A354" t="inlineStr">
        <is>
          <t>archon-search</t>
        </is>
      </c>
      <c r="B354" t="inlineStr">
        <is>
          <t>/Users/manczg/Documents/development/archon-search/archon_search/graph_store.py</t>
        </is>
      </c>
      <c r="C354" t="inlineStr">
        <is>
          <t>safety-07</t>
        </is>
      </c>
      <c r="D354" t="n">
        <v>259</v>
      </c>
      <c r="E354" t="inlineStr">
        <is>
          <t>TP</t>
        </is>
      </c>
      <c r="F354" t="inlineStr">
        <is>
          <t># noqa: PLC0415 suppression on import</t>
        </is>
      </c>
    </row>
    <row r="355">
      <c r="A355" t="inlineStr">
        <is>
          <t>archon-search</t>
        </is>
      </c>
      <c r="B355" t="inlineStr">
        <is>
          <t>/Users/manczg/Documents/development/archon-search/archon_search/graph_store.py</t>
        </is>
      </c>
      <c r="C355" t="inlineStr">
        <is>
          <t>safety-07</t>
        </is>
      </c>
      <c r="D355" t="n">
        <v>270</v>
      </c>
      <c r="E355" t="inlineStr">
        <is>
          <t>TP</t>
        </is>
      </c>
      <c r="F355" t="inlineStr">
        <is>
          <t># type: ignore[return] suppression on def</t>
        </is>
      </c>
    </row>
    <row r="356">
      <c r="A356" t="inlineStr">
        <is>
          <t>archon-search</t>
        </is>
      </c>
      <c r="B356" t="inlineStr">
        <is>
          <t>/Users/manczg/Documents/development/archon-search/archon_search/graph_store.py</t>
        </is>
      </c>
      <c r="C356" t="inlineStr">
        <is>
          <t>safety-07</t>
        </is>
      </c>
      <c r="D356" t="n">
        <v>277</v>
      </c>
      <c r="E356" t="inlineStr">
        <is>
          <t>TP</t>
        </is>
      </c>
      <c r="F356" t="inlineStr">
        <is>
          <t># noqa: PLC0415 suppression on import</t>
        </is>
      </c>
    </row>
    <row r="357">
      <c r="A357" t="inlineStr">
        <is>
          <t>archon-search</t>
        </is>
      </c>
      <c r="B357" t="inlineStr">
        <is>
          <t>/Users/manczg/Documents/development/archon-search/archon_search/graph_store.py</t>
        </is>
      </c>
      <c r="C357" t="inlineStr">
        <is>
          <t>safety-07</t>
        </is>
      </c>
      <c r="D357" t="n">
        <v>309</v>
      </c>
      <c r="E357" t="inlineStr">
        <is>
          <t>TP</t>
        </is>
      </c>
      <c r="F357" t="inlineStr">
        <is>
          <t># noqa: PLC0415 suppression on import</t>
        </is>
      </c>
    </row>
    <row r="358">
      <c r="A358" t="inlineStr">
        <is>
          <t>archon-search</t>
        </is>
      </c>
      <c r="B358" t="inlineStr">
        <is>
          <t>/Users/manczg/Documents/development/archon-search/archon_search/graph_store.py</t>
        </is>
      </c>
      <c r="C358" t="inlineStr">
        <is>
          <t>safety-07</t>
        </is>
      </c>
      <c r="D358" t="n">
        <v>350</v>
      </c>
      <c r="E358" t="inlineStr">
        <is>
          <t>TP</t>
        </is>
      </c>
      <c r="F358" t="inlineStr">
        <is>
          <t># noqa: PLC0415 suppression on import</t>
        </is>
      </c>
    </row>
    <row r="359">
      <c r="A359" t="inlineStr">
        <is>
          <t>archon-search</t>
        </is>
      </c>
      <c r="B359" t="inlineStr">
        <is>
          <t>/Users/manczg/Documents/development/archon-search/archon_search/graph_store.py</t>
        </is>
      </c>
      <c r="C359" t="inlineStr">
        <is>
          <t>safety-07</t>
        </is>
      </c>
      <c r="D359" t="n">
        <v>387</v>
      </c>
      <c r="E359" t="inlineStr">
        <is>
          <t>TP</t>
        </is>
      </c>
      <c r="F359" t="inlineStr">
        <is>
          <t># noqa: PLC0415 suppression on import</t>
        </is>
      </c>
    </row>
    <row r="360">
      <c r="A360" t="inlineStr">
        <is>
          <t>archon-search</t>
        </is>
      </c>
      <c r="B360" t="inlineStr">
        <is>
          <t>/Users/manczg/Documents/development/archon-search/archon_search/graph_store.py</t>
        </is>
      </c>
      <c r="C360" t="inlineStr">
        <is>
          <t>safety-07</t>
        </is>
      </c>
      <c r="D360" t="n">
        <v>610</v>
      </c>
      <c r="E360" t="inlineStr">
        <is>
          <t>TP</t>
        </is>
      </c>
      <c r="F360" t="inlineStr">
        <is>
          <t># noqa: PLC0415 suppression on import</t>
        </is>
      </c>
    </row>
    <row r="361">
      <c r="A361" t="inlineStr">
        <is>
          <t>archon-search</t>
        </is>
      </c>
      <c r="B361" t="inlineStr">
        <is>
          <t>/Users/manczg/Documents/development/archon-search/archon_search/graph_store.py</t>
        </is>
      </c>
      <c r="C361" t="inlineStr">
        <is>
          <t>safety-07</t>
        </is>
      </c>
      <c r="D361" t="n">
        <v>980</v>
      </c>
      <c r="E361" t="inlineStr">
        <is>
          <t>TP</t>
        </is>
      </c>
      <c r="F361" t="inlineStr">
        <is>
          <t># noqa: PLC0415 suppression on import</t>
        </is>
      </c>
    </row>
    <row r="362">
      <c r="A362" t="inlineStr">
        <is>
          <t>archon-search</t>
        </is>
      </c>
      <c r="B362" t="inlineStr">
        <is>
          <t>/Users/manczg/Documents/development/archon-search/archon_search/graph_store.py</t>
        </is>
      </c>
      <c r="C362" t="inlineStr">
        <is>
          <t>safety-07</t>
        </is>
      </c>
      <c r="D362" t="n">
        <v>1328</v>
      </c>
      <c r="E362" t="inlineStr">
        <is>
          <t>TP</t>
        </is>
      </c>
      <c r="F362" t="inlineStr">
        <is>
          <t># noqa: PLC0415 suppression on import</t>
        </is>
      </c>
    </row>
    <row r="363">
      <c r="A363" t="inlineStr">
        <is>
          <t>archon-search</t>
        </is>
      </c>
      <c r="B363" t="inlineStr">
        <is>
          <t>/Users/manczg/Documents/development/archon-search/archon_search/graph_store.py</t>
        </is>
      </c>
      <c r="C363" t="inlineStr">
        <is>
          <t>safety-07</t>
        </is>
      </c>
      <c r="D363" t="n">
        <v>1370</v>
      </c>
      <c r="E363" t="inlineStr">
        <is>
          <t>TP</t>
        </is>
      </c>
      <c r="F363" t="inlineStr">
        <is>
          <t># noqa: PLC0415 suppression on import</t>
        </is>
      </c>
    </row>
    <row r="364">
      <c r="A364" t="inlineStr">
        <is>
          <t>archon-search</t>
        </is>
      </c>
      <c r="B364" t="inlineStr">
        <is>
          <t>/Users/manczg/Documents/development/archon-search/archon_search/graph_store.py</t>
        </is>
      </c>
      <c r="C364" t="inlineStr">
        <is>
          <t>safety-07</t>
        </is>
      </c>
      <c r="D364" t="n">
        <v>1745</v>
      </c>
      <c r="E364" t="inlineStr">
        <is>
          <t>TP</t>
        </is>
      </c>
      <c r="F364" t="inlineStr">
        <is>
          <t># noqa: PLC0415 suppression on import</t>
        </is>
      </c>
    </row>
    <row r="365">
      <c r="A365" t="inlineStr">
        <is>
          <t>archon-search</t>
        </is>
      </c>
      <c r="B365" t="inlineStr">
        <is>
          <t>/Users/manczg/Documents/development/archon-search/archon_search/graph_store.py</t>
        </is>
      </c>
      <c r="C365" t="inlineStr">
        <is>
          <t>safety-07</t>
        </is>
      </c>
      <c r="D365" t="n">
        <v>1786</v>
      </c>
      <c r="E365" t="inlineStr">
        <is>
          <t>TP</t>
        </is>
      </c>
      <c r="F365" t="inlineStr">
        <is>
          <t># noqa: PLC0415 suppression on import</t>
        </is>
      </c>
    </row>
    <row r="366">
      <c r="A366" t="inlineStr">
        <is>
          <t>archon-search</t>
        </is>
      </c>
      <c r="B366" t="inlineStr">
        <is>
          <t>/Users/manczg/Documents/development/archon-search/archon_search/graph_store.py</t>
        </is>
      </c>
      <c r="C366" t="inlineStr">
        <is>
          <t>safety-07</t>
        </is>
      </c>
      <c r="D366" t="n">
        <v>1808</v>
      </c>
      <c r="E366" t="inlineStr">
        <is>
          <t>TP</t>
        </is>
      </c>
      <c r="F366" t="inlineStr">
        <is>
          <t># type: ignore[return] suppression on def</t>
        </is>
      </c>
    </row>
    <row r="367">
      <c r="A367" t="inlineStr">
        <is>
          <t>archon-search</t>
        </is>
      </c>
      <c r="B367" t="inlineStr">
        <is>
          <t>/Users/manczg/Documents/development/archon-search/archon_search/graph_store.py</t>
        </is>
      </c>
      <c r="C367" t="inlineStr">
        <is>
          <t>safety-07</t>
        </is>
      </c>
      <c r="D367" t="n">
        <v>1867</v>
      </c>
      <c r="E367" t="inlineStr">
        <is>
          <t>TP</t>
        </is>
      </c>
      <c r="F367" t="inlineStr">
        <is>
          <t># type: ignore[return] suppression on def</t>
        </is>
      </c>
    </row>
    <row r="368">
      <c r="A368" t="inlineStr">
        <is>
          <t>archon-search</t>
        </is>
      </c>
      <c r="B368" t="inlineStr">
        <is>
          <t>/Users/manczg/Documents/development/archon-search/archon_search/graph_store.py</t>
        </is>
      </c>
      <c r="C368" t="inlineStr">
        <is>
          <t>safety-07</t>
        </is>
      </c>
      <c r="D368" t="n">
        <v>1901</v>
      </c>
      <c r="E368" t="inlineStr">
        <is>
          <t>TP</t>
        </is>
      </c>
      <c r="F368" t="inlineStr">
        <is>
          <t># type: ignore[return] suppression on signature continuation</t>
        </is>
      </c>
    </row>
    <row r="369">
      <c r="A369" t="inlineStr">
        <is>
          <t>archon-search</t>
        </is>
      </c>
      <c r="B369" t="inlineStr">
        <is>
          <t>/Users/manczg/Documents/development/archon-search/archon_search/graph_store.py</t>
        </is>
      </c>
      <c r="C369" t="inlineStr">
        <is>
          <t>safety-07</t>
        </is>
      </c>
      <c r="D369" t="n">
        <v>2447</v>
      </c>
      <c r="E369" t="inlineStr">
        <is>
          <t>TP</t>
        </is>
      </c>
      <c r="F369" t="inlineStr">
        <is>
          <t># noqa: BLE001 suppression on broad except</t>
        </is>
      </c>
    </row>
    <row r="370">
      <c r="A370" t="inlineStr">
        <is>
          <t>archon-search</t>
        </is>
      </c>
      <c r="B370" t="inlineStr">
        <is>
          <t>/Users/manczg/Documents/development/archon-search/archon_search/graph_store.py</t>
        </is>
      </c>
      <c r="C370" t="inlineStr">
        <is>
          <t>safety-15</t>
        </is>
      </c>
      <c r="D370" t="n">
        <v>145</v>
      </c>
      <c r="E370" t="inlineStr">
        <is>
          <t>FP</t>
        </is>
      </c>
      <c r="F370" t="inlineStr">
        <is>
          <t>this is the _where_in helper itself; items are pre-escaped via _sql_quote_str, col is a hardcoded column name from call sites</t>
        </is>
      </c>
    </row>
    <row r="371">
      <c r="A371" t="inlineStr">
        <is>
          <t>archon-search</t>
        </is>
      </c>
      <c r="B371" t="inlineStr">
        <is>
          <t>/Users/manczg/Documents/development/archon-search/archon_search/graph_store.py</t>
        </is>
      </c>
      <c r="C371" t="inlineStr">
        <is>
          <t>safety-15</t>
        </is>
      </c>
      <c r="D371" t="n">
        <v>1080</v>
      </c>
      <c r="E371" t="inlineStr">
        <is>
          <t>FP</t>
        </is>
      </c>
      <c r="F371" t="inlineStr">
        <is>
          <t>concatenates two already-safe predicates built via _where_in (values quoted through _sql_quote_str); no raw value spliced in</t>
        </is>
      </c>
    </row>
    <row r="372">
      <c r="A372" t="inlineStr">
        <is>
          <t>archon-search</t>
        </is>
      </c>
      <c r="B372" t="inlineStr">
        <is>
          <t>/Users/manczg/Documents/development/archon-search/archon_search/graph_store.py</t>
        </is>
      </c>
      <c r="C372" t="inlineStr">
        <is>
          <t>safety-15</t>
        </is>
      </c>
      <c r="D372" t="n">
        <v>1128</v>
      </c>
      <c r="E372" t="inlineStr">
        <is>
          <t>FP</t>
        </is>
      </c>
      <c r="F372" t="inlineStr">
        <is>
          <t>concatenates two already-safe predicates built via _where_in (values quoted through _sql_quote_str); no raw value spliced in</t>
        </is>
      </c>
    </row>
    <row r="373">
      <c r="A373" t="inlineStr">
        <is>
          <t>archon-search</t>
        </is>
      </c>
      <c r="B373" t="inlineStr">
        <is>
          <t>/Users/manczg/Documents/development/archon-search/archon_search/graph_store.py</t>
        </is>
      </c>
      <c r="C373" t="inlineStr">
        <is>
          <t>smells-01</t>
        </is>
      </c>
      <c r="D373" t="n">
        <v>1</v>
      </c>
      <c r="E373" t="inlineStr">
        <is>
          <t>TP</t>
        </is>
      </c>
      <c r="F373" t="inlineStr">
        <is>
          <t>file is 2449 lines, over 1000</t>
        </is>
      </c>
    </row>
    <row r="374">
      <c r="A374" t="inlineStr">
        <is>
          <t>archon-search</t>
        </is>
      </c>
      <c r="B374" t="inlineStr">
        <is>
          <t>/Users/manczg/Documents/development/archon-search/archon_search/graph_store.py</t>
        </is>
      </c>
      <c r="C374" t="inlineStr">
        <is>
          <t>smells-02</t>
        </is>
      </c>
      <c r="D374" t="n">
        <v>375</v>
      </c>
      <c r="E374" t="inlineStr">
        <is>
          <t>TP</t>
        </is>
      </c>
      <c r="F374" t="inlineStr">
        <is>
          <t>write_graph has 4 params (collection, nodes, edges, ns)</t>
        </is>
      </c>
    </row>
    <row r="375">
      <c r="A375" t="inlineStr">
        <is>
          <t>archon-search</t>
        </is>
      </c>
      <c r="B375" t="inlineStr">
        <is>
          <t>/Users/manczg/Documents/development/archon-search/archon_search/graph_store.py</t>
        </is>
      </c>
      <c r="C375" t="inlineStr">
        <is>
          <t>smells-02</t>
        </is>
      </c>
      <c r="D375" t="n">
        <v>674</v>
      </c>
      <c r="E375" t="inlineStr">
        <is>
          <t>TP</t>
        </is>
      </c>
      <c r="F375" t="inlineStr">
        <is>
          <t>compute_impact has 7 params</t>
        </is>
      </c>
    </row>
    <row r="376">
      <c r="A376" t="inlineStr">
        <is>
          <t>archon-search</t>
        </is>
      </c>
      <c r="B376" t="inlineStr">
        <is>
          <t>/Users/manczg/Documents/development/archon-search/archon_search/graph_store.py</t>
        </is>
      </c>
      <c r="C376" t="inlineStr">
        <is>
          <t>smells-02</t>
        </is>
      </c>
      <c r="D376" t="n">
        <v>859</v>
      </c>
      <c r="E376" t="inlineStr">
        <is>
          <t>TP</t>
        </is>
      </c>
      <c r="F376" t="inlineStr">
        <is>
          <t>_traverse_impact has 5 params</t>
        </is>
      </c>
    </row>
    <row r="377">
      <c r="A377" t="inlineStr">
        <is>
          <t>archon-search</t>
        </is>
      </c>
      <c r="B377" t="inlineStr">
        <is>
          <t>/Users/manczg/Documents/development/archon-search/archon_search/graph_store.py</t>
        </is>
      </c>
      <c r="C377" t="inlineStr">
        <is>
          <t>smells-02</t>
        </is>
      </c>
      <c r="D377" t="n">
        <v>1018</v>
      </c>
      <c r="E377" t="inlineStr">
        <is>
          <t>TP</t>
        </is>
      </c>
      <c r="F377" t="inlineStr">
        <is>
          <t>vector_search_nodes has 6 params</t>
        </is>
      </c>
    </row>
    <row r="378">
      <c r="A378" t="inlineStr">
        <is>
          <t>archon-search</t>
        </is>
      </c>
      <c r="B378" t="inlineStr">
        <is>
          <t>/Users/manczg/Documents/development/archon-search/archon_search/graph_store.py</t>
        </is>
      </c>
      <c r="C378" t="inlineStr">
        <is>
          <t>smells-02</t>
        </is>
      </c>
      <c r="D378" t="n">
        <v>1442</v>
      </c>
      <c r="E378" t="inlineStr">
        <is>
          <t>TP</t>
        </is>
      </c>
      <c r="F378" t="inlineStr">
        <is>
          <t>delete_defref_graph_by_doc has 5 params</t>
        </is>
      </c>
    </row>
    <row r="379">
      <c r="A379" t="inlineStr">
        <is>
          <t>archon-search</t>
        </is>
      </c>
      <c r="B379" t="inlineStr">
        <is>
          <t>/Users/manczg/Documents/development/archon-search/archon_search/graph_store.py</t>
        </is>
      </c>
      <c r="C379" t="inlineStr">
        <is>
          <t>smells-03</t>
        </is>
      </c>
      <c r="D379" t="n">
        <v>1449</v>
      </c>
      <c r="E379" t="inlineStr">
        <is>
          <t>TP</t>
        </is>
      </c>
      <c r="F379" t="inlineStr">
        <is>
          <t>delete_doc_owned_code_symbols is a behavioral-branching flag, not a state param</t>
        </is>
      </c>
    </row>
    <row r="380">
      <c r="A380" t="inlineStr">
        <is>
          <t>archon-search</t>
        </is>
      </c>
      <c r="B380" t="inlineStr">
        <is>
          <t>/Users/manczg/Documents/development/archon-search/archon_search/graph_store.py</t>
        </is>
      </c>
      <c r="C380" t="inlineStr">
        <is>
          <t>smells-08</t>
        </is>
      </c>
      <c r="D380" t="n">
        <v>650</v>
      </c>
      <c r="E380" t="inlineStr">
        <is>
          <t>TP</t>
        </is>
      </c>
      <c r="F380" t="inlineStr">
        <is>
          <t>nullable return-type annotation float | None</t>
        </is>
      </c>
    </row>
    <row r="381">
      <c r="A381" t="inlineStr">
        <is>
          <t>archon-search</t>
        </is>
      </c>
      <c r="B381" t="inlineStr">
        <is>
          <t>/Users/manczg/Documents/development/archon-search/archon_search/graph_store.py</t>
        </is>
      </c>
      <c r="C381" t="inlineStr">
        <is>
          <t>smells-08</t>
        </is>
      </c>
      <c r="D381" t="n">
        <v>662</v>
      </c>
      <c r="E381" t="inlineStr">
        <is>
          <t>TP</t>
        </is>
      </c>
      <c r="F381" t="inlineStr">
        <is>
          <t>explicit return None</t>
        </is>
      </c>
    </row>
    <row r="382">
      <c r="A382" t="inlineStr">
        <is>
          <t>archon-search</t>
        </is>
      </c>
      <c r="B382" t="inlineStr">
        <is>
          <t>/Users/manczg/Documents/development/archon-search/archon_search/graph_store.py</t>
        </is>
      </c>
      <c r="C382" t="inlineStr">
        <is>
          <t>smells-08</t>
        </is>
      </c>
      <c r="D382" t="n">
        <v>671</v>
      </c>
      <c r="E382" t="inlineStr">
        <is>
          <t>TP</t>
        </is>
      </c>
      <c r="F382" t="inlineStr">
        <is>
          <t>explicit return None</t>
        </is>
      </c>
    </row>
    <row r="383">
      <c r="A383" t="inlineStr">
        <is>
          <t>archon-search</t>
        </is>
      </c>
      <c r="B383" t="inlineStr">
        <is>
          <t>/Users/manczg/Documents/development/archon-search/archon_search/graph_store.py</t>
        </is>
      </c>
      <c r="C383" t="inlineStr">
        <is>
          <t>smells-08</t>
        </is>
      </c>
      <c r="D383" t="n">
        <v>788</v>
      </c>
      <c r="E383" t="inlineStr">
        <is>
          <t>TP</t>
        </is>
      </c>
      <c r="F383" t="inlineStr">
        <is>
          <t>nullable return-type annotation GraphNode | None</t>
        </is>
      </c>
    </row>
    <row r="384">
      <c r="A384" t="inlineStr">
        <is>
          <t>archon-search</t>
        </is>
      </c>
      <c r="B384" t="inlineStr">
        <is>
          <t>/Users/manczg/Documents/development/archon-search/archon_search/graph_store.py</t>
        </is>
      </c>
      <c r="C384" t="inlineStr">
        <is>
          <t>smells-08</t>
        </is>
      </c>
      <c r="D384" t="n">
        <v>817</v>
      </c>
      <c r="E384" t="inlineStr">
        <is>
          <t>TP</t>
        </is>
      </c>
      <c r="F384" t="inlineStr">
        <is>
          <t>explicit return None</t>
        </is>
      </c>
    </row>
    <row r="385">
      <c r="A385" t="inlineStr">
        <is>
          <t>archon-search</t>
        </is>
      </c>
      <c r="B385" t="inlineStr">
        <is>
          <t>/Users/manczg/Documents/development/archon-search/archon_search/graph_store.py</t>
        </is>
      </c>
      <c r="C385" t="inlineStr">
        <is>
          <t>smells-08</t>
        </is>
      </c>
      <c r="D385" t="n">
        <v>1448</v>
      </c>
      <c r="E385" t="inlineStr">
        <is>
          <t>FP</t>
        </is>
      </c>
      <c r="F385" t="inlineStr">
        <is>
          <t>already Optional-typed param with documented None default (preserve_node_ids: frozenset[str] | None = None)</t>
        </is>
      </c>
    </row>
    <row r="386">
      <c r="A386" t="inlineStr">
        <is>
          <t>archon-search</t>
        </is>
      </c>
      <c r="B386" t="inlineStr">
        <is>
          <t>/Users/manczg/Documents/development/archon-search/archon_search/graph_store.py</t>
        </is>
      </c>
      <c r="C386" t="inlineStr">
        <is>
          <t>smells-08</t>
        </is>
      </c>
      <c r="D386" t="n">
        <v>1637</v>
      </c>
      <c r="E386" t="inlineStr">
        <is>
          <t>FP</t>
        </is>
      </c>
      <c r="F386" t="inlineStr">
        <is>
          <t>already Optional-typed param with documented None default, described in docstring</t>
        </is>
      </c>
    </row>
    <row r="387">
      <c r="A387" t="inlineStr">
        <is>
          <t>archon-search</t>
        </is>
      </c>
      <c r="B387" t="inlineStr">
        <is>
          <t>/Users/manczg/Documents/development/archon-search/archon_search/graph_store.py</t>
        </is>
      </c>
      <c r="C387" t="inlineStr">
        <is>
          <t>smells-08</t>
        </is>
      </c>
      <c r="D387" t="n">
        <v>1900</v>
      </c>
      <c r="E387" t="inlineStr">
        <is>
          <t>FP</t>
        </is>
      </c>
      <c r="F387" t="inlineStr">
        <is>
          <t>already Optional-typed param with documented None default, described in docstring</t>
        </is>
      </c>
    </row>
    <row r="388">
      <c r="A388" t="inlineStr">
        <is>
          <t>archon-search</t>
        </is>
      </c>
      <c r="B388" t="inlineStr">
        <is>
          <t>/Users/manczg/Documents/development/archon-search/archon_search/graph_store.py</t>
        </is>
      </c>
      <c r="C388" t="inlineStr">
        <is>
          <t>smells-08</t>
        </is>
      </c>
      <c r="D388" t="n">
        <v>1921</v>
      </c>
      <c r="E388" t="inlineStr">
        <is>
          <t>TP</t>
        </is>
      </c>
      <c r="F388" t="inlineStr">
        <is>
          <t>explicit return None</t>
        </is>
      </c>
    </row>
    <row r="389">
      <c r="A389" t="inlineStr">
        <is>
          <t>archon-search</t>
        </is>
      </c>
      <c r="B389" t="inlineStr">
        <is>
          <t>/Users/manczg/Documents/development/archon-search/archon_search/graph_store.py</t>
        </is>
      </c>
      <c r="C389" t="inlineStr">
        <is>
          <t>smells-08</t>
        </is>
      </c>
      <c r="D389" t="n">
        <v>2339</v>
      </c>
      <c r="E389" t="inlineStr">
        <is>
          <t>FP</t>
        </is>
      </c>
      <c r="F389" t="inlineStr">
        <is>
          <t>already Optional-typed param with documented None default, described in Args docstring</t>
        </is>
      </c>
    </row>
    <row r="390">
      <c r="A390" t="inlineStr">
        <is>
          <t>archon-search</t>
        </is>
      </c>
      <c r="B390" t="inlineStr">
        <is>
          <t>/Users/manczg/Documents/development/archon-search/archon_search/graph_store.py</t>
        </is>
      </c>
      <c r="C390" t="inlineStr">
        <is>
          <t>smells-12</t>
        </is>
      </c>
      <c r="D390" t="n">
        <v>1009</v>
      </c>
      <c r="E390" t="inlineStr">
        <is>
          <t>TP</t>
        </is>
      </c>
      <c r="F390" t="inlineStr">
        <is>
          <t>except Exception as exc: logs warning and continues, no re-raise</t>
        </is>
      </c>
    </row>
    <row r="391">
      <c r="A391" t="inlineStr">
        <is>
          <t>archon-search</t>
        </is>
      </c>
      <c r="B391" t="inlineStr">
        <is>
          <t>/Users/manczg/Documents/development/archon-search/archon_search/graph_store.py</t>
        </is>
      </c>
      <c r="C391" t="inlineStr">
        <is>
          <t>smells-12</t>
        </is>
      </c>
      <c r="D391" t="n">
        <v>1143</v>
      </c>
      <c r="E391" t="inlineStr">
        <is>
          <t>TP</t>
        </is>
      </c>
      <c r="F391" t="inlineStr">
        <is>
          <t>except Exception: logs warning and returns 0, no re-raise</t>
        </is>
      </c>
    </row>
    <row r="392">
      <c r="A392" t="inlineStr">
        <is>
          <t>archon-search</t>
        </is>
      </c>
      <c r="B392" t="inlineStr">
        <is>
          <t>/Users/manczg/Documents/development/archon-search/archon_search/graph_store.py</t>
        </is>
      </c>
      <c r="C392" t="inlineStr">
        <is>
          <t>smells-12</t>
        </is>
      </c>
      <c r="D392" t="n">
        <v>1159</v>
      </c>
      <c r="E392" t="inlineStr">
        <is>
          <t>TP</t>
        </is>
      </c>
      <c r="F392" t="inlineStr">
        <is>
          <t>except Exception: logs warning and returns 0, no re-raise</t>
        </is>
      </c>
    </row>
    <row r="393">
      <c r="A393" t="inlineStr">
        <is>
          <t>archon-search</t>
        </is>
      </c>
      <c r="B393" t="inlineStr">
        <is>
          <t>/Users/manczg/Documents/development/archon-search/archon_search/graph_store.py</t>
        </is>
      </c>
      <c r="C393" t="inlineStr">
        <is>
          <t>smells-12</t>
        </is>
      </c>
      <c r="D393" t="n">
        <v>1180</v>
      </c>
      <c r="E393" t="inlineStr">
        <is>
          <t>TP</t>
        </is>
      </c>
      <c r="F393" t="inlineStr">
        <is>
          <t>except Exception: logs warning and returns 0, no re-raise</t>
        </is>
      </c>
    </row>
    <row r="394">
      <c r="A394" t="inlineStr">
        <is>
          <t>archon-search</t>
        </is>
      </c>
      <c r="B394" t="inlineStr">
        <is>
          <t>/Users/manczg/Documents/development/archon-search/archon_search/graph_store.py</t>
        </is>
      </c>
      <c r="C394" t="inlineStr">
        <is>
          <t>smells-12</t>
        </is>
      </c>
      <c r="D394" t="n">
        <v>1211</v>
      </c>
      <c r="E394" t="inlineStr">
        <is>
          <t>TP</t>
        </is>
      </c>
      <c r="F394" t="inlineStr">
        <is>
          <t>except Exception: logs warning and returns 0.0, no re-raise</t>
        </is>
      </c>
    </row>
    <row r="395">
      <c r="A395" t="inlineStr">
        <is>
          <t>archon-search</t>
        </is>
      </c>
      <c r="B395" t="inlineStr">
        <is>
          <t>/Users/manczg/Documents/development/archon-search/archon_search/graph_store.py</t>
        </is>
      </c>
      <c r="C395" t="inlineStr">
        <is>
          <t>smells-12</t>
        </is>
      </c>
      <c r="D395" t="n">
        <v>1232</v>
      </c>
      <c r="E395" t="inlineStr">
        <is>
          <t>TP</t>
        </is>
      </c>
      <c r="F395" t="inlineStr">
        <is>
          <t>except Exception: logs warning and returns 0.0, no re-raise</t>
        </is>
      </c>
    </row>
    <row r="396">
      <c r="A396" t="inlineStr">
        <is>
          <t>archon-search</t>
        </is>
      </c>
      <c r="B396" t="inlineStr">
        <is>
          <t>/Users/manczg/Documents/development/archon-search/archon_search/graph_store.py</t>
        </is>
      </c>
      <c r="C396" t="inlineStr">
        <is>
          <t>smells-12</t>
        </is>
      </c>
      <c r="D396" t="n">
        <v>2447</v>
      </c>
      <c r="E396" t="inlineStr">
        <is>
          <t>TP</t>
        </is>
      </c>
      <c r="F396" t="inlineStr">
        <is>
          <t>except Exception: # noqa: BLE001 logs warning and returns [], no re-raise</t>
        </is>
      </c>
    </row>
    <row r="397">
      <c r="A397" t="inlineStr">
        <is>
          <t>archon-search</t>
        </is>
      </c>
      <c r="B397" t="inlineStr">
        <is>
          <t>/Users/manczg/Documents/development/archon-search/archon_search/graph_store.py</t>
        </is>
      </c>
      <c r="C397" t="inlineStr">
        <is>
          <t>solid-07</t>
        </is>
      </c>
      <c r="D397" t="n">
        <v>650</v>
      </c>
      <c r="E397" t="inlineStr">
        <is>
          <t>TP</t>
        </is>
      </c>
      <c r="F397" t="inlineStr">
        <is>
          <t>entity_id: str raw primitive, not a DTO/wire-shape/VO-constructor boundary</t>
        </is>
      </c>
    </row>
    <row r="398">
      <c r="A398" t="inlineStr">
        <is>
          <t>archon-search</t>
        </is>
      </c>
      <c r="B398" t="inlineStr">
        <is>
          <t>/Users/manczg/Documents/development/archon-search/archon_search/graph_store.py</t>
        </is>
      </c>
      <c r="C398" t="inlineStr">
        <is>
          <t>solid-07</t>
        </is>
      </c>
      <c r="D398" t="n">
        <v>862</v>
      </c>
      <c r="E398" t="inlineStr">
        <is>
          <t>TP</t>
        </is>
      </c>
      <c r="F398" t="inlineStr">
        <is>
          <t>root_id: str raw primitive, not a DTO/wire-shape/VO-constructor boundary</t>
        </is>
      </c>
    </row>
    <row r="399">
      <c r="A399" t="inlineStr">
        <is>
          <t>archon-search</t>
        </is>
      </c>
      <c r="B399" t="inlineStr">
        <is>
          <t>/Users/manczg/Documents/development/archon-search/archon_search/graph_store.py</t>
        </is>
      </c>
      <c r="C399" t="inlineStr">
        <is>
          <t>solid-07</t>
        </is>
      </c>
      <c r="D399" t="n">
        <v>885</v>
      </c>
      <c r="E399" t="inlineStr">
        <is>
          <t>TP</t>
        </is>
      </c>
      <c r="F399" t="inlineStr">
        <is>
          <t>entity_id: str raw primitive param on nested helper, same as above</t>
        </is>
      </c>
    </row>
    <row r="400">
      <c r="A400" t="inlineStr">
        <is>
          <t>archon-search</t>
        </is>
      </c>
      <c r="B400" t="inlineStr">
        <is>
          <t>/Users/manczg/Documents/development/archon-search/archon_search/graph_store.py</t>
        </is>
      </c>
      <c r="C400" t="inlineStr">
        <is>
          <t>solid-07</t>
        </is>
      </c>
      <c r="D400" t="n">
        <v>1394</v>
      </c>
      <c r="E400" t="inlineStr">
        <is>
          <t>TP</t>
        </is>
      </c>
      <c r="F400" t="inlineStr">
        <is>
          <t>doc_id: str raw primitive, not a DTO/wire-shape/VO-constructor boundary</t>
        </is>
      </c>
    </row>
    <row r="401">
      <c r="A401" t="inlineStr">
        <is>
          <t>archon-search</t>
        </is>
      </c>
      <c r="B401" t="inlineStr">
        <is>
          <t>/Users/manczg/Documents/development/archon-search/archon_search/graph_store.py</t>
        </is>
      </c>
      <c r="C401" t="inlineStr">
        <is>
          <t>solid-07</t>
        </is>
      </c>
      <c r="D401" t="n">
        <v>1418</v>
      </c>
      <c r="E401" t="inlineStr">
        <is>
          <t>TP</t>
        </is>
      </c>
      <c r="F401" t="inlineStr">
        <is>
          <t>doc_id: str raw primitive, not a DTO/wire-shape/VO-constructor boundary</t>
        </is>
      </c>
    </row>
    <row r="402">
      <c r="A402" t="inlineStr">
        <is>
          <t>archon-search</t>
        </is>
      </c>
      <c r="B402" t="inlineStr">
        <is>
          <t>/Users/manczg/Documents/development/archon-search/archon_search/graph_store.py</t>
        </is>
      </c>
      <c r="C402" t="inlineStr">
        <is>
          <t>solid-07</t>
        </is>
      </c>
      <c r="D402" t="n">
        <v>1445</v>
      </c>
      <c r="E402" t="inlineStr">
        <is>
          <t>TP</t>
        </is>
      </c>
      <c r="F402" t="inlineStr">
        <is>
          <t>doc_id: str raw primitive, not a DTO/wire-shape/VO-constructor boundary</t>
        </is>
      </c>
    </row>
    <row r="403">
      <c r="A403" t="inlineStr">
        <is>
          <t>archon-search</t>
        </is>
      </c>
      <c r="B403" t="inlineStr">
        <is>
          <t>/Users/manczg/Documents/development/archon-search/archon_search/server/mcp.py</t>
        </is>
      </c>
      <c r="C403" t="inlineStr">
        <is>
          <t>arch-11</t>
        </is>
      </c>
      <c r="D403" t="n">
        <v>1004</v>
      </c>
      <c r="E403" t="inlineStr">
        <is>
          <t>TP</t>
        </is>
      </c>
      <c r="F403" t="inlineStr">
        <is>
          <t>hardcoded http://mcp service URL passed to MultiCollectionRouter constructor</t>
        </is>
      </c>
    </row>
    <row r="404">
      <c r="A404" t="inlineStr">
        <is>
          <t>archon-search</t>
        </is>
      </c>
      <c r="B404" t="inlineStr">
        <is>
          <t>/Users/manczg/Documents/development/archon-search/archon_search/server/mcp.py</t>
        </is>
      </c>
      <c r="C404" t="inlineStr">
        <is>
          <t>clarity-09</t>
        </is>
      </c>
      <c r="D404" t="n">
        <v>871</v>
      </c>
      <c r="E404" t="inlineStr">
        <is>
          <t>TP</t>
        </is>
      </c>
      <c r="F404" t="inlineStr">
        <is>
          <t>3-term boolean condition (or/and) not extracted into named predicate</t>
        </is>
      </c>
    </row>
    <row r="405">
      <c r="A405" t="inlineStr">
        <is>
          <t>archon-search</t>
        </is>
      </c>
      <c r="B405" t="inlineStr">
        <is>
          <t>/Users/manczg/Documents/development/archon-search/archon_search/server/mcp.py</t>
        </is>
      </c>
      <c r="C405" t="inlineStr">
        <is>
          <t>clarity-16</t>
        </is>
      </c>
      <c r="D405" t="n">
        <v>258</v>
      </c>
      <c r="E405" t="inlineStr">
        <is>
          <t>TP</t>
        </is>
      </c>
      <c r="F405" t="inlineStr">
        <is>
          <t>create_app nests all tool closures, branch count far exceeds 10</t>
        </is>
      </c>
    </row>
    <row r="406">
      <c r="A406" t="inlineStr">
        <is>
          <t>archon-search</t>
        </is>
      </c>
      <c r="B406" t="inlineStr">
        <is>
          <t>/Users/manczg/Documents/development/archon-search/archon_search/server/mcp.py</t>
        </is>
      </c>
      <c r="C406" t="inlineStr">
        <is>
          <t>clarity-16</t>
        </is>
      </c>
      <c r="D406" t="n">
        <v>292</v>
      </c>
      <c r="E406" t="inlineStr">
        <is>
          <t>TP</t>
        </is>
      </c>
      <c r="F406" t="inlineStr">
        <is>
          <t>search has many if/except branches exceeding 10</t>
        </is>
      </c>
    </row>
    <row r="407">
      <c r="A407" t="inlineStr">
        <is>
          <t>archon-search</t>
        </is>
      </c>
      <c r="B407" t="inlineStr">
        <is>
          <t>/Users/manczg/Documents/development/archon-search/archon_search/server/mcp.py</t>
        </is>
      </c>
      <c r="C407" t="inlineStr">
        <is>
          <t>clarity-16</t>
        </is>
      </c>
      <c r="D407" t="n">
        <v>604</v>
      </c>
      <c r="E407" t="inlineStr">
        <is>
          <t>TP</t>
        </is>
      </c>
      <c r="F407" t="inlineStr">
        <is>
          <t>search_with_context has many if/except branches exceeding 10</t>
        </is>
      </c>
    </row>
    <row r="408">
      <c r="A408" t="inlineStr">
        <is>
          <t>archon-search</t>
        </is>
      </c>
      <c r="B408" t="inlineStr">
        <is>
          <t>/Users/manczg/Documents/development/archon-search/archon_search/server/mcp.py</t>
        </is>
      </c>
      <c r="C408" t="inlineStr">
        <is>
          <t>clarity-16</t>
        </is>
      </c>
      <c r="D408" t="n">
        <v>794</v>
      </c>
      <c r="E408" t="inlineStr">
        <is>
          <t>TP</t>
        </is>
      </c>
      <c r="F408" t="inlineStr">
        <is>
          <t>explain has many if/except branches exceeding 10</t>
        </is>
      </c>
    </row>
    <row r="409">
      <c r="A409" t="inlineStr">
        <is>
          <t>archon-search</t>
        </is>
      </c>
      <c r="B409" t="inlineStr">
        <is>
          <t>/Users/manczg/Documents/development/archon-search/archon_search/server/mcp.py</t>
        </is>
      </c>
      <c r="C409" t="inlineStr">
        <is>
          <t>clarity-16</t>
        </is>
      </c>
      <c r="D409" t="n">
        <v>1364</v>
      </c>
      <c r="E409" t="inlineStr">
        <is>
          <t>TP</t>
        </is>
      </c>
      <c r="F409" t="inlineStr">
        <is>
          <t>update_collection has many if/elif branches exceeding 10</t>
        </is>
      </c>
    </row>
    <row r="410">
      <c r="A410" t="inlineStr">
        <is>
          <t>archon-search</t>
        </is>
      </c>
      <c r="B410" t="inlineStr">
        <is>
          <t>/Users/manczg/Documents/development/archon-search/archon_search/server/mcp.py</t>
        </is>
      </c>
      <c r="C410" t="inlineStr">
        <is>
          <t>clarity-16</t>
        </is>
      </c>
      <c r="D410" t="n">
        <v>1510</v>
      </c>
      <c r="E410" t="inlineStr">
        <is>
          <t>TP</t>
        </is>
      </c>
      <c r="F410" t="inlineStr">
        <is>
          <t>import_collection has many if/except branches exceeding 10</t>
        </is>
      </c>
    </row>
    <row r="411">
      <c r="A411" t="inlineStr">
        <is>
          <t>archon-search</t>
        </is>
      </c>
      <c r="B411" t="inlineStr">
        <is>
          <t>/Users/manczg/Documents/development/archon-search/archon_search/server/mcp.py</t>
        </is>
      </c>
      <c r="C411" t="inlineStr">
        <is>
          <t>clarity-16</t>
        </is>
      </c>
      <c r="D411" t="n">
        <v>1987</v>
      </c>
      <c r="E411" t="inlineStr">
        <is>
          <t>TP</t>
        </is>
      </c>
      <c r="F411" t="inlineStr">
        <is>
          <t>get_graph_cross_collection has many if/for branches exceeding 10</t>
        </is>
      </c>
    </row>
    <row r="412">
      <c r="A412" t="inlineStr">
        <is>
          <t>archon-search</t>
        </is>
      </c>
      <c r="B412" t="inlineStr">
        <is>
          <t>/Users/manczg/Documents/development/archon-search/archon_search/server/mcp.py</t>
        </is>
      </c>
      <c r="C412" t="inlineStr">
        <is>
          <t>clarity-17</t>
        </is>
      </c>
      <c r="D412" t="n">
        <v>258</v>
      </c>
      <c r="E412" t="inlineStr">
        <is>
          <t>TP</t>
        </is>
      </c>
      <c r="F412" t="inlineStr">
        <is>
          <t>create_app spans 258-2184, far exceeds 150 lines</t>
        </is>
      </c>
    </row>
    <row r="413">
      <c r="A413" t="inlineStr">
        <is>
          <t>archon-search</t>
        </is>
      </c>
      <c r="B413" t="inlineStr">
        <is>
          <t>/Users/manczg/Documents/development/archon-search/archon_search/server/mcp.py</t>
        </is>
      </c>
      <c r="C413" t="inlineStr">
        <is>
          <t>clarity-17</t>
        </is>
      </c>
      <c r="D413" t="n">
        <v>292</v>
      </c>
      <c r="E413" t="inlineStr">
        <is>
          <t>TP</t>
        </is>
      </c>
      <c r="F413" t="inlineStr">
        <is>
          <t>search spans 292-601, exceeds 150 lines</t>
        </is>
      </c>
    </row>
    <row r="414">
      <c r="A414" t="inlineStr">
        <is>
          <t>archon-search</t>
        </is>
      </c>
      <c r="B414" t="inlineStr">
        <is>
          <t>/Users/manczg/Documents/development/archon-search/archon_search/server/mcp.py</t>
        </is>
      </c>
      <c r="C414" t="inlineStr">
        <is>
          <t>clarity-17</t>
        </is>
      </c>
      <c r="D414" t="n">
        <v>604</v>
      </c>
      <c r="E414" t="inlineStr">
        <is>
          <t>TP</t>
        </is>
      </c>
      <c r="F414" t="inlineStr">
        <is>
          <t>search_with_context spans 604-791, exceeds 150 lines</t>
        </is>
      </c>
    </row>
    <row r="415">
      <c r="A415" t="inlineStr">
        <is>
          <t>archon-search</t>
        </is>
      </c>
      <c r="B415" t="inlineStr">
        <is>
          <t>/Users/manczg/Documents/development/archon-search/archon_search/server/mcp.py</t>
        </is>
      </c>
      <c r="C415" t="inlineStr">
        <is>
          <t>clarity-17</t>
        </is>
      </c>
      <c r="D415" t="n">
        <v>794</v>
      </c>
      <c r="E415" t="inlineStr">
        <is>
          <t>TP</t>
        </is>
      </c>
      <c r="F415" t="inlineStr">
        <is>
          <t>explain spans 794-1134, exceeds 150 lines</t>
        </is>
      </c>
    </row>
    <row r="416">
      <c r="A416" t="inlineStr">
        <is>
          <t>archon-search</t>
        </is>
      </c>
      <c r="B416" t="inlineStr">
        <is>
          <t>/Users/manczg/Documents/development/archon-search/archon_search/server/mcp.py</t>
        </is>
      </c>
      <c r="C416" t="inlineStr">
        <is>
          <t>safety-07</t>
        </is>
      </c>
      <c r="D416" t="n">
        <v>211</v>
      </c>
      <c r="E416" t="inlineStr">
        <is>
          <t>TP</t>
        </is>
      </c>
      <c r="F416" t="inlineStr">
        <is>
          <t>noqa: PLC0415 suppresses import-not-at-top lint rule</t>
        </is>
      </c>
    </row>
    <row r="417">
      <c r="A417" t="inlineStr">
        <is>
          <t>archon-search</t>
        </is>
      </c>
      <c r="B417" t="inlineStr">
        <is>
          <t>/Users/manczg/Documents/development/archon-search/archon_search/server/mcp.py</t>
        </is>
      </c>
      <c r="C417" t="inlineStr">
        <is>
          <t>safety-07</t>
        </is>
      </c>
      <c r="D417" t="n">
        <v>287</v>
      </c>
      <c r="E417" t="inlineStr">
        <is>
          <t>TP</t>
        </is>
      </c>
      <c r="F417" t="inlineStr">
        <is>
          <t>noqa: PLC0415 suppression</t>
        </is>
      </c>
    </row>
    <row r="418">
      <c r="A418" t="inlineStr">
        <is>
          <t>archon-search</t>
        </is>
      </c>
      <c r="B418" t="inlineStr">
        <is>
          <t>/Users/manczg/Documents/development/archon-search/archon_search/server/mcp.py</t>
        </is>
      </c>
      <c r="C418" t="inlineStr">
        <is>
          <t>safety-07</t>
        </is>
      </c>
      <c r="D418" t="n">
        <v>353</v>
      </c>
      <c r="E418" t="inlineStr">
        <is>
          <t>TP</t>
        </is>
      </c>
      <c r="F418" t="inlineStr">
        <is>
          <t>noqa: PLC0415 suppression</t>
        </is>
      </c>
    </row>
    <row r="419">
      <c r="A419" t="inlineStr">
        <is>
          <t>archon-search</t>
        </is>
      </c>
      <c r="B419" t="inlineStr">
        <is>
          <t>/Users/manczg/Documents/development/archon-search/archon_search/server/mcp.py</t>
        </is>
      </c>
      <c r="C419" t="inlineStr">
        <is>
          <t>safety-07</t>
        </is>
      </c>
      <c r="D419" t="n">
        <v>361</v>
      </c>
      <c r="E419" t="inlineStr">
        <is>
          <t>TP</t>
        </is>
      </c>
      <c r="F419" t="inlineStr">
        <is>
          <t>noqa: PLC0415 suppression</t>
        </is>
      </c>
    </row>
    <row r="420">
      <c r="A420" t="inlineStr">
        <is>
          <t>archon-search</t>
        </is>
      </c>
      <c r="B420" t="inlineStr">
        <is>
          <t>/Users/manczg/Documents/development/archon-search/archon_search/server/mcp.py</t>
        </is>
      </c>
      <c r="C420" t="inlineStr">
        <is>
          <t>safety-07</t>
        </is>
      </c>
      <c r="D420" t="n">
        <v>392</v>
      </c>
      <c r="E420" t="inlineStr">
        <is>
          <t>TP</t>
        </is>
      </c>
      <c r="F420" t="inlineStr">
        <is>
          <t>noqa: PLC0415 suppression</t>
        </is>
      </c>
    </row>
    <row r="421">
      <c r="A421" t="inlineStr">
        <is>
          <t>archon-search</t>
        </is>
      </c>
      <c r="B421" t="inlineStr">
        <is>
          <t>/Users/manczg/Documents/development/archon-search/archon_search/server/mcp.py</t>
        </is>
      </c>
      <c r="C421" t="inlineStr">
        <is>
          <t>safety-07</t>
        </is>
      </c>
      <c r="D421" t="n">
        <v>655</v>
      </c>
      <c r="E421" t="inlineStr">
        <is>
          <t>TP</t>
        </is>
      </c>
      <c r="F421" t="inlineStr">
        <is>
          <t>noqa: PLC0415 suppression</t>
        </is>
      </c>
    </row>
    <row r="422">
      <c r="A422" t="inlineStr">
        <is>
          <t>archon-search</t>
        </is>
      </c>
      <c r="B422" t="inlineStr">
        <is>
          <t>/Users/manczg/Documents/development/archon-search/archon_search/server/mcp.py</t>
        </is>
      </c>
      <c r="C422" t="inlineStr">
        <is>
          <t>safety-07</t>
        </is>
      </c>
      <c r="D422" t="n">
        <v>663</v>
      </c>
      <c r="E422" t="inlineStr">
        <is>
          <t>TP</t>
        </is>
      </c>
      <c r="F422" t="inlineStr">
        <is>
          <t>noqa: PLC0415 suppression</t>
        </is>
      </c>
    </row>
    <row r="423">
      <c r="A423" t="inlineStr">
        <is>
          <t>archon-search</t>
        </is>
      </c>
      <c r="B423" t="inlineStr">
        <is>
          <t>/Users/manczg/Documents/development/archon-search/archon_search/server/mcp.py</t>
        </is>
      </c>
      <c r="C423" t="inlineStr">
        <is>
          <t>safety-07</t>
        </is>
      </c>
      <c r="D423" t="n">
        <v>825</v>
      </c>
      <c r="E423" t="inlineStr">
        <is>
          <t>TP</t>
        </is>
      </c>
      <c r="F423" t="inlineStr">
        <is>
          <t>noqa: PLC0415 suppression</t>
        </is>
      </c>
    </row>
    <row r="424">
      <c r="A424" t="inlineStr">
        <is>
          <t>archon-search</t>
        </is>
      </c>
      <c r="B424" t="inlineStr">
        <is>
          <t>/Users/manczg/Documents/development/archon-search/archon_search/server/mcp.py</t>
        </is>
      </c>
      <c r="C424" t="inlineStr">
        <is>
          <t>safety-07</t>
        </is>
      </c>
      <c r="D424" t="n">
        <v>869</v>
      </c>
      <c r="E424" t="inlineStr">
        <is>
          <t>TP</t>
        </is>
      </c>
      <c r="F424" t="inlineStr">
        <is>
          <t>noqa: PLC0415 suppression</t>
        </is>
      </c>
    </row>
    <row r="425">
      <c r="A425" t="inlineStr">
        <is>
          <t>archon-search</t>
        </is>
      </c>
      <c r="B425" t="inlineStr">
        <is>
          <t>/Users/manczg/Documents/development/archon-search/archon_search/server/mcp.py</t>
        </is>
      </c>
      <c r="C425" t="inlineStr">
        <is>
          <t>safety-07</t>
        </is>
      </c>
      <c r="D425" t="n">
        <v>876</v>
      </c>
      <c r="E425" t="inlineStr">
        <is>
          <t>TP</t>
        </is>
      </c>
      <c r="F425" t="inlineStr">
        <is>
          <t>noqa: PLC0415 suppression</t>
        </is>
      </c>
    </row>
    <row r="426">
      <c r="A426" t="inlineStr">
        <is>
          <t>archon-search</t>
        </is>
      </c>
      <c r="B426" t="inlineStr">
        <is>
          <t>/Users/manczg/Documents/development/archon-search/archon_search/server/mcp.py</t>
        </is>
      </c>
      <c r="C426" t="inlineStr">
        <is>
          <t>safety-07</t>
        </is>
      </c>
      <c r="D426" t="n">
        <v>1383</v>
      </c>
      <c r="E426" t="inlineStr">
        <is>
          <t>TP</t>
        </is>
      </c>
      <c r="F426" t="inlineStr">
        <is>
          <t>noqa: PLC0415 suppression</t>
        </is>
      </c>
    </row>
    <row r="427">
      <c r="A427" t="inlineStr">
        <is>
          <t>archon-search</t>
        </is>
      </c>
      <c r="B427" t="inlineStr">
        <is>
          <t>/Users/manczg/Documents/development/archon-search/archon_search/server/mcp.py</t>
        </is>
      </c>
      <c r="C427" t="inlineStr">
        <is>
          <t>safety-07</t>
        </is>
      </c>
      <c r="D427" t="n">
        <v>1493</v>
      </c>
      <c r="E427" t="inlineStr">
        <is>
          <t>TP</t>
        </is>
      </c>
      <c r="F427" t="inlineStr">
        <is>
          <t>noqa: PLC0415 suppression</t>
        </is>
      </c>
    </row>
    <row r="428">
      <c r="A428" t="inlineStr">
        <is>
          <t>archon-search</t>
        </is>
      </c>
      <c r="B428" t="inlineStr">
        <is>
          <t>/Users/manczg/Documents/development/archon-search/archon_search/server/mcp.py</t>
        </is>
      </c>
      <c r="C428" t="inlineStr">
        <is>
          <t>safety-07</t>
        </is>
      </c>
      <c r="D428" t="n">
        <v>1494</v>
      </c>
      <c r="E428" t="inlineStr">
        <is>
          <t>TP</t>
        </is>
      </c>
      <c r="F428" t="inlineStr">
        <is>
          <t>noqa: PLC0415 suppression</t>
        </is>
      </c>
    </row>
    <row r="429">
      <c r="A429" t="inlineStr">
        <is>
          <t>archon-search</t>
        </is>
      </c>
      <c r="B429" t="inlineStr">
        <is>
          <t>/Users/manczg/Documents/development/archon-search/archon_search/server/mcp.py</t>
        </is>
      </c>
      <c r="C429" t="inlineStr">
        <is>
          <t>safety-07</t>
        </is>
      </c>
      <c r="D429" t="n">
        <v>1540</v>
      </c>
      <c r="E429" t="inlineStr">
        <is>
          <t>TP</t>
        </is>
      </c>
      <c r="F429" t="inlineStr">
        <is>
          <t>noqa: PLC0415 suppression</t>
        </is>
      </c>
    </row>
    <row r="430">
      <c r="A430" t="inlineStr">
        <is>
          <t>archon-search</t>
        </is>
      </c>
      <c r="B430" t="inlineStr">
        <is>
          <t>/Users/manczg/Documents/development/archon-search/archon_search/server/mcp.py</t>
        </is>
      </c>
      <c r="C430" t="inlineStr">
        <is>
          <t>safety-07</t>
        </is>
      </c>
      <c r="D430" t="n">
        <v>1555</v>
      </c>
      <c r="E430" t="inlineStr">
        <is>
          <t>TP</t>
        </is>
      </c>
      <c r="F430" t="inlineStr">
        <is>
          <t>noqa: BLE001 suppresses blind-except lint rule</t>
        </is>
      </c>
    </row>
    <row r="431">
      <c r="A431" t="inlineStr">
        <is>
          <t>archon-search</t>
        </is>
      </c>
      <c r="B431" t="inlineStr">
        <is>
          <t>/Users/manczg/Documents/development/archon-search/archon_search/server/mcp.py</t>
        </is>
      </c>
      <c r="C431" t="inlineStr">
        <is>
          <t>safety-07</t>
        </is>
      </c>
      <c r="D431" t="n">
        <v>1615</v>
      </c>
      <c r="E431" t="inlineStr">
        <is>
          <t>TP</t>
        </is>
      </c>
      <c r="F431" t="inlineStr">
        <is>
          <t>noqa: PLC0415 suppression</t>
        </is>
      </c>
    </row>
    <row r="432">
      <c r="A432" t="inlineStr">
        <is>
          <t>archon-search</t>
        </is>
      </c>
      <c r="B432" t="inlineStr">
        <is>
          <t>/Users/manczg/Documents/development/archon-search/archon_search/server/mcp.py</t>
        </is>
      </c>
      <c r="C432" t="inlineStr">
        <is>
          <t>safety-07</t>
        </is>
      </c>
      <c r="D432" t="n">
        <v>1616</v>
      </c>
      <c r="E432" t="inlineStr">
        <is>
          <t>TP</t>
        </is>
      </c>
      <c r="F432" t="inlineStr">
        <is>
          <t>noqa: PLC0415 suppression</t>
        </is>
      </c>
    </row>
    <row r="433">
      <c r="A433" t="inlineStr">
        <is>
          <t>archon-search</t>
        </is>
      </c>
      <c r="B433" t="inlineStr">
        <is>
          <t>/Users/manczg/Documents/development/archon-search/archon_search/server/mcp.py</t>
        </is>
      </c>
      <c r="C433" t="inlineStr">
        <is>
          <t>safety-07</t>
        </is>
      </c>
      <c r="D433" t="n">
        <v>1617</v>
      </c>
      <c r="E433" t="inlineStr">
        <is>
          <t>TP</t>
        </is>
      </c>
      <c r="F433" t="inlineStr">
        <is>
          <t>noqa: PLC0415 suppression</t>
        </is>
      </c>
    </row>
    <row r="434">
      <c r="A434" t="inlineStr">
        <is>
          <t>archon-search</t>
        </is>
      </c>
      <c r="B434" t="inlineStr">
        <is>
          <t>/Users/manczg/Documents/development/archon-search/archon_search/server/mcp.py</t>
        </is>
      </c>
      <c r="C434" t="inlineStr">
        <is>
          <t>safety-07</t>
        </is>
      </c>
      <c r="D434" t="n">
        <v>1619</v>
      </c>
      <c r="E434" t="inlineStr">
        <is>
          <t>TP</t>
        </is>
      </c>
      <c r="F434" t="inlineStr">
        <is>
          <t>noqa: PLC0415 suppression</t>
        </is>
      </c>
    </row>
    <row r="435">
      <c r="A435" t="inlineStr">
        <is>
          <t>archon-search</t>
        </is>
      </c>
      <c r="B435" t="inlineStr">
        <is>
          <t>/Users/manczg/Documents/development/archon-search/archon_search/server/mcp.py</t>
        </is>
      </c>
      <c r="C435" t="inlineStr">
        <is>
          <t>safety-07</t>
        </is>
      </c>
      <c r="D435" t="n">
        <v>1620</v>
      </c>
      <c r="E435" t="inlineStr">
        <is>
          <t>TP</t>
        </is>
      </c>
      <c r="F435" t="inlineStr">
        <is>
          <t>noqa: PLC0415 suppression</t>
        </is>
      </c>
    </row>
    <row r="436">
      <c r="A436" t="inlineStr">
        <is>
          <t>archon-search</t>
        </is>
      </c>
      <c r="B436" t="inlineStr">
        <is>
          <t>/Users/manczg/Documents/development/archon-search/archon_search/server/mcp.py</t>
        </is>
      </c>
      <c r="C436" t="inlineStr">
        <is>
          <t>safety-07</t>
        </is>
      </c>
      <c r="D436" t="n">
        <v>1621</v>
      </c>
      <c r="E436" t="inlineStr">
        <is>
          <t>TP</t>
        </is>
      </c>
      <c r="F436" t="inlineStr">
        <is>
          <t>noqa: PLC0415 suppression</t>
        </is>
      </c>
    </row>
    <row r="437">
      <c r="A437" t="inlineStr">
        <is>
          <t>archon-search</t>
        </is>
      </c>
      <c r="B437" t="inlineStr">
        <is>
          <t>/Users/manczg/Documents/development/archon-search/archon_search/server/mcp.py</t>
        </is>
      </c>
      <c r="C437" t="inlineStr">
        <is>
          <t>safety-07</t>
        </is>
      </c>
      <c r="D437" t="n">
        <v>1642</v>
      </c>
      <c r="E437" t="inlineStr">
        <is>
          <t>TP</t>
        </is>
      </c>
      <c r="F437" t="inlineStr">
        <is>
          <t>noqa: PLC0415 suppression</t>
        </is>
      </c>
    </row>
    <row r="438">
      <c r="A438" t="inlineStr">
        <is>
          <t>archon-search</t>
        </is>
      </c>
      <c r="B438" t="inlineStr">
        <is>
          <t>/Users/manczg/Documents/development/archon-search/archon_search/server/mcp.py</t>
        </is>
      </c>
      <c r="C438" t="inlineStr">
        <is>
          <t>safety-07</t>
        </is>
      </c>
      <c r="D438" t="n">
        <v>1832</v>
      </c>
      <c r="E438" t="inlineStr">
        <is>
          <t>TP</t>
        </is>
      </c>
      <c r="F438" t="inlineStr">
        <is>
          <t>type: ignore[assignment] suppresses mypy signal</t>
        </is>
      </c>
    </row>
    <row r="439">
      <c r="A439" t="inlineStr">
        <is>
          <t>archon-search</t>
        </is>
      </c>
      <c r="B439" t="inlineStr">
        <is>
          <t>/Users/manczg/Documents/development/archon-search/archon_search/server/mcp.py</t>
        </is>
      </c>
      <c r="C439" t="inlineStr">
        <is>
          <t>safety-07</t>
        </is>
      </c>
      <c r="D439" t="n">
        <v>1859</v>
      </c>
      <c r="E439" t="inlineStr">
        <is>
          <t>TP</t>
        </is>
      </c>
      <c r="F439" t="inlineStr">
        <is>
          <t>noqa: PLC0415 suppression</t>
        </is>
      </c>
    </row>
    <row r="440">
      <c r="A440" t="inlineStr">
        <is>
          <t>archon-search</t>
        </is>
      </c>
      <c r="B440" t="inlineStr">
        <is>
          <t>/Users/manczg/Documents/development/archon-search/archon_search/server/mcp.py</t>
        </is>
      </c>
      <c r="C440" t="inlineStr">
        <is>
          <t>safety-07</t>
        </is>
      </c>
      <c r="D440" t="n">
        <v>1860</v>
      </c>
      <c r="E440" t="inlineStr">
        <is>
          <t>TP</t>
        </is>
      </c>
      <c r="F440" t="inlineStr">
        <is>
          <t>noqa: PLC0415 suppression</t>
        </is>
      </c>
    </row>
    <row r="441">
      <c r="A441" t="inlineStr">
        <is>
          <t>archon-search</t>
        </is>
      </c>
      <c r="B441" t="inlineStr">
        <is>
          <t>/Users/manczg/Documents/development/archon-search/archon_search/server/mcp.py</t>
        </is>
      </c>
      <c r="C441" t="inlineStr">
        <is>
          <t>safety-11</t>
        </is>
      </c>
      <c r="D441" t="n">
        <v>1496</v>
      </c>
      <c r="E441" t="inlineStr">
        <is>
          <t>TP</t>
        </is>
      </c>
      <c r="F441" t="inlineStr">
        <is>
          <t>datetime.now() called directly, feeds observable export archive filename</t>
        </is>
      </c>
    </row>
    <row r="442">
      <c r="A442" t="inlineStr">
        <is>
          <t>archon-search</t>
        </is>
      </c>
      <c r="B442" t="inlineStr">
        <is>
          <t>/Users/manczg/Documents/development/archon-search/archon_search/server/mcp.py</t>
        </is>
      </c>
      <c r="C442" t="inlineStr">
        <is>
          <t>safety-11</t>
        </is>
      </c>
      <c r="D442" t="n">
        <v>1497</v>
      </c>
      <c r="E442" t="inlineStr">
        <is>
          <t>TP</t>
        </is>
      </c>
      <c r="F442" t="inlineStr">
        <is>
          <t>uuid4() called directly, feeds stored job tmp_path record</t>
        </is>
      </c>
    </row>
    <row r="443">
      <c r="A443" t="inlineStr">
        <is>
          <t>archon-search</t>
        </is>
      </c>
      <c r="B443" t="inlineStr">
        <is>
          <t>/Users/manczg/Documents/development/archon-search/archon_search/server/mcp.py</t>
        </is>
      </c>
      <c r="C443" t="inlineStr">
        <is>
          <t>safety-11</t>
        </is>
      </c>
      <c r="D443" t="n">
        <v>1805</v>
      </c>
      <c r="E443" t="inlineStr">
        <is>
          <t>TP</t>
        </is>
      </c>
      <c r="F443" t="inlineStr">
        <is>
          <t>secrets.token_hex called directly to mint stored auth token, security-critical</t>
        </is>
      </c>
    </row>
    <row r="444">
      <c r="A444" t="inlineStr">
        <is>
          <t>archon-search</t>
        </is>
      </c>
      <c r="B444" t="inlineStr">
        <is>
          <t>/Users/manczg/Documents/development/archon-search/archon_search/server/mcp.py</t>
        </is>
      </c>
      <c r="C444" t="inlineStr">
        <is>
          <t>smells-01</t>
        </is>
      </c>
      <c r="D444" t="n">
        <v>1</v>
      </c>
      <c r="E444" t="inlineStr">
        <is>
          <t>TP</t>
        </is>
      </c>
      <c r="F444" t="inlineStr">
        <is>
          <t>file is 2259 lines, exceeds 1000-line threshold</t>
        </is>
      </c>
    </row>
    <row r="445">
      <c r="A445" t="inlineStr">
        <is>
          <t>archon-search</t>
        </is>
      </c>
      <c r="B445" t="inlineStr">
        <is>
          <t>/Users/manczg/Documents/development/archon-search/archon_search/server/mcp.py</t>
        </is>
      </c>
      <c r="C445" t="inlineStr">
        <is>
          <t>smells-02</t>
        </is>
      </c>
      <c r="D445" t="n">
        <v>229</v>
      </c>
      <c r="E445" t="inlineStr">
        <is>
          <t>TP</t>
        </is>
      </c>
      <c r="F445" t="inlineStr">
        <is>
          <t>_resolve_embedder has 6 parameters</t>
        </is>
      </c>
    </row>
    <row r="446">
      <c r="A446" t="inlineStr">
        <is>
          <t>archon-search</t>
        </is>
      </c>
      <c r="B446" t="inlineStr">
        <is>
          <t>/Users/manczg/Documents/development/archon-search/archon_search/server/mcp.py</t>
        </is>
      </c>
      <c r="C446" t="inlineStr">
        <is>
          <t>smells-02</t>
        </is>
      </c>
      <c r="D446" t="n">
        <v>258</v>
      </c>
      <c r="E446" t="inlineStr">
        <is>
          <t>TP</t>
        </is>
      </c>
      <c r="F446" t="inlineStr">
        <is>
          <t>create_app has 11 parameters</t>
        </is>
      </c>
    </row>
    <row r="447">
      <c r="A447" t="inlineStr">
        <is>
          <t>archon-search</t>
        </is>
      </c>
      <c r="B447" t="inlineStr">
        <is>
          <t>/Users/manczg/Documents/development/archon-search/archon_search/server/mcp.py</t>
        </is>
      </c>
      <c r="C447" t="inlineStr">
        <is>
          <t>smells-02</t>
        </is>
      </c>
      <c r="D447" t="n">
        <v>292</v>
      </c>
      <c r="E447" t="inlineStr">
        <is>
          <t>TP</t>
        </is>
      </c>
      <c r="F447" t="inlineStr">
        <is>
          <t>search has 14 parameters</t>
        </is>
      </c>
    </row>
    <row r="448">
      <c r="A448" t="inlineStr">
        <is>
          <t>archon-search</t>
        </is>
      </c>
      <c r="B448" t="inlineStr">
        <is>
          <t>/Users/manczg/Documents/development/archon-search/archon_search/server/mcp.py</t>
        </is>
      </c>
      <c r="C448" t="inlineStr">
        <is>
          <t>smells-02</t>
        </is>
      </c>
      <c r="D448" t="n">
        <v>604</v>
      </c>
      <c r="E448" t="inlineStr">
        <is>
          <t>TP</t>
        </is>
      </c>
      <c r="F448" t="inlineStr">
        <is>
          <t>search_with_context has 14 parameters</t>
        </is>
      </c>
    </row>
    <row r="449">
      <c r="A449" t="inlineStr">
        <is>
          <t>archon-search</t>
        </is>
      </c>
      <c r="B449" t="inlineStr">
        <is>
          <t>/Users/manczg/Documents/development/archon-search/archon_search/server/mcp.py</t>
        </is>
      </c>
      <c r="C449" t="inlineStr">
        <is>
          <t>smells-02</t>
        </is>
      </c>
      <c r="D449" t="n">
        <v>794</v>
      </c>
      <c r="E449" t="inlineStr">
        <is>
          <t>TP</t>
        </is>
      </c>
      <c r="F449" t="inlineStr">
        <is>
          <t>explain has 9 parameters</t>
        </is>
      </c>
    </row>
    <row r="450">
      <c r="A450" t="inlineStr">
        <is>
          <t>archon-search</t>
        </is>
      </c>
      <c r="B450" t="inlineStr">
        <is>
          <t>/Users/manczg/Documents/development/archon-search/archon_search/server/mcp.py</t>
        </is>
      </c>
      <c r="C450" t="inlineStr">
        <is>
          <t>smells-02</t>
        </is>
      </c>
      <c r="D450" t="n">
        <v>1137</v>
      </c>
      <c r="E450" t="inlineStr">
        <is>
          <t>TP</t>
        </is>
      </c>
      <c r="F450" t="inlineStr">
        <is>
          <t>ingest_file has 4 parameters</t>
        </is>
      </c>
    </row>
    <row r="451">
      <c r="A451" t="inlineStr">
        <is>
          <t>archon-search</t>
        </is>
      </c>
      <c r="B451" t="inlineStr">
        <is>
          <t>/Users/manczg/Documents/development/archon-search/archon_search/server/mcp.py</t>
        </is>
      </c>
      <c r="C451" t="inlineStr">
        <is>
          <t>smells-02</t>
        </is>
      </c>
      <c r="D451" t="n">
        <v>1193</v>
      </c>
      <c r="E451" t="inlineStr">
        <is>
          <t>TP</t>
        </is>
      </c>
      <c r="F451" t="inlineStr">
        <is>
          <t>ingest_directory has 6 parameters</t>
        </is>
      </c>
    </row>
    <row r="452">
      <c r="A452" t="inlineStr">
        <is>
          <t>archon-search</t>
        </is>
      </c>
      <c r="B452" t="inlineStr">
        <is>
          <t>/Users/manczg/Documents/development/archon-search/archon_search/server/mcp.py</t>
        </is>
      </c>
      <c r="C452" t="inlineStr">
        <is>
          <t>smells-02</t>
        </is>
      </c>
      <c r="D452" t="n">
        <v>1510</v>
      </c>
      <c r="E452" t="inlineStr">
        <is>
          <t>TP</t>
        </is>
      </c>
      <c r="F452" t="inlineStr">
        <is>
          <t>import_collection has 5 parameters</t>
        </is>
      </c>
    </row>
    <row r="453">
      <c r="A453" t="inlineStr">
        <is>
          <t>archon-search</t>
        </is>
      </c>
      <c r="B453" t="inlineStr">
        <is>
          <t>/Users/manczg/Documents/development/archon-search/archon_search/server/mcp.py</t>
        </is>
      </c>
      <c r="C453" t="inlineStr">
        <is>
          <t>smells-02</t>
        </is>
      </c>
      <c r="D453" t="n">
        <v>2112</v>
      </c>
      <c r="E453" t="inlineStr">
        <is>
          <t>TP</t>
        </is>
      </c>
      <c r="F453" t="inlineStr">
        <is>
          <t>graph_impact has 6 parameters</t>
        </is>
      </c>
    </row>
    <row r="454">
      <c r="A454" t="inlineStr">
        <is>
          <t>archon-search</t>
        </is>
      </c>
      <c r="B454" t="inlineStr">
        <is>
          <t>/Users/manczg/Documents/development/archon-search/archon_search/server/mcp.py</t>
        </is>
      </c>
      <c r="C454" t="inlineStr">
        <is>
          <t>smells-02</t>
        </is>
      </c>
      <c r="D454" t="n">
        <v>2187</v>
      </c>
      <c r="E454" t="inlineStr">
        <is>
          <t>TP</t>
        </is>
      </c>
      <c r="F454" t="inlineStr">
        <is>
          <t>create_mcp_http_app has 12 parameters</t>
        </is>
      </c>
    </row>
    <row r="455">
      <c r="A455" t="inlineStr">
        <is>
          <t>archon-search</t>
        </is>
      </c>
      <c r="B455" t="inlineStr">
        <is>
          <t>/Users/manczg/Documents/development/archon-search/archon_search/server/mcp.py</t>
        </is>
      </c>
      <c r="C455" t="inlineStr">
        <is>
          <t>smells-03</t>
        </is>
      </c>
      <c r="D455" t="n">
        <v>296</v>
      </c>
      <c r="E455" t="inlineStr">
        <is>
          <t>TP</t>
        </is>
      </c>
      <c r="F455" t="inlineStr">
        <is>
          <t>include_metadata bool branches whether result metadata is stripped</t>
        </is>
      </c>
    </row>
    <row r="456">
      <c r="A456" t="inlineStr">
        <is>
          <t>archon-search</t>
        </is>
      </c>
      <c r="B456" t="inlineStr">
        <is>
          <t>/Users/manczg/Documents/development/archon-search/archon_search/server/mcp.py</t>
        </is>
      </c>
      <c r="C456" t="inlineStr">
        <is>
          <t>smells-03</t>
        </is>
      </c>
      <c r="D456" t="n">
        <v>303</v>
      </c>
      <c r="E456" t="inlineStr">
        <is>
          <t>TP</t>
        </is>
      </c>
      <c r="F456" t="inlineStr">
        <is>
          <t>hyde bool selects distinct HyDE retrieval code path</t>
        </is>
      </c>
    </row>
    <row r="457">
      <c r="A457" t="inlineStr">
        <is>
          <t>archon-search</t>
        </is>
      </c>
      <c r="B457" t="inlineStr">
        <is>
          <t>/Users/manczg/Documents/development/archon-search/archon_search/server/mcp.py</t>
        </is>
      </c>
      <c r="C457" t="inlineStr">
        <is>
          <t>smells-03</t>
        </is>
      </c>
      <c r="D457" t="n">
        <v>304</v>
      </c>
      <c r="E457" t="inlineStr">
        <is>
          <t>TP</t>
        </is>
      </c>
      <c r="F457" t="inlineStr">
        <is>
          <t>rag_fusion bool selects distinct RAG-fusion retrieval code path</t>
        </is>
      </c>
    </row>
    <row r="458">
      <c r="A458" t="inlineStr">
        <is>
          <t>archon-search</t>
        </is>
      </c>
      <c r="B458" t="inlineStr">
        <is>
          <t>/Users/manczg/Documents/development/archon-search/archon_search/server/mcp.py</t>
        </is>
      </c>
      <c r="C458" t="inlineStr">
        <is>
          <t>smells-03</t>
        </is>
      </c>
      <c r="D458" t="n">
        <v>608</v>
      </c>
      <c r="E458" t="inlineStr">
        <is>
          <t>TP</t>
        </is>
      </c>
      <c r="F458" t="inlineStr">
        <is>
          <t>include_metadata bool branches output shape</t>
        </is>
      </c>
    </row>
    <row r="459">
      <c r="A459" t="inlineStr">
        <is>
          <t>archon-search</t>
        </is>
      </c>
      <c r="B459" t="inlineStr">
        <is>
          <t>/Users/manczg/Documents/development/archon-search/archon_search/server/mcp.py</t>
        </is>
      </c>
      <c r="C459" t="inlineStr">
        <is>
          <t>smells-03</t>
        </is>
      </c>
      <c r="D459" t="n">
        <v>615</v>
      </c>
      <c r="E459" t="inlineStr">
        <is>
          <t>TP</t>
        </is>
      </c>
      <c r="F459" t="inlineStr">
        <is>
          <t>hyde bool selects distinct retrieval code path</t>
        </is>
      </c>
    </row>
    <row r="460">
      <c r="A460" t="inlineStr">
        <is>
          <t>archon-search</t>
        </is>
      </c>
      <c r="B460" t="inlineStr">
        <is>
          <t>/Users/manczg/Documents/development/archon-search/archon_search/server/mcp.py</t>
        </is>
      </c>
      <c r="C460" t="inlineStr">
        <is>
          <t>smells-03</t>
        </is>
      </c>
      <c r="D460" t="n">
        <v>616</v>
      </c>
      <c r="E460" t="inlineStr">
        <is>
          <t>TP</t>
        </is>
      </c>
      <c r="F460" t="inlineStr">
        <is>
          <t>rag_fusion bool selects distinct retrieval code path</t>
        </is>
      </c>
    </row>
    <row r="461">
      <c r="A461" t="inlineStr">
        <is>
          <t>archon-search</t>
        </is>
      </c>
      <c r="B461" t="inlineStr">
        <is>
          <t>/Users/manczg/Documents/development/archon-search/archon_search/server/mcp.py</t>
        </is>
      </c>
      <c r="C461" t="inlineStr">
        <is>
          <t>smells-03</t>
        </is>
      </c>
      <c r="D461" t="n">
        <v>799</v>
      </c>
      <c r="E461" t="inlineStr">
        <is>
          <t>TP</t>
        </is>
      </c>
      <c r="F461" t="inlineStr">
        <is>
          <t>rerank bool toggles whether reranking stage runs</t>
        </is>
      </c>
    </row>
    <row r="462">
      <c r="A462" t="inlineStr">
        <is>
          <t>archon-search</t>
        </is>
      </c>
      <c r="B462" t="inlineStr">
        <is>
          <t>/Users/manczg/Documents/development/archon-search/archon_search/server/mcp.py</t>
        </is>
      </c>
      <c r="C462" t="inlineStr">
        <is>
          <t>smells-03</t>
        </is>
      </c>
      <c r="D462" t="n">
        <v>800</v>
      </c>
      <c r="E462" t="inlineStr">
        <is>
          <t>TP</t>
        </is>
      </c>
      <c r="F462" t="inlineStr">
        <is>
          <t>hyde bool selects distinct retrieval code path</t>
        </is>
      </c>
    </row>
    <row r="463">
      <c r="A463" t="inlineStr">
        <is>
          <t>archon-search</t>
        </is>
      </c>
      <c r="B463" t="inlineStr">
        <is>
          <t>/Users/manczg/Documents/development/archon-search/archon_search/server/mcp.py</t>
        </is>
      </c>
      <c r="C463" t="inlineStr">
        <is>
          <t>smells-03</t>
        </is>
      </c>
      <c r="D463" t="n">
        <v>801</v>
      </c>
      <c r="E463" t="inlineStr">
        <is>
          <t>TP</t>
        </is>
      </c>
      <c r="F463" t="inlineStr">
        <is>
          <t>rag_fusion bool selects distinct retrieval code path</t>
        </is>
      </c>
    </row>
    <row r="464">
      <c r="A464" t="inlineStr">
        <is>
          <t>archon-search</t>
        </is>
      </c>
      <c r="B464" t="inlineStr">
        <is>
          <t>/Users/manczg/Documents/development/archon-search/archon_search/server/mcp.py</t>
        </is>
      </c>
      <c r="C464" t="inlineStr">
        <is>
          <t>smells-03</t>
        </is>
      </c>
      <c r="D464" t="n">
        <v>1275</v>
      </c>
      <c r="E464" t="inlineStr">
        <is>
          <t>TP</t>
        </is>
      </c>
      <c r="F464" t="inlineStr">
        <is>
          <t>include_description_embedding bool branches output shape</t>
        </is>
      </c>
    </row>
    <row r="465">
      <c r="A465" t="inlineStr">
        <is>
          <t>archon-search</t>
        </is>
      </c>
      <c r="B465" t="inlineStr">
        <is>
          <t>/Users/manczg/Documents/development/archon-search/archon_search/server/mcp.py</t>
        </is>
      </c>
      <c r="C465" t="inlineStr">
        <is>
          <t>smells-03</t>
        </is>
      </c>
      <c r="D465" t="n">
        <v>1513</v>
      </c>
      <c r="E465" t="inlineStr">
        <is>
          <t>TP</t>
        </is>
      </c>
      <c r="F465" t="inlineStr">
        <is>
          <t>force_overwrite bool selects overwrite-vs-reject behavior</t>
        </is>
      </c>
    </row>
    <row r="466">
      <c r="A466" t="inlineStr">
        <is>
          <t>archon-search</t>
        </is>
      </c>
      <c r="B466" t="inlineStr">
        <is>
          <t>/Users/manczg/Documents/development/archon-search/archon_search/server/mcp.py</t>
        </is>
      </c>
      <c r="C466" t="inlineStr">
        <is>
          <t>smells-03</t>
        </is>
      </c>
      <c r="D466" t="n">
        <v>1514</v>
      </c>
      <c r="E466" t="inlineStr">
        <is>
          <t>TP</t>
        </is>
      </c>
      <c r="F466" t="inlineStr">
        <is>
          <t>ignore_schema_version bool selects validation-vs-skip behavior</t>
        </is>
      </c>
    </row>
    <row r="467">
      <c r="A467" t="inlineStr">
        <is>
          <t>archon-search</t>
        </is>
      </c>
      <c r="B467" t="inlineStr">
        <is>
          <t>/Users/manczg/Documents/development/archon-search/archon_search/server/mcp.py</t>
        </is>
      </c>
      <c r="C467" t="inlineStr">
        <is>
          <t>smells-08</t>
        </is>
      </c>
      <c r="D467" t="n">
        <v>135</v>
      </c>
      <c r="E467" t="inlineStr">
        <is>
          <t>TP</t>
        </is>
      </c>
      <c r="F467" t="inlineStr">
        <is>
          <t>bare return None creates hidden failure path</t>
        </is>
      </c>
    </row>
    <row r="468">
      <c r="A468" t="inlineStr">
        <is>
          <t>archon-search</t>
        </is>
      </c>
      <c r="B468" t="inlineStr">
        <is>
          <t>/Users/manczg/Documents/development/archon-search/archon_search/server/mcp.py</t>
        </is>
      </c>
      <c r="C468" t="inlineStr">
        <is>
          <t>smells-08</t>
        </is>
      </c>
      <c r="D468" t="n">
        <v>170</v>
      </c>
      <c r="E468" t="inlineStr">
        <is>
          <t>TP</t>
        </is>
      </c>
      <c r="F468" t="inlineStr">
        <is>
          <t>bare return None creates hidden failure path</t>
        </is>
      </c>
    </row>
    <row r="469">
      <c r="A469" t="inlineStr">
        <is>
          <t>archon-search</t>
        </is>
      </c>
      <c r="B469" t="inlineStr">
        <is>
          <t>/Users/manczg/Documents/development/archon-search/archon_search/server/mcp.py</t>
        </is>
      </c>
      <c r="C469" t="inlineStr">
        <is>
          <t>smells-08</t>
        </is>
      </c>
      <c r="D469" t="n">
        <v>235</v>
      </c>
      <c r="E469" t="inlineStr">
        <is>
          <t>TP</t>
        </is>
      </c>
      <c r="F469" t="inlineStr">
        <is>
          <t>null default on Any-typed param, not a documented Optional shape</t>
        </is>
      </c>
    </row>
    <row r="470">
      <c r="A470" t="inlineStr">
        <is>
          <t>archon-search</t>
        </is>
      </c>
      <c r="B470" t="inlineStr">
        <is>
          <t>/Users/manczg/Documents/development/archon-search/archon_search/server/mcp.py</t>
        </is>
      </c>
      <c r="C470" t="inlineStr">
        <is>
          <t>smells-08</t>
        </is>
      </c>
      <c r="D470" t="n">
        <v>261</v>
      </c>
      <c r="E470" t="inlineStr">
        <is>
          <t>FP</t>
        </is>
      </c>
      <c r="F470" t="inlineStr">
        <is>
          <t>writer typed Optional with documented default, check's own remedy already applied</t>
        </is>
      </c>
    </row>
    <row r="471">
      <c r="A471" t="inlineStr">
        <is>
          <t>archon-search</t>
        </is>
      </c>
      <c r="B471" t="inlineStr">
        <is>
          <t>/Users/manczg/Documents/development/archon-search/archon_search/server/mcp.py</t>
        </is>
      </c>
      <c r="C471" t="inlineStr">
        <is>
          <t>smells-08</t>
        </is>
      </c>
      <c r="D471" t="n">
        <v>262</v>
      </c>
      <c r="E471" t="inlineStr">
        <is>
          <t>FP</t>
        </is>
      </c>
      <c r="F471" t="inlineStr">
        <is>
          <t>config typed Optional with documented default</t>
        </is>
      </c>
    </row>
    <row r="472">
      <c r="A472" t="inlineStr">
        <is>
          <t>archon-search</t>
        </is>
      </c>
      <c r="B472" t="inlineStr">
        <is>
          <t>/Users/manczg/Documents/development/archon-search/archon_search/server/mcp.py</t>
        </is>
      </c>
      <c r="C472" t="inlineStr">
        <is>
          <t>smells-08</t>
        </is>
      </c>
      <c r="D472" t="n">
        <v>263</v>
      </c>
      <c r="E472" t="inlineStr">
        <is>
          <t>FP</t>
        </is>
      </c>
      <c r="F472" t="inlineStr">
        <is>
          <t>embedder_cache typed Optional with documented default</t>
        </is>
      </c>
    </row>
    <row r="473">
      <c r="A473" t="inlineStr">
        <is>
          <t>archon-search</t>
        </is>
      </c>
      <c r="B473" t="inlineStr">
        <is>
          <t>/Users/manczg/Documents/development/archon-search/archon_search/server/mcp.py</t>
        </is>
      </c>
      <c r="C473" t="inlineStr">
        <is>
          <t>smells-08</t>
        </is>
      </c>
      <c r="D473" t="n">
        <v>264</v>
      </c>
      <c r="E473" t="inlineStr">
        <is>
          <t>FP</t>
        </is>
      </c>
      <c r="F473" t="inlineStr">
        <is>
          <t>job_store typed Optional with documented default</t>
        </is>
      </c>
    </row>
    <row r="474">
      <c r="A474" t="inlineStr">
        <is>
          <t>archon-search</t>
        </is>
      </c>
      <c r="B474" t="inlineStr">
        <is>
          <t>/Users/manczg/Documents/development/archon-search/archon_search/server/mcp.py</t>
        </is>
      </c>
      <c r="C474" t="inlineStr">
        <is>
          <t>smells-08</t>
        </is>
      </c>
      <c r="D474" t="n">
        <v>265</v>
      </c>
      <c r="E474" t="inlineStr">
        <is>
          <t>FP</t>
        </is>
      </c>
      <c r="F474" t="inlineStr">
        <is>
          <t>hyde_generator typed Optional with documented default</t>
        </is>
      </c>
    </row>
    <row r="475">
      <c r="A475" t="inlineStr">
        <is>
          <t>archon-search</t>
        </is>
      </c>
      <c r="B475" t="inlineStr">
        <is>
          <t>/Users/manczg/Documents/development/archon-search/archon_search/server/mcp.py</t>
        </is>
      </c>
      <c r="C475" t="inlineStr">
        <is>
          <t>smells-08</t>
        </is>
      </c>
      <c r="D475" t="n">
        <v>266</v>
      </c>
      <c r="E475" t="inlineStr">
        <is>
          <t>FP</t>
        </is>
      </c>
      <c r="F475" t="inlineStr">
        <is>
          <t>rag_fusion_generator typed Optional with documented default</t>
        </is>
      </c>
    </row>
    <row r="476">
      <c r="A476" t="inlineStr">
        <is>
          <t>archon-search</t>
        </is>
      </c>
      <c r="B476" t="inlineStr">
        <is>
          <t>/Users/manczg/Documents/development/archon-search/archon_search/server/mcp.py</t>
        </is>
      </c>
      <c r="C476" t="inlineStr">
        <is>
          <t>smells-08</t>
        </is>
      </c>
      <c r="D476" t="n">
        <v>267</v>
      </c>
      <c r="E476" t="inlineStr">
        <is>
          <t>FP</t>
        </is>
      </c>
      <c r="F476" t="inlineStr">
        <is>
          <t>key_store typed Optional with documented default</t>
        </is>
      </c>
    </row>
    <row r="477">
      <c r="A477" t="inlineStr">
        <is>
          <t>archon-search</t>
        </is>
      </c>
      <c r="B477" t="inlineStr">
        <is>
          <t>/Users/manczg/Documents/development/archon-search/archon_search/server/mcp.py</t>
        </is>
      </c>
      <c r="C477" t="inlineStr">
        <is>
          <t>smells-08</t>
        </is>
      </c>
      <c r="D477" t="n">
        <v>268</v>
      </c>
      <c r="E477" t="inlineStr">
        <is>
          <t>FP</t>
        </is>
      </c>
      <c r="F477" t="inlineStr">
        <is>
          <t>doc_id_hasher typed Optional with documented default</t>
        </is>
      </c>
    </row>
    <row r="478">
      <c r="A478" t="inlineStr">
        <is>
          <t>archon-search</t>
        </is>
      </c>
      <c r="B478" t="inlineStr">
        <is>
          <t>/Users/manczg/Documents/development/archon-search/archon_search/server/mcp.py</t>
        </is>
      </c>
      <c r="C478" t="inlineStr">
        <is>
          <t>smells-08</t>
        </is>
      </c>
      <c r="D478" t="n">
        <v>269</v>
      </c>
      <c r="E478" t="inlineStr">
        <is>
          <t>FP</t>
        </is>
      </c>
      <c r="F478" t="inlineStr">
        <is>
          <t>graph_store typed Optional with documented default</t>
        </is>
      </c>
    </row>
    <row r="479">
      <c r="A479" t="inlineStr">
        <is>
          <t>archon-search</t>
        </is>
      </c>
      <c r="B479" t="inlineStr">
        <is>
          <t>/Users/manczg/Documents/development/archon-search/archon_search/server/mcp.py</t>
        </is>
      </c>
      <c r="C479" t="inlineStr">
        <is>
          <t>smells-08</t>
        </is>
      </c>
      <c r="D479" t="n">
        <v>294</v>
      </c>
      <c r="E479" t="inlineStr">
        <is>
          <t>FP</t>
        </is>
      </c>
      <c r="F479" t="inlineStr">
        <is>
          <t>collection typed Optional with documented default</t>
        </is>
      </c>
    </row>
    <row r="480">
      <c r="A480" t="inlineStr">
        <is>
          <t>archon-search</t>
        </is>
      </c>
      <c r="B480" t="inlineStr">
        <is>
          <t>/Users/manczg/Documents/development/archon-search/archon_search/server/mcp.py</t>
        </is>
      </c>
      <c r="C480" t="inlineStr">
        <is>
          <t>smells-08</t>
        </is>
      </c>
      <c r="D480" t="n">
        <v>295</v>
      </c>
      <c r="E480" t="inlineStr">
        <is>
          <t>FP</t>
        </is>
      </c>
      <c r="F480" t="inlineStr">
        <is>
          <t>collections typed Optional with documented default</t>
        </is>
      </c>
    </row>
    <row r="481">
      <c r="A481" t="inlineStr">
        <is>
          <t>archon-search</t>
        </is>
      </c>
      <c r="B481" t="inlineStr">
        <is>
          <t>/Users/manczg/Documents/development/archon-search/archon_search/server/mcp.py</t>
        </is>
      </c>
      <c r="C481" t="inlineStr">
        <is>
          <t>smells-08</t>
        </is>
      </c>
      <c r="D481" t="n">
        <v>297</v>
      </c>
      <c r="E481" t="inlineStr">
        <is>
          <t>FP</t>
        </is>
      </c>
      <c r="F481" t="inlineStr">
        <is>
          <t>file_type typed Optional with documented default</t>
        </is>
      </c>
    </row>
    <row r="482">
      <c r="A482" t="inlineStr">
        <is>
          <t>archon-search</t>
        </is>
      </c>
      <c r="B482" t="inlineStr">
        <is>
          <t>/Users/manczg/Documents/development/archon-search/archon_search/server/mcp.py</t>
        </is>
      </c>
      <c r="C482" t="inlineStr">
        <is>
          <t>smells-08</t>
        </is>
      </c>
      <c r="D482" t="n">
        <v>298</v>
      </c>
      <c r="E482" t="inlineStr">
        <is>
          <t>FP</t>
        </is>
      </c>
      <c r="F482" t="inlineStr">
        <is>
          <t>source_path_prefix typed Optional with documented default</t>
        </is>
      </c>
    </row>
    <row r="483">
      <c r="A483" t="inlineStr">
        <is>
          <t>archon-search</t>
        </is>
      </c>
      <c r="B483" t="inlineStr">
        <is>
          <t>/Users/manczg/Documents/development/archon-search/archon_search/server/mcp.py</t>
        </is>
      </c>
      <c r="C483" t="inlineStr">
        <is>
          <t>smells-08</t>
        </is>
      </c>
      <c r="D483" t="n">
        <v>299</v>
      </c>
      <c r="E483" t="inlineStr">
        <is>
          <t>FP</t>
        </is>
      </c>
      <c r="F483" t="inlineStr">
        <is>
          <t>source_path_glob typed Optional with documented default</t>
        </is>
      </c>
    </row>
    <row r="484">
      <c r="A484" t="inlineStr">
        <is>
          <t>archon-search</t>
        </is>
      </c>
      <c r="B484" t="inlineStr">
        <is>
          <t>/Users/manczg/Documents/development/archon-search/archon_search/server/mcp.py</t>
        </is>
      </c>
      <c r="C484" t="inlineStr">
        <is>
          <t>smells-08</t>
        </is>
      </c>
      <c r="D484" t="n">
        <v>300</v>
      </c>
      <c r="E484" t="inlineStr">
        <is>
          <t>FP</t>
        </is>
      </c>
      <c r="F484" t="inlineStr">
        <is>
          <t>indexed_after typed Optional with documented default</t>
        </is>
      </c>
    </row>
    <row r="485">
      <c r="A485" t="inlineStr">
        <is>
          <t>archon-search</t>
        </is>
      </c>
      <c r="B485" t="inlineStr">
        <is>
          <t>/Users/manczg/Documents/development/archon-search/archon_search/server/mcp.py</t>
        </is>
      </c>
      <c r="C485" t="inlineStr">
        <is>
          <t>smells-08</t>
        </is>
      </c>
      <c r="D485" t="n">
        <v>301</v>
      </c>
      <c r="E485" t="inlineStr">
        <is>
          <t>FP</t>
        </is>
      </c>
      <c r="F485" t="inlineStr">
        <is>
          <t>indexed_before typed Optional with documented default</t>
        </is>
      </c>
    </row>
    <row r="486">
      <c r="A486" t="inlineStr">
        <is>
          <t>archon-search</t>
        </is>
      </c>
      <c r="B486" t="inlineStr">
        <is>
          <t>/Users/manczg/Documents/development/archon-search/archon_search/server/mcp.py</t>
        </is>
      </c>
      <c r="C486" t="inlineStr">
        <is>
          <t>smells-08</t>
        </is>
      </c>
      <c r="D486" t="n">
        <v>302</v>
      </c>
      <c r="E486" t="inlineStr">
        <is>
          <t>FP</t>
        </is>
      </c>
      <c r="F486" t="inlineStr">
        <is>
          <t>language uses Optional-typed alias with documented default</t>
        </is>
      </c>
    </row>
    <row r="487">
      <c r="A487" t="inlineStr">
        <is>
          <t>archon-search</t>
        </is>
      </c>
      <c r="B487" t="inlineStr">
        <is>
          <t>/Users/manczg/Documents/development/archon-search/archon_search/server/mcp.py</t>
        </is>
      </c>
      <c r="C487" t="inlineStr">
        <is>
          <t>smells-08</t>
        </is>
      </c>
      <c r="D487" t="n">
        <v>305</v>
      </c>
      <c r="E487" t="inlineStr">
        <is>
          <t>FP</t>
        </is>
      </c>
      <c r="F487" t="inlineStr">
        <is>
          <t>graph_mode typed Optional with documented default</t>
        </is>
      </c>
    </row>
    <row r="488">
      <c r="A488" t="inlineStr">
        <is>
          <t>archon-search</t>
        </is>
      </c>
      <c r="B488" t="inlineStr">
        <is>
          <t>/Users/manczg/Documents/development/archon-search/archon_search/server/mcp.py</t>
        </is>
      </c>
      <c r="C488" t="inlineStr">
        <is>
          <t>smells-08</t>
        </is>
      </c>
      <c r="D488" t="n">
        <v>306</v>
      </c>
      <c r="E488" t="inlineStr">
        <is>
          <t>FP</t>
        </is>
      </c>
      <c r="F488" t="inlineStr">
        <is>
          <t>scope_filter typed Optional with documented default</t>
        </is>
      </c>
    </row>
    <row r="489">
      <c r="A489" t="inlineStr">
        <is>
          <t>archon-search</t>
        </is>
      </c>
      <c r="B489" t="inlineStr">
        <is>
          <t>/Users/manczg/Documents/development/archon-search/archon_search/server/mcp.py</t>
        </is>
      </c>
      <c r="C489" t="inlineStr">
        <is>
          <t>smells-08</t>
        </is>
      </c>
      <c r="D489" t="n">
        <v>606</v>
      </c>
      <c r="E489" t="inlineStr">
        <is>
          <t>FP</t>
        </is>
      </c>
      <c r="F489" t="inlineStr">
        <is>
          <t>collection typed Optional with documented default</t>
        </is>
      </c>
    </row>
    <row r="490">
      <c r="A490" t="inlineStr">
        <is>
          <t>archon-search</t>
        </is>
      </c>
      <c r="B490" t="inlineStr">
        <is>
          <t>/Users/manczg/Documents/development/archon-search/archon_search/server/mcp.py</t>
        </is>
      </c>
      <c r="C490" t="inlineStr">
        <is>
          <t>smells-08</t>
        </is>
      </c>
      <c r="D490" t="n">
        <v>609</v>
      </c>
      <c r="E490" t="inlineStr">
        <is>
          <t>FP</t>
        </is>
      </c>
      <c r="F490" t="inlineStr">
        <is>
          <t>file_type typed Optional with documented default</t>
        </is>
      </c>
    </row>
    <row r="491">
      <c r="A491" t="inlineStr">
        <is>
          <t>archon-search</t>
        </is>
      </c>
      <c r="B491" t="inlineStr">
        <is>
          <t>/Users/manczg/Documents/development/archon-search/archon_search/server/mcp.py</t>
        </is>
      </c>
      <c r="C491" t="inlineStr">
        <is>
          <t>smells-08</t>
        </is>
      </c>
      <c r="D491" t="n">
        <v>610</v>
      </c>
      <c r="E491" t="inlineStr">
        <is>
          <t>FP</t>
        </is>
      </c>
      <c r="F491" t="inlineStr">
        <is>
          <t>source_path_prefix typed Optional with documented default</t>
        </is>
      </c>
    </row>
    <row r="492">
      <c r="A492" t="inlineStr">
        <is>
          <t>archon-search</t>
        </is>
      </c>
      <c r="B492" t="inlineStr">
        <is>
          <t>/Users/manczg/Documents/development/archon-search/archon_search/server/mcp.py</t>
        </is>
      </c>
      <c r="C492" t="inlineStr">
        <is>
          <t>smells-08</t>
        </is>
      </c>
      <c r="D492" t="n">
        <v>611</v>
      </c>
      <c r="E492" t="inlineStr">
        <is>
          <t>FP</t>
        </is>
      </c>
      <c r="F492" t="inlineStr">
        <is>
          <t>source_path_glob typed Optional with documented default</t>
        </is>
      </c>
    </row>
    <row r="493">
      <c r="A493" t="inlineStr">
        <is>
          <t>archon-search</t>
        </is>
      </c>
      <c r="B493" t="inlineStr">
        <is>
          <t>/Users/manczg/Documents/development/archon-search/archon_search/server/mcp.py</t>
        </is>
      </c>
      <c r="C493" t="inlineStr">
        <is>
          <t>smells-08</t>
        </is>
      </c>
      <c r="D493" t="n">
        <v>612</v>
      </c>
      <c r="E493" t="inlineStr">
        <is>
          <t>FP</t>
        </is>
      </c>
      <c r="F493" t="inlineStr">
        <is>
          <t>indexed_after typed Optional with documented default</t>
        </is>
      </c>
    </row>
    <row r="494">
      <c r="A494" t="inlineStr">
        <is>
          <t>archon-search</t>
        </is>
      </c>
      <c r="B494" t="inlineStr">
        <is>
          <t>/Users/manczg/Documents/development/archon-search/archon_search/server/mcp.py</t>
        </is>
      </c>
      <c r="C494" t="inlineStr">
        <is>
          <t>smells-08</t>
        </is>
      </c>
      <c r="D494" t="n">
        <v>613</v>
      </c>
      <c r="E494" t="inlineStr">
        <is>
          <t>FP</t>
        </is>
      </c>
      <c r="F494" t="inlineStr">
        <is>
          <t>indexed_before typed Optional with documented default</t>
        </is>
      </c>
    </row>
    <row r="495">
      <c r="A495" t="inlineStr">
        <is>
          <t>archon-search</t>
        </is>
      </c>
      <c r="B495" t="inlineStr">
        <is>
          <t>/Users/manczg/Documents/development/archon-search/archon_search/server/mcp.py</t>
        </is>
      </c>
      <c r="C495" t="inlineStr">
        <is>
          <t>smells-08</t>
        </is>
      </c>
      <c r="D495" t="n">
        <v>614</v>
      </c>
      <c r="E495" t="inlineStr">
        <is>
          <t>FP</t>
        </is>
      </c>
      <c r="F495" t="inlineStr">
        <is>
          <t>language uses Optional-typed alias with documented default</t>
        </is>
      </c>
    </row>
    <row r="496">
      <c r="A496" t="inlineStr">
        <is>
          <t>archon-search</t>
        </is>
      </c>
      <c r="B496" t="inlineStr">
        <is>
          <t>/Users/manczg/Documents/development/archon-search/archon_search/server/mcp.py</t>
        </is>
      </c>
      <c r="C496" t="inlineStr">
        <is>
          <t>smells-08</t>
        </is>
      </c>
      <c r="D496" t="n">
        <v>617</v>
      </c>
      <c r="E496" t="inlineStr">
        <is>
          <t>FP</t>
        </is>
      </c>
      <c r="F496" t="inlineStr">
        <is>
          <t>graph_mode typed Optional with documented default</t>
        </is>
      </c>
    </row>
    <row r="497">
      <c r="A497" t="inlineStr">
        <is>
          <t>archon-search</t>
        </is>
      </c>
      <c r="B497" t="inlineStr">
        <is>
          <t>/Users/manczg/Documents/development/archon-search/archon_search/server/mcp.py</t>
        </is>
      </c>
      <c r="C497" t="inlineStr">
        <is>
          <t>smells-08</t>
        </is>
      </c>
      <c r="D497" t="n">
        <v>618</v>
      </c>
      <c r="E497" t="inlineStr">
        <is>
          <t>FP</t>
        </is>
      </c>
      <c r="F497" t="inlineStr">
        <is>
          <t>scope_filter typed Optional with documented default</t>
        </is>
      </c>
    </row>
    <row r="498">
      <c r="A498" t="inlineStr">
        <is>
          <t>archon-search</t>
        </is>
      </c>
      <c r="B498" t="inlineStr">
        <is>
          <t>/Users/manczg/Documents/development/archon-search/archon_search/server/mcp.py</t>
        </is>
      </c>
      <c r="C498" t="inlineStr">
        <is>
          <t>smells-08</t>
        </is>
      </c>
      <c r="D498" t="n">
        <v>796</v>
      </c>
      <c r="E498" t="inlineStr">
        <is>
          <t>FP</t>
        </is>
      </c>
      <c r="F498" t="inlineStr">
        <is>
          <t>collection typed Optional with documented default</t>
        </is>
      </c>
    </row>
    <row r="499">
      <c r="A499" t="inlineStr">
        <is>
          <t>archon-search</t>
        </is>
      </c>
      <c r="B499" t="inlineStr">
        <is>
          <t>/Users/manczg/Documents/development/archon-search/archon_search/server/mcp.py</t>
        </is>
      </c>
      <c r="C499" t="inlineStr">
        <is>
          <t>smells-08</t>
        </is>
      </c>
      <c r="D499" t="n">
        <v>797</v>
      </c>
      <c r="E499" t="inlineStr">
        <is>
          <t>FP</t>
        </is>
      </c>
      <c r="F499" t="inlineStr">
        <is>
          <t>collections typed Optional with documented default</t>
        </is>
      </c>
    </row>
    <row r="500">
      <c r="A500" t="inlineStr">
        <is>
          <t>archon-search</t>
        </is>
      </c>
      <c r="B500" t="inlineStr">
        <is>
          <t>/Users/manczg/Documents/development/archon-search/archon_search/server/mcp.py</t>
        </is>
      </c>
      <c r="C500" t="inlineStr">
        <is>
          <t>smells-08</t>
        </is>
      </c>
      <c r="D500" t="n">
        <v>802</v>
      </c>
      <c r="E500" t="inlineStr">
        <is>
          <t>FP</t>
        </is>
      </c>
      <c r="F500" t="inlineStr">
        <is>
          <t>graph_mode typed Optional with documented default</t>
        </is>
      </c>
    </row>
    <row r="501">
      <c r="A501" t="inlineStr">
        <is>
          <t>archon-search</t>
        </is>
      </c>
      <c r="B501" t="inlineStr">
        <is>
          <t>/Users/manczg/Documents/development/archon-search/archon_search/server/mcp.py</t>
        </is>
      </c>
      <c r="C501" t="inlineStr">
        <is>
          <t>smells-08</t>
        </is>
      </c>
      <c r="D501" t="n">
        <v>803</v>
      </c>
      <c r="E501" t="inlineStr">
        <is>
          <t>FP</t>
        </is>
      </c>
      <c r="F501" t="inlineStr">
        <is>
          <t>scope_filter typed Optional with documented default</t>
        </is>
      </c>
    </row>
    <row r="502">
      <c r="A502" t="inlineStr">
        <is>
          <t>archon-search</t>
        </is>
      </c>
      <c r="B502" t="inlineStr">
        <is>
          <t>/Users/manczg/Documents/development/archon-search/archon_search/server/mcp.py</t>
        </is>
      </c>
      <c r="C502" t="inlineStr">
        <is>
          <t>smells-08</t>
        </is>
      </c>
      <c r="D502" t="n">
        <v>1139</v>
      </c>
      <c r="E502" t="inlineStr">
        <is>
          <t>FP</t>
        </is>
      </c>
      <c r="F502" t="inlineStr">
        <is>
          <t>collection typed Optional with documented default</t>
        </is>
      </c>
    </row>
    <row r="503">
      <c r="A503" t="inlineStr">
        <is>
          <t>archon-search</t>
        </is>
      </c>
      <c r="B503" t="inlineStr">
        <is>
          <t>/Users/manczg/Documents/development/archon-search/archon_search/server/mcp.py</t>
        </is>
      </c>
      <c r="C503" t="inlineStr">
        <is>
          <t>smells-08</t>
        </is>
      </c>
      <c r="D503" t="n">
        <v>1140</v>
      </c>
      <c r="E503" t="inlineStr">
        <is>
          <t>FP</t>
        </is>
      </c>
      <c r="F503" t="inlineStr">
        <is>
          <t>chunk_ttl_seconds typed Optional with documented default</t>
        </is>
      </c>
    </row>
    <row r="504">
      <c r="A504" t="inlineStr">
        <is>
          <t>archon-search</t>
        </is>
      </c>
      <c r="B504" t="inlineStr">
        <is>
          <t>/Users/manczg/Documents/development/archon-search/archon_search/server/mcp.py</t>
        </is>
      </c>
      <c r="C504" t="inlineStr">
        <is>
          <t>smells-08</t>
        </is>
      </c>
      <c r="D504" t="n">
        <v>1141</v>
      </c>
      <c r="E504" t="inlineStr">
        <is>
          <t>FP</t>
        </is>
      </c>
      <c r="F504" t="inlineStr">
        <is>
          <t>chunk_scopes typed Optional with documented default</t>
        </is>
      </c>
    </row>
    <row r="505">
      <c r="A505" t="inlineStr">
        <is>
          <t>archon-search</t>
        </is>
      </c>
      <c r="B505" t="inlineStr">
        <is>
          <t>/Users/manczg/Documents/development/archon-search/archon_search/server/mcp.py</t>
        </is>
      </c>
      <c r="C505" t="inlineStr">
        <is>
          <t>smells-08</t>
        </is>
      </c>
      <c r="D505" t="n">
        <v>1196</v>
      </c>
      <c r="E505" t="inlineStr">
        <is>
          <t>FP</t>
        </is>
      </c>
      <c r="F505" t="inlineStr">
        <is>
          <t>collection typed Optional with documented default</t>
        </is>
      </c>
    </row>
    <row r="506">
      <c r="A506" t="inlineStr">
        <is>
          <t>archon-search</t>
        </is>
      </c>
      <c r="B506" t="inlineStr">
        <is>
          <t>/Users/manczg/Documents/development/archon-search/archon_search/server/mcp.py</t>
        </is>
      </c>
      <c r="C506" t="inlineStr">
        <is>
          <t>smells-08</t>
        </is>
      </c>
      <c r="D506" t="n">
        <v>1197</v>
      </c>
      <c r="E506" t="inlineStr">
        <is>
          <t>FP</t>
        </is>
      </c>
      <c r="F506" t="inlineStr">
        <is>
          <t>ctx typed Optional with documented default</t>
        </is>
      </c>
    </row>
    <row r="507">
      <c r="A507" t="inlineStr">
        <is>
          <t>archon-search</t>
        </is>
      </c>
      <c r="B507" t="inlineStr">
        <is>
          <t>/Users/manczg/Documents/development/archon-search/archon_search/server/mcp.py</t>
        </is>
      </c>
      <c r="C507" t="inlineStr">
        <is>
          <t>smells-08</t>
        </is>
      </c>
      <c r="D507" t="n">
        <v>1198</v>
      </c>
      <c r="E507" t="inlineStr">
        <is>
          <t>FP</t>
        </is>
      </c>
      <c r="F507" t="inlineStr">
        <is>
          <t>chunk_ttl_seconds typed Optional with documented default</t>
        </is>
      </c>
    </row>
    <row r="508">
      <c r="A508" t="inlineStr">
        <is>
          <t>archon-search</t>
        </is>
      </c>
      <c r="B508" t="inlineStr">
        <is>
          <t>/Users/manczg/Documents/development/archon-search/archon_search/server/mcp.py</t>
        </is>
      </c>
      <c r="C508" t="inlineStr">
        <is>
          <t>smells-08</t>
        </is>
      </c>
      <c r="D508" t="n">
        <v>1199</v>
      </c>
      <c r="E508" t="inlineStr">
        <is>
          <t>FP</t>
        </is>
      </c>
      <c r="F508" t="inlineStr">
        <is>
          <t>chunk_scopes typed Optional with documented default</t>
        </is>
      </c>
    </row>
    <row r="509">
      <c r="A509" t="inlineStr">
        <is>
          <t>archon-search</t>
        </is>
      </c>
      <c r="B509" t="inlineStr">
        <is>
          <t>/Users/manczg/Documents/development/archon-search/archon_search/server/mcp.py</t>
        </is>
      </c>
      <c r="C509" t="inlineStr">
        <is>
          <t>smells-08</t>
        </is>
      </c>
      <c r="D509" t="n">
        <v>1316</v>
      </c>
      <c r="E509" t="inlineStr">
        <is>
          <t>FP</t>
        </is>
      </c>
      <c r="F509" t="inlineStr">
        <is>
          <t>collection typed Optional with documented default</t>
        </is>
      </c>
    </row>
    <row r="510">
      <c r="A510" t="inlineStr">
        <is>
          <t>archon-search</t>
        </is>
      </c>
      <c r="B510" t="inlineStr">
        <is>
          <t>/Users/manczg/Documents/development/archon-search/archon_search/server/mcp.py</t>
        </is>
      </c>
      <c r="C510" t="inlineStr">
        <is>
          <t>smells-08</t>
        </is>
      </c>
      <c r="D510" t="n">
        <v>1318</v>
      </c>
      <c r="E510" t="inlineStr">
        <is>
          <t>FP</t>
        </is>
      </c>
      <c r="F510" t="inlineStr">
        <is>
          <t>cursor typed Optional with documented default</t>
        </is>
      </c>
    </row>
    <row r="511">
      <c r="A511" t="inlineStr">
        <is>
          <t>archon-search</t>
        </is>
      </c>
      <c r="B511" t="inlineStr">
        <is>
          <t>/Users/manczg/Documents/development/archon-search/archon_search/server/mcp.py</t>
        </is>
      </c>
      <c r="C511" t="inlineStr">
        <is>
          <t>smells-08</t>
        </is>
      </c>
      <c r="D511" t="n">
        <v>1336</v>
      </c>
      <c r="E511" t="inlineStr">
        <is>
          <t>FP</t>
        </is>
      </c>
      <c r="F511" t="inlineStr">
        <is>
          <t>collection typed Optional with documented default</t>
        </is>
      </c>
    </row>
    <row r="512">
      <c r="A512" t="inlineStr">
        <is>
          <t>archon-search</t>
        </is>
      </c>
      <c r="B512" t="inlineStr">
        <is>
          <t>/Users/manczg/Documents/development/archon-search/archon_search/server/mcp.py</t>
        </is>
      </c>
      <c r="C512" t="inlineStr">
        <is>
          <t>smells-08</t>
        </is>
      </c>
      <c r="D512" t="n">
        <v>1337</v>
      </c>
      <c r="E512" t="inlineStr">
        <is>
          <t>FP</t>
        </is>
      </c>
      <c r="F512" t="inlineStr">
        <is>
          <t>namespace typed Optional with documented default</t>
        </is>
      </c>
    </row>
    <row r="513">
      <c r="A513" t="inlineStr">
        <is>
          <t>archon-search</t>
        </is>
      </c>
      <c r="B513" t="inlineStr">
        <is>
          <t>/Users/manczg/Documents/development/archon-search/archon_search/server/mcp.py</t>
        </is>
      </c>
      <c r="C513" t="inlineStr">
        <is>
          <t>smells-08</t>
        </is>
      </c>
      <c r="D513" t="n">
        <v>1626</v>
      </c>
      <c r="E513" t="inlineStr">
        <is>
          <t>FP</t>
        </is>
      </c>
      <c r="F513" t="inlineStr">
        <is>
          <t>label typed Optional with documented default</t>
        </is>
      </c>
    </row>
    <row r="514">
      <c r="A514" t="inlineStr">
        <is>
          <t>archon-search</t>
        </is>
      </c>
      <c r="B514" t="inlineStr">
        <is>
          <t>/Users/manczg/Documents/development/archon-search/archon_search/server/mcp.py</t>
        </is>
      </c>
      <c r="C514" t="inlineStr">
        <is>
          <t>smells-08</t>
        </is>
      </c>
      <c r="D514" t="n">
        <v>1627</v>
      </c>
      <c r="E514" t="inlineStr">
        <is>
          <t>FP</t>
        </is>
      </c>
      <c r="F514" t="inlineStr">
        <is>
          <t>expires_at typed Optional with documented default</t>
        </is>
      </c>
    </row>
    <row r="515">
      <c r="A515" t="inlineStr">
        <is>
          <t>archon-search</t>
        </is>
      </c>
      <c r="B515" t="inlineStr">
        <is>
          <t>/Users/manczg/Documents/development/archon-search/archon_search/server/mcp.py</t>
        </is>
      </c>
      <c r="C515" t="inlineStr">
        <is>
          <t>smells-08</t>
        </is>
      </c>
      <c r="D515" t="n">
        <v>1681</v>
      </c>
      <c r="E515" t="inlineStr">
        <is>
          <t>FP</t>
        </is>
      </c>
      <c r="F515" t="inlineStr">
        <is>
          <t>namespace typed Optional with documented default</t>
        </is>
      </c>
    </row>
    <row r="516">
      <c r="A516" t="inlineStr">
        <is>
          <t>archon-search</t>
        </is>
      </c>
      <c r="B516" t="inlineStr">
        <is>
          <t>/Users/manczg/Documents/development/archon-search/archon_search/server/mcp.py</t>
        </is>
      </c>
      <c r="C516" t="inlineStr">
        <is>
          <t>smells-08</t>
        </is>
      </c>
      <c r="D516" t="n">
        <v>1755</v>
      </c>
      <c r="E516" t="inlineStr">
        <is>
          <t>FP</t>
        </is>
      </c>
      <c r="F516" t="inlineStr">
        <is>
          <t>grace_seconds typed Optional with documented default</t>
        </is>
      </c>
    </row>
    <row r="517">
      <c r="A517" t="inlineStr">
        <is>
          <t>archon-search</t>
        </is>
      </c>
      <c r="B517" t="inlineStr">
        <is>
          <t>/Users/manczg/Documents/development/archon-search/archon_search/server/mcp.py</t>
        </is>
      </c>
      <c r="C517" t="inlineStr">
        <is>
          <t>smells-08</t>
        </is>
      </c>
      <c r="D517" t="n">
        <v>1865</v>
      </c>
      <c r="E517" t="inlineStr">
        <is>
          <t>TP</t>
        </is>
      </c>
      <c r="F517" t="inlineStr">
        <is>
          <t>nullable tuple return-type annotation, not a parameter default remedy case</t>
        </is>
      </c>
    </row>
    <row r="518">
      <c r="A518" t="inlineStr">
        <is>
          <t>archon-search</t>
        </is>
      </c>
      <c r="B518" t="inlineStr">
        <is>
          <t>/Users/manczg/Documents/development/archon-search/archon_search/server/mcp.py</t>
        </is>
      </c>
      <c r="C518" t="inlineStr">
        <is>
          <t>smells-08</t>
        </is>
      </c>
      <c r="D518" t="n">
        <v>1873</v>
      </c>
      <c r="E518" t="inlineStr">
        <is>
          <t>TP</t>
        </is>
      </c>
      <c r="F518" t="inlineStr">
        <is>
          <t>bare return None, 1 creates hidden failure path</t>
        </is>
      </c>
    </row>
    <row r="519">
      <c r="A519" t="inlineStr">
        <is>
          <t>archon-search</t>
        </is>
      </c>
      <c r="B519" t="inlineStr">
        <is>
          <t>/Users/manczg/Documents/development/archon-search/archon_search/server/mcp.py</t>
        </is>
      </c>
      <c r="C519" t="inlineStr">
        <is>
          <t>smells-08</t>
        </is>
      </c>
      <c r="D519" t="n">
        <v>1904</v>
      </c>
      <c r="E519" t="inlineStr">
        <is>
          <t>FP</t>
        </is>
      </c>
      <c r="F519" t="inlineStr">
        <is>
          <t>salience_mode typed Optional Literal with documented default</t>
        </is>
      </c>
    </row>
    <row r="520">
      <c r="A520" t="inlineStr">
        <is>
          <t>archon-search</t>
        </is>
      </c>
      <c r="B520" t="inlineStr">
        <is>
          <t>/Users/manczg/Documents/development/archon-search/archon_search/server/mcp.py</t>
        </is>
      </c>
      <c r="C520" t="inlineStr">
        <is>
          <t>smells-08</t>
        </is>
      </c>
      <c r="D520" t="n">
        <v>1989</v>
      </c>
      <c r="E520" t="inlineStr">
        <is>
          <t>FP</t>
        </is>
      </c>
      <c r="F520" t="inlineStr">
        <is>
          <t>salience_mode typed Optional Literal with documented default</t>
        </is>
      </c>
    </row>
    <row r="521">
      <c r="A521" t="inlineStr">
        <is>
          <t>archon-search</t>
        </is>
      </c>
      <c r="B521" t="inlineStr">
        <is>
          <t>/Users/manczg/Documents/development/archon-search/archon_search/server/mcp.py</t>
        </is>
      </c>
      <c r="C521" t="inlineStr">
        <is>
          <t>smells-08</t>
        </is>
      </c>
      <c r="D521" t="n">
        <v>2115</v>
      </c>
      <c r="E521" t="inlineStr">
        <is>
          <t>FP</t>
        </is>
      </c>
      <c r="F521" t="inlineStr">
        <is>
          <t>file_path typed Optional with documented default</t>
        </is>
      </c>
    </row>
    <row r="522">
      <c r="A522" t="inlineStr">
        <is>
          <t>archon-search</t>
        </is>
      </c>
      <c r="B522" t="inlineStr">
        <is>
          <t>/Users/manczg/Documents/development/archon-search/archon_search/server/mcp.py</t>
        </is>
      </c>
      <c r="C522" t="inlineStr">
        <is>
          <t>smells-08</t>
        </is>
      </c>
      <c r="D522" t="n">
        <v>2116</v>
      </c>
      <c r="E522" t="inlineStr">
        <is>
          <t>FP</t>
        </is>
      </c>
      <c r="F522" t="inlineStr">
        <is>
          <t>depth typed Optional with documented default</t>
        </is>
      </c>
    </row>
    <row r="523">
      <c r="A523" t="inlineStr">
        <is>
          <t>archon-search</t>
        </is>
      </c>
      <c r="B523" t="inlineStr">
        <is>
          <t>/Users/manczg/Documents/development/archon-search/archon_search/server/mcp.py</t>
        </is>
      </c>
      <c r="C523" t="inlineStr">
        <is>
          <t>smells-08</t>
        </is>
      </c>
      <c r="D523" t="n">
        <v>2117</v>
      </c>
      <c r="E523" t="inlineStr">
        <is>
          <t>FP</t>
        </is>
      </c>
      <c r="F523" t="inlineStr">
        <is>
          <t>direction typed Optional with documented default</t>
        </is>
      </c>
    </row>
    <row r="524">
      <c r="A524" t="inlineStr">
        <is>
          <t>archon-search</t>
        </is>
      </c>
      <c r="B524" t="inlineStr">
        <is>
          <t>/Users/manczg/Documents/development/archon-search/archon_search/server/mcp.py</t>
        </is>
      </c>
      <c r="C524" t="inlineStr">
        <is>
          <t>smells-08</t>
        </is>
      </c>
      <c r="D524" t="n">
        <v>2118</v>
      </c>
      <c r="E524" t="inlineStr">
        <is>
          <t>FP</t>
        </is>
      </c>
      <c r="F524" t="inlineStr">
        <is>
          <t>extraction_method_filter typed Optional with documented default</t>
        </is>
      </c>
    </row>
    <row r="525">
      <c r="A525" t="inlineStr">
        <is>
          <t>archon-search</t>
        </is>
      </c>
      <c r="B525" t="inlineStr">
        <is>
          <t>/Users/manczg/Documents/development/archon-search/archon_search/server/mcp.py</t>
        </is>
      </c>
      <c r="C525" t="inlineStr">
        <is>
          <t>smells-08</t>
        </is>
      </c>
      <c r="D525" t="n">
        <v>2190</v>
      </c>
      <c r="E525" t="inlineStr">
        <is>
          <t>FP</t>
        </is>
      </c>
      <c r="F525" t="inlineStr">
        <is>
          <t>writer typed Optional with documented default</t>
        </is>
      </c>
    </row>
    <row r="526">
      <c r="A526" t="inlineStr">
        <is>
          <t>archon-search</t>
        </is>
      </c>
      <c r="B526" t="inlineStr">
        <is>
          <t>/Users/manczg/Documents/development/archon-search/archon_search/server/mcp.py</t>
        </is>
      </c>
      <c r="C526" t="inlineStr">
        <is>
          <t>smells-08</t>
        </is>
      </c>
      <c r="D526" t="n">
        <v>2191</v>
      </c>
      <c r="E526" t="inlineStr">
        <is>
          <t>FP</t>
        </is>
      </c>
      <c r="F526" t="inlineStr">
        <is>
          <t>config typed Optional with documented default</t>
        </is>
      </c>
    </row>
    <row r="527">
      <c r="A527" t="inlineStr">
        <is>
          <t>archon-search</t>
        </is>
      </c>
      <c r="B527" t="inlineStr">
        <is>
          <t>/Users/manczg/Documents/development/archon-search/archon_search/server/mcp.py</t>
        </is>
      </c>
      <c r="C527" t="inlineStr">
        <is>
          <t>smells-08</t>
        </is>
      </c>
      <c r="D527" t="n">
        <v>2193</v>
      </c>
      <c r="E527" t="inlineStr">
        <is>
          <t>FP</t>
        </is>
      </c>
      <c r="F527" t="inlineStr">
        <is>
          <t>embedder_cache typed Optional with documented default</t>
        </is>
      </c>
    </row>
    <row r="528">
      <c r="A528" t="inlineStr">
        <is>
          <t>archon-search</t>
        </is>
      </c>
      <c r="B528" t="inlineStr">
        <is>
          <t>/Users/manczg/Documents/development/archon-search/archon_search/server/mcp.py</t>
        </is>
      </c>
      <c r="C528" t="inlineStr">
        <is>
          <t>smells-08</t>
        </is>
      </c>
      <c r="D528" t="n">
        <v>2194</v>
      </c>
      <c r="E528" t="inlineStr">
        <is>
          <t>FP</t>
        </is>
      </c>
      <c r="F528" t="inlineStr">
        <is>
          <t>job_store typed Optional with documented default</t>
        </is>
      </c>
    </row>
    <row r="529">
      <c r="A529" t="inlineStr">
        <is>
          <t>archon-search</t>
        </is>
      </c>
      <c r="B529" t="inlineStr">
        <is>
          <t>/Users/manczg/Documents/development/archon-search/archon_search/server/mcp.py</t>
        </is>
      </c>
      <c r="C529" t="inlineStr">
        <is>
          <t>smells-08</t>
        </is>
      </c>
      <c r="D529" t="n">
        <v>2195</v>
      </c>
      <c r="E529" t="inlineStr">
        <is>
          <t>FP</t>
        </is>
      </c>
      <c r="F529" t="inlineStr">
        <is>
          <t>hyde_generator typed Optional with documented default</t>
        </is>
      </c>
    </row>
    <row r="530">
      <c r="A530" t="inlineStr">
        <is>
          <t>archon-search</t>
        </is>
      </c>
      <c r="B530" t="inlineStr">
        <is>
          <t>/Users/manczg/Documents/development/archon-search/archon_search/server/mcp.py</t>
        </is>
      </c>
      <c r="C530" t="inlineStr">
        <is>
          <t>smells-08</t>
        </is>
      </c>
      <c r="D530" t="n">
        <v>2196</v>
      </c>
      <c r="E530" t="inlineStr">
        <is>
          <t>FP</t>
        </is>
      </c>
      <c r="F530" t="inlineStr">
        <is>
          <t>rag_fusion_generator typed Optional with documented default</t>
        </is>
      </c>
    </row>
    <row r="531">
      <c r="A531" t="inlineStr">
        <is>
          <t>archon-search</t>
        </is>
      </c>
      <c r="B531" t="inlineStr">
        <is>
          <t>/Users/manczg/Documents/development/archon-search/archon_search/server/mcp.py</t>
        </is>
      </c>
      <c r="C531" t="inlineStr">
        <is>
          <t>smells-08</t>
        </is>
      </c>
      <c r="D531" t="n">
        <v>2197</v>
      </c>
      <c r="E531" t="inlineStr">
        <is>
          <t>FP</t>
        </is>
      </c>
      <c r="F531" t="inlineStr">
        <is>
          <t>key_store typed Optional with documented default</t>
        </is>
      </c>
    </row>
    <row r="532">
      <c r="A532" t="inlineStr">
        <is>
          <t>archon-search</t>
        </is>
      </c>
      <c r="B532" t="inlineStr">
        <is>
          <t>/Users/manczg/Documents/development/archon-search/archon_search/server/mcp.py</t>
        </is>
      </c>
      <c r="C532" t="inlineStr">
        <is>
          <t>smells-08</t>
        </is>
      </c>
      <c r="D532" t="n">
        <v>2198</v>
      </c>
      <c r="E532" t="inlineStr">
        <is>
          <t>FP</t>
        </is>
      </c>
      <c r="F532" t="inlineStr">
        <is>
          <t>doc_id_hasher typed Optional with documented default</t>
        </is>
      </c>
    </row>
    <row r="533">
      <c r="A533" t="inlineStr">
        <is>
          <t>archon-search</t>
        </is>
      </c>
      <c r="B533" t="inlineStr">
        <is>
          <t>/Users/manczg/Documents/development/archon-search/archon_search/server/mcp.py</t>
        </is>
      </c>
      <c r="C533" t="inlineStr">
        <is>
          <t>smells-08</t>
        </is>
      </c>
      <c r="D533" t="n">
        <v>2199</v>
      </c>
      <c r="E533" t="inlineStr">
        <is>
          <t>FP</t>
        </is>
      </c>
      <c r="F533" t="inlineStr">
        <is>
          <t>graph_store typed Optional with documented default</t>
        </is>
      </c>
    </row>
    <row r="534">
      <c r="A534" t="inlineStr">
        <is>
          <t>archon-search</t>
        </is>
      </c>
      <c r="B534" t="inlineStr">
        <is>
          <t>/Users/manczg/Documents/development/archon-search/archon_search/server/mcp.py</t>
        </is>
      </c>
      <c r="C534" t="inlineStr">
        <is>
          <t>smells-10</t>
        </is>
      </c>
      <c r="D534" t="n">
        <v>203</v>
      </c>
      <c r="E534" t="inlineStr">
        <is>
          <t>FP</t>
        </is>
      </c>
      <c r="F534" t="inlineStr">
        <is>
          <t>dotted path is prose inside a docstring, not code</t>
        </is>
      </c>
    </row>
    <row r="535">
      <c r="A535" t="inlineStr">
        <is>
          <t>archon-search</t>
        </is>
      </c>
      <c r="B535" t="inlineStr">
        <is>
          <t>/Users/manczg/Documents/development/archon-search/archon_search/server/mcp.py</t>
        </is>
      </c>
      <c r="C535" t="inlineStr">
        <is>
          <t>smells-12</t>
        </is>
      </c>
      <c r="D535" t="n">
        <v>446</v>
      </c>
      <c r="E535" t="inlineStr">
        <is>
          <t>FP</t>
        </is>
      </c>
      <c r="F535" t="inlineStr">
        <is>
          <t>catches Exception, logs full traceback via logger.exception, returns typed domain error</t>
        </is>
      </c>
    </row>
    <row r="536">
      <c r="A536" t="inlineStr">
        <is>
          <t>archon-search</t>
        </is>
      </c>
      <c r="B536" t="inlineStr">
        <is>
          <t>/Users/manczg/Documents/development/archon-search/archon_search/server/mcp.py</t>
        </is>
      </c>
      <c r="C536" t="inlineStr">
        <is>
          <t>smells-12</t>
        </is>
      </c>
      <c r="D536" t="n">
        <v>464</v>
      </c>
      <c r="E536" t="inlineStr">
        <is>
          <t>TP</t>
        </is>
      </c>
      <c r="F536" t="inlineStr">
        <is>
          <t>telemetry enqueue failure logged then silently continues, no caller visibility</t>
        </is>
      </c>
    </row>
    <row r="537">
      <c r="A537" t="inlineStr">
        <is>
          <t>archon-search</t>
        </is>
      </c>
      <c r="B537" t="inlineStr">
        <is>
          <t>/Users/manczg/Documents/development/archon-search/archon_search/server/mcp.py</t>
        </is>
      </c>
      <c r="C537" t="inlineStr">
        <is>
          <t>smells-12</t>
        </is>
      </c>
      <c r="D537" t="n">
        <v>551</v>
      </c>
      <c r="E537" t="inlineStr">
        <is>
          <t>TP</t>
        </is>
      </c>
      <c r="F537" t="inlineStr">
        <is>
          <t>telemetry enqueue failure logged then silently continues</t>
        </is>
      </c>
    </row>
    <row r="538">
      <c r="A538" t="inlineStr">
        <is>
          <t>archon-search</t>
        </is>
      </c>
      <c r="B538" t="inlineStr">
        <is>
          <t>/Users/manczg/Documents/development/archon-search/archon_search/server/mcp.py</t>
        </is>
      </c>
      <c r="C538" t="inlineStr">
        <is>
          <t>smells-12</t>
        </is>
      </c>
      <c r="D538" t="n">
        <v>586</v>
      </c>
      <c r="E538" t="inlineStr">
        <is>
          <t>FP</t>
        </is>
      </c>
      <c r="F538" t="inlineStr">
        <is>
          <t>catches Exception, logs full traceback, returns typed domain error</t>
        </is>
      </c>
    </row>
    <row r="539">
      <c r="A539" t="inlineStr">
        <is>
          <t>archon-search</t>
        </is>
      </c>
      <c r="B539" t="inlineStr">
        <is>
          <t>/Users/manczg/Documents/development/archon-search/archon_search/server/mcp.py</t>
        </is>
      </c>
      <c r="C539" t="inlineStr">
        <is>
          <t>smells-12</t>
        </is>
      </c>
      <c r="D539" t="n">
        <v>598</v>
      </c>
      <c r="E539" t="inlineStr">
        <is>
          <t>TP</t>
        </is>
      </c>
      <c r="F539" t="inlineStr">
        <is>
          <t>nested telemetry enqueue failure logged then silently continues</t>
        </is>
      </c>
    </row>
    <row r="540">
      <c r="A540" t="inlineStr">
        <is>
          <t>archon-search</t>
        </is>
      </c>
      <c r="B540" t="inlineStr">
        <is>
          <t>/Users/manczg/Documents/development/archon-search/archon_search/server/mcp.py</t>
        </is>
      </c>
      <c r="C540" t="inlineStr">
        <is>
          <t>smells-12</t>
        </is>
      </c>
      <c r="D540" t="n">
        <v>732</v>
      </c>
      <c r="E540" t="inlineStr">
        <is>
          <t>TP</t>
        </is>
      </c>
      <c r="F540" t="inlineStr">
        <is>
          <t>telemetry enqueue failure logged then silently continues</t>
        </is>
      </c>
    </row>
    <row r="541">
      <c r="A541" t="inlineStr">
        <is>
          <t>archon-search</t>
        </is>
      </c>
      <c r="B541" t="inlineStr">
        <is>
          <t>/Users/manczg/Documents/development/archon-search/archon_search/server/mcp.py</t>
        </is>
      </c>
      <c r="C541" t="inlineStr">
        <is>
          <t>smells-12</t>
        </is>
      </c>
      <c r="D541" t="n">
        <v>776</v>
      </c>
      <c r="E541" t="inlineStr">
        <is>
          <t>FP</t>
        </is>
      </c>
      <c r="F541" t="inlineStr">
        <is>
          <t>catches Exception, logs full traceback, returns typed domain error</t>
        </is>
      </c>
    </row>
    <row r="542">
      <c r="A542" t="inlineStr">
        <is>
          <t>archon-search</t>
        </is>
      </c>
      <c r="B542" t="inlineStr">
        <is>
          <t>/Users/manczg/Documents/development/archon-search/archon_search/server/mcp.py</t>
        </is>
      </c>
      <c r="C542" t="inlineStr">
        <is>
          <t>smells-12</t>
        </is>
      </c>
      <c r="D542" t="n">
        <v>788</v>
      </c>
      <c r="E542" t="inlineStr">
        <is>
          <t>TP</t>
        </is>
      </c>
      <c r="F542" t="inlineStr">
        <is>
          <t>nested telemetry enqueue failure logged then silently continues</t>
        </is>
      </c>
    </row>
    <row r="543">
      <c r="A543" t="inlineStr">
        <is>
          <t>archon-search</t>
        </is>
      </c>
      <c r="B543" t="inlineStr">
        <is>
          <t>/Users/manczg/Documents/development/archon-search/archon_search/server/mcp.py</t>
        </is>
      </c>
      <c r="C543" t="inlineStr">
        <is>
          <t>smells-12</t>
        </is>
      </c>
      <c r="D543" t="n">
        <v>948</v>
      </c>
      <c r="E543" t="inlineStr">
        <is>
          <t>FP</t>
        </is>
      </c>
      <c r="F543" t="inlineStr">
        <is>
          <t>catches Exception, logs full traceback, returns typed domain error</t>
        </is>
      </c>
    </row>
    <row r="544">
      <c r="A544" t="inlineStr">
        <is>
          <t>archon-search</t>
        </is>
      </c>
      <c r="B544" t="inlineStr">
        <is>
          <t>/Users/manczg/Documents/development/archon-search/archon_search/server/mcp.py</t>
        </is>
      </c>
      <c r="C544" t="inlineStr">
        <is>
          <t>smells-12</t>
        </is>
      </c>
      <c r="D544" t="n">
        <v>1086</v>
      </c>
      <c r="E544" t="inlineStr">
        <is>
          <t>TP</t>
        </is>
      </c>
      <c r="F544" t="inlineStr">
        <is>
          <t>telemetry enqueue failure logged then silently continues</t>
        </is>
      </c>
    </row>
    <row r="545">
      <c r="A545" t="inlineStr">
        <is>
          <t>archon-search</t>
        </is>
      </c>
      <c r="B545" t="inlineStr">
        <is>
          <t>/Users/manczg/Documents/development/archon-search/archon_search/server/mcp.py</t>
        </is>
      </c>
      <c r="C545" t="inlineStr">
        <is>
          <t>smells-12</t>
        </is>
      </c>
      <c r="D545" t="n">
        <v>1110</v>
      </c>
      <c r="E545" t="inlineStr">
        <is>
          <t>TP</t>
        </is>
      </c>
      <c r="F545" t="inlineStr">
        <is>
          <t>nested telemetry enqueue failure logged then silently continues</t>
        </is>
      </c>
    </row>
    <row r="546">
      <c r="A546" t="inlineStr">
        <is>
          <t>archon-search</t>
        </is>
      </c>
      <c r="B546" t="inlineStr">
        <is>
          <t>/Users/manczg/Documents/development/archon-search/archon_search/server/mcp.py</t>
        </is>
      </c>
      <c r="C546" t="inlineStr">
        <is>
          <t>smells-12</t>
        </is>
      </c>
      <c r="D546" t="n">
        <v>1119</v>
      </c>
      <c r="E546" t="inlineStr">
        <is>
          <t>FP</t>
        </is>
      </c>
      <c r="F546" t="inlineStr">
        <is>
          <t>catches Exception, logs full traceback, returns typed domain error</t>
        </is>
      </c>
    </row>
    <row r="547">
      <c r="A547" t="inlineStr">
        <is>
          <t>archon-search</t>
        </is>
      </c>
      <c r="B547" t="inlineStr">
        <is>
          <t>/Users/manczg/Documents/development/archon-search/archon_search/server/mcp.py</t>
        </is>
      </c>
      <c r="C547" t="inlineStr">
        <is>
          <t>smells-12</t>
        </is>
      </c>
      <c r="D547" t="n">
        <v>1131</v>
      </c>
      <c r="E547" t="inlineStr">
        <is>
          <t>TP</t>
        </is>
      </c>
      <c r="F547" t="inlineStr">
        <is>
          <t>nested telemetry enqueue failure logged then silently continues</t>
        </is>
      </c>
    </row>
    <row r="548">
      <c r="A548" t="inlineStr">
        <is>
          <t>archon-search</t>
        </is>
      </c>
      <c r="B548" t="inlineStr">
        <is>
          <t>/Users/manczg/Documents/development/archon-search/archon_search/server/mcp.py</t>
        </is>
      </c>
      <c r="C548" t="inlineStr">
        <is>
          <t>smells-12</t>
        </is>
      </c>
      <c r="D548" t="n">
        <v>1188</v>
      </c>
      <c r="E548" t="inlineStr">
        <is>
          <t>FP</t>
        </is>
      </c>
      <c r="F548" t="inlineStr">
        <is>
          <t>catches Exception, logs full traceback, returns typed domain error</t>
        </is>
      </c>
    </row>
    <row r="549">
      <c r="A549" t="inlineStr">
        <is>
          <t>archon-search</t>
        </is>
      </c>
      <c r="B549" t="inlineStr">
        <is>
          <t>/Users/manczg/Documents/development/archon-search/archon_search/server/mcp.py</t>
        </is>
      </c>
      <c r="C549" t="inlineStr">
        <is>
          <t>smells-12</t>
        </is>
      </c>
      <c r="D549" t="n">
        <v>1256</v>
      </c>
      <c r="E549" t="inlineStr">
        <is>
          <t>FP</t>
        </is>
      </c>
      <c r="F549" t="inlineStr">
        <is>
          <t>catches Exception, logs full traceback, returns typed domain error</t>
        </is>
      </c>
    </row>
    <row r="550">
      <c r="A550" t="inlineStr">
        <is>
          <t>archon-search</t>
        </is>
      </c>
      <c r="B550" t="inlineStr">
        <is>
          <t>/Users/manczg/Documents/development/archon-search/archon_search/server/mcp.py</t>
        </is>
      </c>
      <c r="C550" t="inlineStr">
        <is>
          <t>smells-12</t>
        </is>
      </c>
      <c r="D550" t="n">
        <v>1269</v>
      </c>
      <c r="E550" t="inlineStr">
        <is>
          <t>FP</t>
        </is>
      </c>
      <c r="F550" t="inlineStr">
        <is>
          <t>catches Exception, logs full traceback, returns typed domain error</t>
        </is>
      </c>
    </row>
    <row r="551">
      <c r="A551" t="inlineStr">
        <is>
          <t>archon-search</t>
        </is>
      </c>
      <c r="B551" t="inlineStr">
        <is>
          <t>/Users/manczg/Documents/development/archon-search/archon_search/server/mcp.py</t>
        </is>
      </c>
      <c r="C551" t="inlineStr">
        <is>
          <t>smells-12</t>
        </is>
      </c>
      <c r="D551" t="n">
        <v>1294</v>
      </c>
      <c r="E551" t="inlineStr">
        <is>
          <t>FP</t>
        </is>
      </c>
      <c r="F551" t="inlineStr">
        <is>
          <t>catches Exception, logs full traceback, returns typed domain error</t>
        </is>
      </c>
    </row>
    <row r="552">
      <c r="A552" t="inlineStr">
        <is>
          <t>archon-search</t>
        </is>
      </c>
      <c r="B552" t="inlineStr">
        <is>
          <t>/Users/manczg/Documents/development/archon-search/archon_search/server/mcp.py</t>
        </is>
      </c>
      <c r="C552" t="inlineStr">
        <is>
          <t>smells-12</t>
        </is>
      </c>
      <c r="D552" t="n">
        <v>1310</v>
      </c>
      <c r="E552" t="inlineStr">
        <is>
          <t>FP</t>
        </is>
      </c>
      <c r="F552" t="inlineStr">
        <is>
          <t>catches Exception, logs full traceback, returns typed domain error</t>
        </is>
      </c>
    </row>
    <row r="553">
      <c r="A553" t="inlineStr">
        <is>
          <t>archon-search</t>
        </is>
      </c>
      <c r="B553" t="inlineStr">
        <is>
          <t>/Users/manczg/Documents/development/archon-search/archon_search/server/mcp.py</t>
        </is>
      </c>
      <c r="C553" t="inlineStr">
        <is>
          <t>smells-12</t>
        </is>
      </c>
      <c r="D553" t="n">
        <v>1329</v>
      </c>
      <c r="E553" t="inlineStr">
        <is>
          <t>FP</t>
        </is>
      </c>
      <c r="F553" t="inlineStr">
        <is>
          <t>catches Exception, logs full traceback, returns typed domain error</t>
        </is>
      </c>
    </row>
    <row r="554">
      <c r="A554" t="inlineStr">
        <is>
          <t>archon-search</t>
        </is>
      </c>
      <c r="B554" t="inlineStr">
        <is>
          <t>/Users/manczg/Documents/development/archon-search/archon_search/server/mcp.py</t>
        </is>
      </c>
      <c r="C554" t="inlineStr">
        <is>
          <t>smells-12</t>
        </is>
      </c>
      <c r="D554" t="n">
        <v>1359</v>
      </c>
      <c r="E554" t="inlineStr">
        <is>
          <t>FP</t>
        </is>
      </c>
      <c r="F554" t="inlineStr">
        <is>
          <t>catches Exception, logs full traceback, returns typed domain error</t>
        </is>
      </c>
    </row>
    <row r="555">
      <c r="A555" t="inlineStr">
        <is>
          <t>archon-search</t>
        </is>
      </c>
      <c r="B555" t="inlineStr">
        <is>
          <t>/Users/manczg/Documents/development/archon-search/archon_search/server/mcp.py</t>
        </is>
      </c>
      <c r="C555" t="inlineStr">
        <is>
          <t>smells-12</t>
        </is>
      </c>
      <c r="D555" t="n">
        <v>1458</v>
      </c>
      <c r="E555" t="inlineStr">
        <is>
          <t>FP</t>
        </is>
      </c>
      <c r="F555" t="inlineStr">
        <is>
          <t>catches Exception, logs full traceback, returns typed domain error</t>
        </is>
      </c>
    </row>
    <row r="556">
      <c r="A556" t="inlineStr">
        <is>
          <t>archon-search</t>
        </is>
      </c>
      <c r="B556" t="inlineStr">
        <is>
          <t>/Users/manczg/Documents/development/archon-search/archon_search/server/mcp.py</t>
        </is>
      </c>
      <c r="C556" t="inlineStr">
        <is>
          <t>smells-12</t>
        </is>
      </c>
      <c r="D556" t="n">
        <v>1555</v>
      </c>
      <c r="E556" t="inlineStr">
        <is>
          <t>TP</t>
        </is>
      </c>
      <c r="F556" t="inlineStr">
        <is>
          <t>catches Exception with no logging at all, returns generic message, real signal discarded</t>
        </is>
      </c>
    </row>
    <row r="557">
      <c r="A557" t="inlineStr">
        <is>
          <t>archon-search</t>
        </is>
      </c>
      <c r="B557" t="inlineStr">
        <is>
          <t>/Users/manczg/Documents/development/archon-search/archon_search/server/mcp.py</t>
        </is>
      </c>
      <c r="C557" t="inlineStr">
        <is>
          <t>smells-12</t>
        </is>
      </c>
      <c r="D557" t="n">
        <v>1666</v>
      </c>
      <c r="E557" t="inlineStr">
        <is>
          <t>TP</t>
        </is>
      </c>
      <c r="F557" t="inlineStr">
        <is>
          <t>catches Exception with no logging at all, returns generic message</t>
        </is>
      </c>
    </row>
    <row r="558">
      <c r="A558" t="inlineStr">
        <is>
          <t>archon-search</t>
        </is>
      </c>
      <c r="B558" t="inlineStr">
        <is>
          <t>/Users/manczg/Documents/development/archon-search/archon_search/server/mcp.py</t>
        </is>
      </c>
      <c r="C558" t="inlineStr">
        <is>
          <t>smells-12</t>
        </is>
      </c>
      <c r="D558" t="n">
        <v>1982</v>
      </c>
      <c r="E558" t="inlineStr">
        <is>
          <t>FP</t>
        </is>
      </c>
      <c r="F558" t="inlineStr">
        <is>
          <t>catches Exception, logs full traceback, returns typed domain error</t>
        </is>
      </c>
    </row>
    <row r="559">
      <c r="A559" t="inlineStr">
        <is>
          <t>archon-search</t>
        </is>
      </c>
      <c r="B559" t="inlineStr">
        <is>
          <t>/Users/manczg/Documents/development/archon-search/archon_search/server/mcp.py</t>
        </is>
      </c>
      <c r="C559" t="inlineStr">
        <is>
          <t>smells-12</t>
        </is>
      </c>
      <c r="D559" t="n">
        <v>2088</v>
      </c>
      <c r="E559" t="inlineStr">
        <is>
          <t>FP</t>
        </is>
      </c>
      <c r="F559" t="inlineStr">
        <is>
          <t>catches Exception, logs full traceback, returns typed domain error</t>
        </is>
      </c>
    </row>
    <row r="560">
      <c r="A560" t="inlineStr">
        <is>
          <t>archon-search</t>
        </is>
      </c>
      <c r="B560" t="inlineStr">
        <is>
          <t>/Users/manczg/Documents/development/archon-search/archon_search/server/mcp.py</t>
        </is>
      </c>
      <c r="C560" t="inlineStr">
        <is>
          <t>smells-12</t>
        </is>
      </c>
      <c r="D560" t="n">
        <v>2176</v>
      </c>
      <c r="E560" t="inlineStr">
        <is>
          <t>FP</t>
        </is>
      </c>
      <c r="F560" t="inlineStr">
        <is>
          <t>catches Exception, logs full traceback, returns typed domain error</t>
        </is>
      </c>
    </row>
    <row r="561">
      <c r="A561" t="inlineStr">
        <is>
          <t>archon-search</t>
        </is>
      </c>
      <c r="B561" t="inlineStr">
        <is>
          <t>/Users/manczg/Documents/development/archon-search/archon_search/server/mcp.py</t>
        </is>
      </c>
      <c r="C561" t="inlineStr">
        <is>
          <t>smells-21</t>
        </is>
      </c>
      <c r="D561" t="n">
        <v>219</v>
      </c>
      <c r="E561" t="inlineStr">
        <is>
          <t>TP</t>
        </is>
      </c>
      <c r="F561" t="inlineStr">
        <is>
          <t>pipeline typed Any though concrete SearchPipeline type is known</t>
        </is>
      </c>
    </row>
    <row r="562">
      <c r="A562" t="inlineStr">
        <is>
          <t>archon-search</t>
        </is>
      </c>
      <c r="B562" t="inlineStr">
        <is>
          <t>/Users/manczg/Documents/development/archon-search/archon_search/server/mcp.py</t>
        </is>
      </c>
      <c r="C562" t="inlineStr">
        <is>
          <t>smells-21</t>
        </is>
      </c>
      <c r="D562" t="n">
        <v>220</v>
      </c>
      <c r="E562" t="inlineStr">
        <is>
          <t>TP</t>
        </is>
      </c>
      <c r="F562" t="inlineStr">
        <is>
          <t>embedder_cache typed Any though concrete EmbedderCache type is known</t>
        </is>
      </c>
    </row>
    <row r="563">
      <c r="A563" t="inlineStr">
        <is>
          <t>archon-search</t>
        </is>
      </c>
      <c r="B563" t="inlineStr">
        <is>
          <t>/Users/manczg/Documents/development/archon-search/archon_search/server/mcp.py</t>
        </is>
      </c>
      <c r="C563" t="inlineStr">
        <is>
          <t>smells-21</t>
        </is>
      </c>
      <c r="D563" t="n">
        <v>222</v>
      </c>
      <c r="E563" t="inlineStr">
        <is>
          <t>TP</t>
        </is>
      </c>
      <c r="F563" t="inlineStr">
        <is>
          <t>return type Any though concrete Embedder type is known</t>
        </is>
      </c>
    </row>
    <row r="564">
      <c r="A564" t="inlineStr">
        <is>
          <t>archon-search</t>
        </is>
      </c>
      <c r="B564" t="inlineStr">
        <is>
          <t>/Users/manczg/Documents/development/archon-search/archon_search/server/mcp.py</t>
        </is>
      </c>
      <c r="C564" t="inlineStr">
        <is>
          <t>smells-21</t>
        </is>
      </c>
      <c r="D564" t="n">
        <v>230</v>
      </c>
      <c r="E564" t="inlineStr">
        <is>
          <t>TP</t>
        </is>
      </c>
      <c r="F564" t="inlineStr">
        <is>
          <t>pipeline typed Any though concrete SearchPipeline type is known</t>
        </is>
      </c>
    </row>
    <row r="565">
      <c r="A565" t="inlineStr">
        <is>
          <t>archon-search</t>
        </is>
      </c>
      <c r="B565" t="inlineStr">
        <is>
          <t>/Users/manczg/Documents/development/archon-search/archon_search/server/mcp.py</t>
        </is>
      </c>
      <c r="C565" t="inlineStr">
        <is>
          <t>smells-21</t>
        </is>
      </c>
      <c r="D565" t="n">
        <v>231</v>
      </c>
      <c r="E565" t="inlineStr">
        <is>
          <t>TP</t>
        </is>
      </c>
      <c r="F565" t="inlineStr">
        <is>
          <t>embedder_cache typed Any though concrete EmbedderCache type is known</t>
        </is>
      </c>
    </row>
    <row r="566">
      <c r="A566" t="inlineStr">
        <is>
          <t>archon-search</t>
        </is>
      </c>
      <c r="B566" t="inlineStr">
        <is>
          <t>/Users/manczg/Documents/development/archon-search/archon_search/server/mcp.py</t>
        </is>
      </c>
      <c r="C566" t="inlineStr">
        <is>
          <t>smells-21</t>
        </is>
      </c>
      <c r="D566" t="n">
        <v>233</v>
      </c>
      <c r="E566" t="inlineStr">
        <is>
          <t>TP</t>
        </is>
      </c>
      <c r="F566" t="inlineStr">
        <is>
          <t>config typed Any though concrete SearchConfig type is known</t>
        </is>
      </c>
    </row>
    <row r="567">
      <c r="A567" t="inlineStr">
        <is>
          <t>archon-search</t>
        </is>
      </c>
      <c r="B567" t="inlineStr">
        <is>
          <t>/Users/manczg/Documents/development/archon-search/archon_search/server/mcp.py</t>
        </is>
      </c>
      <c r="C567" t="inlineStr">
        <is>
          <t>smells-21</t>
        </is>
      </c>
      <c r="D567" t="n">
        <v>235</v>
      </c>
      <c r="E567" t="inlineStr">
        <is>
          <t>TP</t>
        </is>
      </c>
      <c r="F567" t="inlineStr">
        <is>
          <t>meta typed Any though concrete CollectionMeta type is known</t>
        </is>
      </c>
    </row>
    <row r="568">
      <c r="A568" t="inlineStr">
        <is>
          <t>archon-search</t>
        </is>
      </c>
      <c r="B568" t="inlineStr">
        <is>
          <t>/Users/manczg/Documents/development/archon-search/archon_search/server/mcp.py</t>
        </is>
      </c>
      <c r="C568" t="inlineStr">
        <is>
          <t>smells-21</t>
        </is>
      </c>
      <c r="D568" t="n">
        <v>236</v>
      </c>
      <c r="E568" t="inlineStr">
        <is>
          <t>TP</t>
        </is>
      </c>
      <c r="F568" t="inlineStr">
        <is>
          <t>return type Any though concrete Embedder type is known</t>
        </is>
      </c>
    </row>
    <row r="569">
      <c r="A569" t="inlineStr">
        <is>
          <t>archon-search</t>
        </is>
      </c>
      <c r="B569" t="inlineStr">
        <is>
          <t>/Users/manczg/Documents/development/archon-search/archon_search/server/mcp.py</t>
        </is>
      </c>
      <c r="C569" t="inlineStr">
        <is>
          <t>smells-21</t>
        </is>
      </c>
      <c r="D569" t="n">
        <v>1881</v>
      </c>
      <c r="E569" t="inlineStr">
        <is>
          <t>TP</t>
        </is>
      </c>
      <c r="F569" t="inlineStr">
        <is>
          <t>view typed Any though it is a specific internal graph-view object</t>
        </is>
      </c>
    </row>
    <row r="570">
      <c r="A570" t="inlineStr">
        <is>
          <t>archon-search</t>
        </is>
      </c>
      <c r="B570" t="inlineStr">
        <is>
          <t>/Users/manczg/Documents/development/archon-search/archon_search/server/mcp.py</t>
        </is>
      </c>
      <c r="C570" t="inlineStr">
        <is>
          <t>smells-21</t>
        </is>
      </c>
      <c r="D570" t="n">
        <v>2092</v>
      </c>
      <c r="E570" t="inlineStr">
        <is>
          <t>TP</t>
        </is>
      </c>
      <c r="F570" t="inlineStr">
        <is>
          <t>e typed Any though it is a specific internal impact-edge object</t>
        </is>
      </c>
    </row>
    <row r="571">
      <c r="A571" t="inlineStr">
        <is>
          <t>archon-search</t>
        </is>
      </c>
      <c r="B571" t="inlineStr">
        <is>
          <t>/Users/manczg/Documents/development/archon-search/archon_search/server/mcp.py</t>
        </is>
      </c>
      <c r="C571" t="inlineStr">
        <is>
          <t>smells-21</t>
        </is>
      </c>
      <c r="D571" t="n">
        <v>2102</v>
      </c>
      <c r="E571" t="inlineStr">
        <is>
          <t>TP</t>
        </is>
      </c>
      <c r="F571" t="inlineStr">
        <is>
          <t>group typed Any though it is a specific internal impact-group object</t>
        </is>
      </c>
    </row>
    <row r="572">
      <c r="A572" t="inlineStr">
        <is>
          <t>archon-search</t>
        </is>
      </c>
      <c r="B572" t="inlineStr">
        <is>
          <t>/Users/manczg/Documents/development/archon-search/archon_search/server/mcp.py</t>
        </is>
      </c>
      <c r="C572" t="inlineStr">
        <is>
          <t>solid-07</t>
        </is>
      </c>
      <c r="D572" t="n">
        <v>305</v>
      </c>
      <c r="E572" t="inlineStr">
        <is>
          <t>TP</t>
        </is>
      </c>
      <c r="F572" t="inlineStr">
        <is>
          <t>graph_mode is an enum-like *Mode field validated against a fixed tuple; sibling salience_mode uses Literal in same file</t>
        </is>
      </c>
    </row>
    <row r="573">
      <c r="A573" t="inlineStr">
        <is>
          <t>archon-search</t>
        </is>
      </c>
      <c r="B573" t="inlineStr">
        <is>
          <t>/Users/manczg/Documents/development/archon-search/archon_search/server/mcp.py</t>
        </is>
      </c>
      <c r="C573" t="inlineStr">
        <is>
          <t>solid-07</t>
        </is>
      </c>
      <c r="D573" t="n">
        <v>617</v>
      </c>
      <c r="E573" t="inlineStr">
        <is>
          <t>TP</t>
        </is>
      </c>
      <c r="F573" t="inlineStr">
        <is>
          <t>graph_mode is an enum-like *Mode field, raw str instead of Literal</t>
        </is>
      </c>
    </row>
    <row r="574">
      <c r="A574" t="inlineStr">
        <is>
          <t>archon-search</t>
        </is>
      </c>
      <c r="B574" t="inlineStr">
        <is>
          <t>/Users/manczg/Documents/development/archon-search/archon_search/server/mcp.py</t>
        </is>
      </c>
      <c r="C574" t="inlineStr">
        <is>
          <t>solid-07</t>
        </is>
      </c>
      <c r="D574" t="n">
        <v>802</v>
      </c>
      <c r="E574" t="inlineStr">
        <is>
          <t>TP</t>
        </is>
      </c>
      <c r="F574" t="inlineStr">
        <is>
          <t>graph_mode is an enum-like *Mode field, raw str instead of Literal</t>
        </is>
      </c>
    </row>
    <row r="575">
      <c r="A575" t="inlineStr">
        <is>
          <t>archon-search</t>
        </is>
      </c>
      <c r="B575" t="inlineStr">
        <is>
          <t>/Users/manczg/Documents/development/archon-search/archon_search/server/mcp.py</t>
        </is>
      </c>
      <c r="C575" t="inlineStr">
        <is>
          <t>solid-07</t>
        </is>
      </c>
      <c r="D575" t="n">
        <v>1335</v>
      </c>
      <c r="E575" t="inlineStr">
        <is>
          <t>FP</t>
        </is>
      </c>
      <c r="F575" t="inlineStr">
        <is>
          <t>doc_id is a free-form identifier at an MCP tool wire-contract boundary</t>
        </is>
      </c>
    </row>
    <row r="576">
      <c r="A576" t="inlineStr">
        <is>
          <t>archon-search</t>
        </is>
      </c>
      <c r="B576" t="inlineStr">
        <is>
          <t>/Users/manczg/Documents/development/archon-search/archon_search/server/mcp.py</t>
        </is>
      </c>
      <c r="C576" t="inlineStr">
        <is>
          <t>solid-07</t>
        </is>
      </c>
      <c r="D576" t="n">
        <v>1728</v>
      </c>
      <c r="E576" t="inlineStr">
        <is>
          <t>FP</t>
        </is>
      </c>
      <c r="F576" t="inlineStr">
        <is>
          <t>key_id is a free-form identifier at an MCP tool wire-contract boundary</t>
        </is>
      </c>
    </row>
    <row r="577">
      <c r="A577" t="inlineStr">
        <is>
          <t>archon-search</t>
        </is>
      </c>
      <c r="B577" t="inlineStr">
        <is>
          <t>/Users/manczg/Documents/development/archon-search/archon_search/server/mcp.py</t>
        </is>
      </c>
      <c r="C577" t="inlineStr">
        <is>
          <t>solid-07</t>
        </is>
      </c>
      <c r="D577" t="n">
        <v>1832</v>
      </c>
      <c r="E577" t="inlineStr">
        <is>
          <t>FP</t>
        </is>
      </c>
      <c r="F577" t="inlineStr">
        <is>
          <t>new_key_id is a derived id flowing into a JSON-serialised response dict</t>
        </is>
      </c>
    </row>
    <row r="578">
      <c r="A578" t="inlineStr">
        <is>
          <t>archon-search</t>
        </is>
      </c>
      <c r="B578" t="inlineStr">
        <is>
          <t>/Users/manczg/Documents/development/archon-search/archon_search/server/mcp.py</t>
        </is>
      </c>
      <c r="C578" t="inlineStr">
        <is>
          <t>solid-07</t>
        </is>
      </c>
      <c r="D578" t="n">
        <v>1863</v>
      </c>
      <c r="E578" t="inlineStr">
        <is>
          <t>TP</t>
        </is>
      </c>
      <c r="F578" t="inlineStr">
        <is>
          <t>internal helper narrows a validated Literal salience_mode to plain str, losing type safety</t>
        </is>
      </c>
    </row>
    <row r="579">
      <c r="A579" t="inlineStr">
        <is>
          <t>archon-search</t>
        </is>
      </c>
      <c r="B579" t="inlineStr">
        <is>
          <t>/Users/manczg/Documents/development/archon-search/archon_search/server/mcp.py</t>
        </is>
      </c>
      <c r="C579" t="inlineStr">
        <is>
          <t>solid-09</t>
        </is>
      </c>
      <c r="D579" t="n">
        <v>88</v>
      </c>
      <c r="E579" t="inlineStr">
        <is>
          <t>TP</t>
        </is>
      </c>
      <c r="F579" t="inlineStr">
        <is>
          <t>module-level asyncio.Lock is global mutable synchronization state shared across create_app instances</t>
        </is>
      </c>
    </row>
    <row r="580">
      <c r="A580" t="inlineStr">
        <is>
          <t>archon-search</t>
        </is>
      </c>
      <c r="B580" t="inlineStr">
        <is>
          <t>/Users/manczg/Documents/development/archon-search/archon_search/server/mcp.py</t>
        </is>
      </c>
      <c r="C580" t="inlineStr">
        <is>
          <t>solid-10</t>
        </is>
      </c>
      <c r="D580" t="n">
        <v>354</v>
      </c>
      <c r="E580" t="inlineStr">
        <is>
          <t>FP</t>
        </is>
      </c>
      <c r="F580" t="inlineStr">
        <is>
          <t>RAGFusionConfig is a value/config object instantiated as a fallback default, not an infra dependency</t>
        </is>
      </c>
    </row>
    <row r="581">
      <c r="A581" t="inlineStr">
        <is>
          <t>archon-search</t>
        </is>
      </c>
      <c r="B581" t="inlineStr">
        <is>
          <t>/Users/manczg/Documents/development/archon-search/archon_search/server/mcp.py</t>
        </is>
      </c>
      <c r="C581" t="inlineStr">
        <is>
          <t>solid-10</t>
        </is>
      </c>
      <c r="D581" t="n">
        <v>362</v>
      </c>
      <c r="E581" t="inlineStr">
        <is>
          <t>FP</t>
        </is>
      </c>
      <c r="F581" t="inlineStr">
        <is>
          <t>HyDEConfig is a value/config object instantiated as a fallback default</t>
        </is>
      </c>
    </row>
    <row r="582">
      <c r="A582" t="inlineStr">
        <is>
          <t>archon-search</t>
        </is>
      </c>
      <c r="B582" t="inlineStr">
        <is>
          <t>/Users/manczg/Documents/development/archon-search/archon_search/server/mcp.py</t>
        </is>
      </c>
      <c r="C582" t="inlineStr">
        <is>
          <t>solid-10</t>
        </is>
      </c>
      <c r="D582" t="n">
        <v>656</v>
      </c>
      <c r="E582" t="inlineStr">
        <is>
          <t>FP</t>
        </is>
      </c>
      <c r="F582" t="inlineStr">
        <is>
          <t>RAGFusionConfig is a value/config object instantiated as a fallback default</t>
        </is>
      </c>
    </row>
    <row r="583">
      <c r="A583" t="inlineStr">
        <is>
          <t>archon-search</t>
        </is>
      </c>
      <c r="B583" t="inlineStr">
        <is>
          <t>/Users/manczg/Documents/development/archon-search/archon_search/server/mcp.py</t>
        </is>
      </c>
      <c r="C583" t="inlineStr">
        <is>
          <t>solid-10</t>
        </is>
      </c>
      <c r="D583" t="n">
        <v>664</v>
      </c>
      <c r="E583" t="inlineStr">
        <is>
          <t>FP</t>
        </is>
      </c>
      <c r="F583" t="inlineStr">
        <is>
          <t>HyDEConfig is a value/config object instantiated as a fallback default</t>
        </is>
      </c>
    </row>
    <row r="584">
      <c r="A584" t="inlineStr">
        <is>
          <t>archon-search</t>
        </is>
      </c>
      <c r="B584" t="inlineStr">
        <is>
          <t>/Users/manczg/Documents/development/archon-search/archon_search/server/mcp.py</t>
        </is>
      </c>
      <c r="C584" t="inlineStr">
        <is>
          <t>solid-10</t>
        </is>
      </c>
      <c r="D584" t="n">
        <v>870</v>
      </c>
      <c r="E584" t="inlineStr">
        <is>
          <t>FP</t>
        </is>
      </c>
      <c r="F584" t="inlineStr">
        <is>
          <t>RAGFusionConfig is a value/config object instantiated as a fallback default</t>
        </is>
      </c>
    </row>
    <row r="585">
      <c r="A585" t="inlineStr">
        <is>
          <t>archon-search</t>
        </is>
      </c>
      <c r="B585" t="inlineStr">
        <is>
          <t>/Users/manczg/Documents/development/archon-search/archon_search/server/mcp.py</t>
        </is>
      </c>
      <c r="C585" t="inlineStr">
        <is>
          <t>solid-10</t>
        </is>
      </c>
      <c r="D585" t="n">
        <v>877</v>
      </c>
      <c r="E585" t="inlineStr">
        <is>
          <t>FP</t>
        </is>
      </c>
      <c r="F585" t="inlineStr">
        <is>
          <t>HyDEConfig is a value/config object instantiated as a fallback default</t>
        </is>
      </c>
    </row>
    <row r="586">
      <c r="A586" t="inlineStr">
        <is>
          <t>archon-search</t>
        </is>
      </c>
      <c r="B586" t="inlineStr">
        <is>
          <t>/Users/manczg/Documents/development/archon-search/archon_search/server/mcp.py</t>
        </is>
      </c>
      <c r="C586" t="inlineStr">
        <is>
          <t>solid-10</t>
        </is>
      </c>
      <c r="D586" t="n">
        <v>1003</v>
      </c>
      <c r="E586" t="inlineStr">
        <is>
          <t>TP</t>
        </is>
      </c>
      <c r="F586" t="inlineStr">
        <is>
          <t>MultiCollectionRouter is a network-capable collaborator constructed inline in explain's method body instead of injected</t>
        </is>
      </c>
    </row>
    <row r="587">
      <c r="A587" t="inlineStr">
        <is>
          <t>archon-search</t>
        </is>
      </c>
      <c r="B587" t="inlineStr">
        <is>
          <t>/Users/manczg/Documents/development/archon-search/archon_search/server/mcp.py</t>
        </is>
      </c>
      <c r="C587" t="inlineStr">
        <is>
          <t>solid-10</t>
        </is>
      </c>
      <c r="D587" t="n">
        <v>1561</v>
      </c>
      <c r="E587" t="inlineStr">
        <is>
          <t>TP</t>
        </is>
      </c>
      <c r="F587" t="inlineStr">
        <is>
          <t>ImportArchiveReader is a concrete I/O collaborator constructed inline instead of injected/factory-provided</t>
        </is>
      </c>
    </row>
    <row r="588">
      <c r="A588" t="inlineStr">
        <is>
          <t>archon-search</t>
        </is>
      </c>
      <c r="B588" t="inlineStr">
        <is>
          <t>/Users/manczg/Documents/development/archon-search/archon_search/server/mcp.py</t>
        </is>
      </c>
      <c r="C588" t="inlineStr">
        <is>
          <t>solid-15</t>
        </is>
      </c>
      <c r="D588" t="n">
        <v>1705</v>
      </c>
      <c r="E588" t="inlineStr">
        <is>
          <t>FP</t>
        </is>
      </c>
      <c r="F588" t="inlineStr">
        <is>
          <t>simple 3-way filter selection on a status query parameter within one function, not a domain type-dispatch needing polymorphism</t>
        </is>
      </c>
    </row>
    <row r="589">
      <c r="A589" t="inlineStr">
        <is>
          <t>archon-search</t>
        </is>
      </c>
      <c r="B589" t="inlineStr">
        <is>
          <t>/Users/manczg/Documents/development/archon-search/archon_search/eval/runner.py</t>
        </is>
      </c>
      <c r="C589" t="inlineStr">
        <is>
          <t>arch-09</t>
        </is>
      </c>
      <c r="D589" t="n">
        <v>623</v>
      </c>
      <c r="E589" t="inlineStr">
        <is>
          <t>FP</t>
        </is>
      </c>
      <c r="F589" t="inlineStr">
        <is>
          <t>eval/runner.py is an eval-harness composition function, not a domain/use-case/app-service class</t>
        </is>
      </c>
    </row>
    <row r="590">
      <c r="A590" t="inlineStr">
        <is>
          <t>archon-search</t>
        </is>
      </c>
      <c r="B590" t="inlineStr">
        <is>
          <t>/Users/manczg/Documents/development/archon-search/archon_search/eval/runner.py</t>
        </is>
      </c>
      <c r="C590" t="inlineStr">
        <is>
          <t>clarity-09</t>
        </is>
      </c>
      <c r="D590" t="n">
        <v>567</v>
      </c>
      <c r="E590" t="inlineStr">
        <is>
          <t>TP</t>
        </is>
      </c>
      <c r="F590" t="inlineStr">
        <is>
          <t>3-term filter condition in comprehension never extracted to a named predicate</t>
        </is>
      </c>
    </row>
    <row r="591">
      <c r="A591" t="inlineStr">
        <is>
          <t>archon-search</t>
        </is>
      </c>
      <c r="B591" t="inlineStr">
        <is>
          <t>/Users/manczg/Documents/development/archon-search/archon_search/eval/runner.py</t>
        </is>
      </c>
      <c r="C591" t="inlineStr">
        <is>
          <t>clarity-16</t>
        </is>
      </c>
      <c r="D591" t="n">
        <v>144</v>
      </c>
      <c r="E591" t="inlineStr">
        <is>
          <t>TP</t>
        </is>
      </c>
      <c r="F591" t="inlineStr">
        <is>
          <t>load_thresholds has ~12 branch lines (try/except/for/if/ternaries)</t>
        </is>
      </c>
    </row>
    <row r="592">
      <c r="A592" t="inlineStr">
        <is>
          <t>archon-search</t>
        </is>
      </c>
      <c r="B592" t="inlineStr">
        <is>
          <t>/Users/manczg/Documents/development/archon-search/archon_search/eval/runner.py</t>
        </is>
      </c>
      <c r="C592" t="inlineStr">
        <is>
          <t>clarity-16</t>
        </is>
      </c>
      <c r="D592" t="n">
        <v>399</v>
      </c>
      <c r="E592" t="inlineStr">
        <is>
          <t>TP</t>
        </is>
      </c>
      <c r="F592" t="inlineStr">
        <is>
          <t>load_baseline has ~20 branch lines (try/except/for/if/elif/else)</t>
        </is>
      </c>
    </row>
    <row r="593">
      <c r="A593" t="inlineStr">
        <is>
          <t>archon-search</t>
        </is>
      </c>
      <c r="B593" t="inlineStr">
        <is>
          <t>/Users/manczg/Documents/development/archon-search/archon_search/eval/runner.py</t>
        </is>
      </c>
      <c r="C593" t="inlineStr">
        <is>
          <t>clarity-16</t>
        </is>
      </c>
      <c r="D593" t="n">
        <v>1016</v>
      </c>
      <c r="E593" t="inlineStr">
        <is>
          <t>TP</t>
        </is>
      </c>
      <c r="F593" t="inlineStr">
        <is>
          <t>run_eval_suite has far more than 10 branches across ~478 lines</t>
        </is>
      </c>
    </row>
    <row r="594">
      <c r="A594" t="inlineStr">
        <is>
          <t>archon-search</t>
        </is>
      </c>
      <c r="B594" t="inlineStr">
        <is>
          <t>/Users/manczg/Documents/development/archon-search/archon_search/eval/runner.py</t>
        </is>
      </c>
      <c r="C594" t="inlineStr">
        <is>
          <t>clarity-16</t>
        </is>
      </c>
      <c r="D594" t="n">
        <v>1532</v>
      </c>
      <c r="E594" t="inlineStr">
        <is>
          <t>TP</t>
        </is>
      </c>
      <c r="F594" t="inlineStr">
        <is>
          <t>assert_thresholds has well over 10 if/for branches</t>
        </is>
      </c>
    </row>
    <row r="595">
      <c r="A595" t="inlineStr">
        <is>
          <t>archon-search</t>
        </is>
      </c>
      <c r="B595" t="inlineStr">
        <is>
          <t>/Users/manczg/Documents/development/archon-search/archon_search/eval/runner.py</t>
        </is>
      </c>
      <c r="C595" t="inlineStr">
        <is>
          <t>clarity-16</t>
        </is>
      </c>
      <c r="D595" t="n">
        <v>1726</v>
      </c>
      <c r="E595" t="inlineStr">
        <is>
          <t>TP</t>
        </is>
      </c>
      <c r="F595" t="inlineStr">
        <is>
          <t>render_report has ~26 if/elif/for branch lines</t>
        </is>
      </c>
    </row>
    <row r="596">
      <c r="A596" t="inlineStr">
        <is>
          <t>archon-search</t>
        </is>
      </c>
      <c r="B596" t="inlineStr">
        <is>
          <t>/Users/manczg/Documents/development/archon-search/archon_search/eval/runner.py</t>
        </is>
      </c>
      <c r="C596" t="inlineStr">
        <is>
          <t>clarity-17</t>
        </is>
      </c>
      <c r="D596" t="n">
        <v>1016</v>
      </c>
      <c r="E596" t="inlineStr">
        <is>
          <t>TP</t>
        </is>
      </c>
      <c r="F596" t="inlineStr">
        <is>
          <t>run_eval_suite spans 1016-1494, ~478 lines, far over 150</t>
        </is>
      </c>
    </row>
    <row r="597">
      <c r="A597" t="inlineStr">
        <is>
          <t>archon-search</t>
        </is>
      </c>
      <c r="B597" t="inlineStr">
        <is>
          <t>/Users/manczg/Documents/development/archon-search/archon_search/eval/runner.py</t>
        </is>
      </c>
      <c r="C597" t="inlineStr">
        <is>
          <t>clarity-17</t>
        </is>
      </c>
      <c r="D597" t="n">
        <v>1532</v>
      </c>
      <c r="E597" t="inlineStr">
        <is>
          <t>TP</t>
        </is>
      </c>
      <c r="F597" t="inlineStr">
        <is>
          <t>assert_thresholds spans 1532-1697, ~166 lines, over 150</t>
        </is>
      </c>
    </row>
    <row r="598">
      <c r="A598" t="inlineStr">
        <is>
          <t>archon-search</t>
        </is>
      </c>
      <c r="B598" t="inlineStr">
        <is>
          <t>/Users/manczg/Documents/development/archon-search/archon_search/eval/runner.py</t>
        </is>
      </c>
      <c r="C598" t="inlineStr">
        <is>
          <t>ddd-01</t>
        </is>
      </c>
      <c r="D598" t="n">
        <v>46</v>
      </c>
      <c r="E598" t="inlineStr">
        <is>
          <t>TP</t>
        </is>
      </c>
      <c r="F598" t="inlineStr">
        <is>
          <t>EvalQualityFloors is an identity-free mutable dataclass (explicit check example)</t>
        </is>
      </c>
    </row>
    <row r="599">
      <c r="A599" t="inlineStr">
        <is>
          <t>archon-search</t>
        </is>
      </c>
      <c r="B599" t="inlineStr">
        <is>
          <t>/Users/manczg/Documents/development/archon-search/archon_search/eval/runner.py</t>
        </is>
      </c>
      <c r="C599" t="inlineStr">
        <is>
          <t>ddd-01</t>
        </is>
      </c>
      <c r="D599" t="n">
        <v>75</v>
      </c>
      <c r="E599" t="inlineStr">
        <is>
          <t>TP</t>
        </is>
      </c>
      <c r="F599" t="inlineStr">
        <is>
          <t>EvalLatencyCeilings is an identity-free mutable dataclass, never mutated after construction</t>
        </is>
      </c>
    </row>
    <row r="600">
      <c r="A600" t="inlineStr">
        <is>
          <t>archon-search</t>
        </is>
      </c>
      <c r="B600" t="inlineStr">
        <is>
          <t>/Users/manczg/Documents/development/archon-search/archon_search/eval/runner.py</t>
        </is>
      </c>
      <c r="C600" t="inlineStr">
        <is>
          <t>ddd-01</t>
        </is>
      </c>
      <c r="D600" t="n">
        <v>83</v>
      </c>
      <c r="E600" t="inlineStr">
        <is>
          <t>TP</t>
        </is>
      </c>
      <c r="F600" t="inlineStr">
        <is>
          <t>EvalThresholds is an identity-free mutable dataclass composed of other value objects</t>
        </is>
      </c>
    </row>
    <row r="601">
      <c r="A601" t="inlineStr">
        <is>
          <t>archon-search</t>
        </is>
      </c>
      <c r="B601" t="inlineStr">
        <is>
          <t>/Users/manczg/Documents/development/archon-search/archon_search/eval/runner.py</t>
        </is>
      </c>
      <c r="C601" t="inlineStr">
        <is>
          <t>ddd-01</t>
        </is>
      </c>
      <c r="D601" t="n">
        <v>92</v>
      </c>
      <c r="E601" t="inlineStr">
        <is>
          <t>TP</t>
        </is>
      </c>
      <c r="F601" t="inlineStr">
        <is>
          <t>BenchmarkThresholds is an identity-free mutable dataclass of threshold floats</t>
        </is>
      </c>
    </row>
    <row r="602">
      <c r="A602" t="inlineStr">
        <is>
          <t>archon-search</t>
        </is>
      </c>
      <c r="B602" t="inlineStr">
        <is>
          <t>/Users/manczg/Documents/development/archon-search/archon_search/eval/runner.py</t>
        </is>
      </c>
      <c r="C602" t="inlineStr">
        <is>
          <t>ddd-01</t>
        </is>
      </c>
      <c r="D602" t="n">
        <v>256</v>
      </c>
      <c r="E602" t="inlineStr">
        <is>
          <t>TP</t>
        </is>
      </c>
      <c r="F602" t="inlineStr">
        <is>
          <t>EvalRuntimeConfig is an identity-free mutable dataclass, read-only after load</t>
        </is>
      </c>
    </row>
    <row r="603">
      <c r="A603" t="inlineStr">
        <is>
          <t>archon-search</t>
        </is>
      </c>
      <c r="B603" t="inlineStr">
        <is>
          <t>/Users/manczg/Documents/development/archon-search/archon_search/eval/runner.py</t>
        </is>
      </c>
      <c r="C603" t="inlineStr">
        <is>
          <t>ddd-01</t>
        </is>
      </c>
      <c r="D603" t="n">
        <v>358</v>
      </c>
      <c r="E603" t="inlineStr">
        <is>
          <t>TP</t>
        </is>
      </c>
      <c r="F603" t="inlineStr">
        <is>
          <t>EvalBaseline is an identity-free value snapshot (eval_hash is a content hash, not an assigned identity)</t>
        </is>
      </c>
    </row>
    <row r="604">
      <c r="A604" t="inlineStr">
        <is>
          <t>archon-search</t>
        </is>
      </c>
      <c r="B604" t="inlineStr">
        <is>
          <t>/Users/manczg/Documents/development/archon-search/archon_search/eval/runner.py</t>
        </is>
      </c>
      <c r="C604" t="inlineStr">
        <is>
          <t>ddd-01</t>
        </is>
      </c>
      <c r="D604" t="n">
        <v>476</v>
      </c>
      <c r="E604" t="inlineStr">
        <is>
          <t>FP</t>
        </is>
      </c>
      <c r="F604" t="inlineStr">
        <is>
          <t>EvalReport.notes is a deliberate accumulator appended to during run_eval_suite/assert_thresholds, not a value object</t>
        </is>
      </c>
    </row>
    <row r="605">
      <c r="A605" t="inlineStr">
        <is>
          <t>archon-search</t>
        </is>
      </c>
      <c r="B605" t="inlineStr">
        <is>
          <t>/Users/manczg/Documents/development/archon-search/archon_search/eval/runner.py</t>
        </is>
      </c>
      <c r="C605" t="inlineStr">
        <is>
          <t>safety-07</t>
        </is>
      </c>
      <c r="D605" t="n">
        <v>22</v>
      </c>
      <c r="E605" t="inlineStr">
        <is>
          <t>TP</t>
        </is>
      </c>
      <c r="F605" t="inlineStr">
        <is>
          <t>`# type: ignore[no-redef]` suppresses a real type-checker signal in new code</t>
        </is>
      </c>
    </row>
    <row r="606">
      <c r="A606" t="inlineStr">
        <is>
          <t>archon-search</t>
        </is>
      </c>
      <c r="B606" t="inlineStr">
        <is>
          <t>/Users/manczg/Documents/development/archon-search/archon_search/eval/runner.py</t>
        </is>
      </c>
      <c r="C606" t="inlineStr">
        <is>
          <t>safety-07</t>
        </is>
      </c>
      <c r="D606" t="n">
        <v>848</v>
      </c>
      <c r="E606" t="inlineStr">
        <is>
          <t>TP</t>
        </is>
      </c>
      <c r="F606" t="inlineStr">
        <is>
          <t>`# type: ignore[name-defined]  # noqa: F821` suppresses real toolchain signals</t>
        </is>
      </c>
    </row>
    <row r="607">
      <c r="A607" t="inlineStr">
        <is>
          <t>archon-search</t>
        </is>
      </c>
      <c r="B607" t="inlineStr">
        <is>
          <t>/Users/manczg/Documents/development/archon-search/archon_search/eval/runner.py</t>
        </is>
      </c>
      <c r="C607" t="inlineStr">
        <is>
          <t>safety-11</t>
        </is>
      </c>
      <c r="D607" t="n">
        <v>491</v>
      </c>
      <c r="E607" t="inlineStr">
        <is>
          <t>TP</t>
        </is>
      </c>
      <c r="F607" t="inlineStr">
        <is>
          <t>generated_at reads current time into a stored EvalReport field rendered in output</t>
        </is>
      </c>
    </row>
    <row r="608">
      <c r="A608" t="inlineStr">
        <is>
          <t>archon-search</t>
        </is>
      </c>
      <c r="B608" t="inlineStr">
        <is>
          <t>/Users/manczg/Documents/development/archon-search/archon_search/eval/runner.py</t>
        </is>
      </c>
      <c r="C608" t="inlineStr">
        <is>
          <t>smells-01</t>
        </is>
      </c>
      <c r="D608" t="n">
        <v>1</v>
      </c>
      <c r="E608" t="inlineStr">
        <is>
          <t>TP</t>
        </is>
      </c>
      <c r="F608" t="inlineStr">
        <is>
          <t>file is 2014 lines, over the 1000-line threshold</t>
        </is>
      </c>
    </row>
    <row r="609">
      <c r="A609" t="inlineStr">
        <is>
          <t>archon-search</t>
        </is>
      </c>
      <c r="B609" t="inlineStr">
        <is>
          <t>/Users/manczg/Documents/development/archon-search/archon_search/eval/runner.py</t>
        </is>
      </c>
      <c r="C609" t="inlineStr">
        <is>
          <t>smells-02</t>
        </is>
      </c>
      <c r="D609" t="n">
        <v>607</v>
      </c>
      <c r="E609" t="inlineStr">
        <is>
          <t>TP</t>
        </is>
      </c>
      <c r="F609" t="inlineStr">
        <is>
          <t>_build_pipeline_with_eval_backends has 6 parameters</t>
        </is>
      </c>
    </row>
    <row r="610">
      <c r="A610" t="inlineStr">
        <is>
          <t>archon-search</t>
        </is>
      </c>
      <c r="B610" t="inlineStr">
        <is>
          <t>/Users/manczg/Documents/development/archon-search/archon_search/eval/runner.py</t>
        </is>
      </c>
      <c r="C610" t="inlineStr">
        <is>
          <t>smells-02</t>
        </is>
      </c>
      <c r="D610" t="n">
        <v>705</v>
      </c>
      <c r="E610" t="inlineStr">
        <is>
          <t>TP</t>
        </is>
      </c>
      <c r="F610" t="inlineStr">
        <is>
          <t>_build_code_lane_pipeline has 5 parameters</t>
        </is>
      </c>
    </row>
    <row r="611">
      <c r="A611" t="inlineStr">
        <is>
          <t>archon-search</t>
        </is>
      </c>
      <c r="B611" t="inlineStr">
        <is>
          <t>/Users/manczg/Documents/development/archon-search/archon_search/eval/runner.py</t>
        </is>
      </c>
      <c r="C611" t="inlineStr">
        <is>
          <t>smells-02</t>
        </is>
      </c>
      <c r="D611" t="n">
        <v>875</v>
      </c>
      <c r="E611" t="inlineStr">
        <is>
          <t>TP</t>
        </is>
      </c>
      <c r="F611" t="inlineStr">
        <is>
          <t>_ingest_corpus has 4 parameters</t>
        </is>
      </c>
    </row>
    <row r="612">
      <c r="A612" t="inlineStr">
        <is>
          <t>archon-search</t>
        </is>
      </c>
      <c r="B612" t="inlineStr">
        <is>
          <t>/Users/manczg/Documents/development/archon-search/archon_search/eval/runner.py</t>
        </is>
      </c>
      <c r="C612" t="inlineStr">
        <is>
          <t>smells-02</t>
        </is>
      </c>
      <c r="D612" t="n">
        <v>953</v>
      </c>
      <c r="E612" t="inlineStr">
        <is>
          <t>TP</t>
        </is>
      </c>
      <c r="F612" t="inlineStr">
        <is>
          <t>_run_router_for_query has 5 parameters</t>
        </is>
      </c>
    </row>
    <row r="613">
      <c r="A613" t="inlineStr">
        <is>
          <t>archon-search</t>
        </is>
      </c>
      <c r="B613" t="inlineStr">
        <is>
          <t>/Users/manczg/Documents/development/archon-search/archon_search/eval/runner.py</t>
        </is>
      </c>
      <c r="C613" t="inlineStr">
        <is>
          <t>smells-02</t>
        </is>
      </c>
      <c r="D613" t="n">
        <v>1016</v>
      </c>
      <c r="E613" t="inlineStr">
        <is>
          <t>TP</t>
        </is>
      </c>
      <c r="F613" t="inlineStr">
        <is>
          <t>run_eval_suite has 6 parameters</t>
        </is>
      </c>
    </row>
    <row r="614">
      <c r="A614" t="inlineStr">
        <is>
          <t>archon-search</t>
        </is>
      </c>
      <c r="B614" t="inlineStr">
        <is>
          <t>/Users/manczg/Documents/development/archon-search/archon_search/eval/runner.py</t>
        </is>
      </c>
      <c r="C614" t="inlineStr">
        <is>
          <t>smells-02</t>
        </is>
      </c>
      <c r="D614" t="n">
        <v>1850</v>
      </c>
      <c r="E614" t="inlineStr">
        <is>
          <t>TP</t>
        </is>
      </c>
      <c r="F614" t="inlineStr">
        <is>
          <t>_execute_retrieval_query has 8 keyword-only parameters</t>
        </is>
      </c>
    </row>
    <row r="615">
      <c r="A615" t="inlineStr">
        <is>
          <t>archon-search</t>
        </is>
      </c>
      <c r="B615" t="inlineStr">
        <is>
          <t>/Users/manczg/Documents/development/archon-search/archon_search/eval/runner.py</t>
        </is>
      </c>
      <c r="C615" t="inlineStr">
        <is>
          <t>smells-02</t>
        </is>
      </c>
      <c r="D615" t="n">
        <v>1936</v>
      </c>
      <c r="E615" t="inlineStr">
        <is>
          <t>TP</t>
        </is>
      </c>
      <c r="F615" t="inlineStr">
        <is>
          <t>_execute_graph_retrieval_query has 4 keyword-only parameters</t>
        </is>
      </c>
    </row>
    <row r="616">
      <c r="A616" t="inlineStr">
        <is>
          <t>archon-search</t>
        </is>
      </c>
      <c r="B616" t="inlineStr">
        <is>
          <t>/Users/manczg/Documents/development/archon-search/archon_search/eval/runner.py</t>
        </is>
      </c>
      <c r="C616" t="inlineStr">
        <is>
          <t>smells-03</t>
        </is>
      </c>
      <c r="D616" t="n">
        <v>709</v>
      </c>
      <c r="E616" t="inlineStr">
        <is>
          <t>TP</t>
        </is>
      </c>
      <c r="F616" t="inlineStr">
        <is>
          <t>defref_enabled is a real behavioral flag selecting entirely different graph wiring, not a state flag</t>
        </is>
      </c>
    </row>
    <row r="617">
      <c r="A617" t="inlineStr">
        <is>
          <t>archon-search</t>
        </is>
      </c>
      <c r="B617" t="inlineStr">
        <is>
          <t>/Users/manczg/Documents/development/archon-search/archon_search/eval/runner.py</t>
        </is>
      </c>
      <c r="C617" t="inlineStr">
        <is>
          <t>smells-08</t>
        </is>
      </c>
      <c r="D617" t="n">
        <v>613</v>
      </c>
      <c r="E617" t="inlineStr">
        <is>
          <t>FP</t>
        </is>
      </c>
      <c r="F617" t="inlineStr">
        <is>
          <t>community_backend_map: dict | None = None is a self-documented optional default, the check's own remedy shape</t>
        </is>
      </c>
    </row>
    <row r="618">
      <c r="A618" t="inlineStr">
        <is>
          <t>archon-search</t>
        </is>
      </c>
      <c r="B618" t="inlineStr">
        <is>
          <t>/Users/manczg/Documents/development/archon-search/archon_search/eval/runner.py</t>
        </is>
      </c>
      <c r="C618" t="inlineStr">
        <is>
          <t>smells-08</t>
        </is>
      </c>
      <c r="D618" t="n">
        <v>614</v>
      </c>
      <c r="E618" t="inlineStr">
        <is>
          <t>FP</t>
        </is>
      </c>
      <c r="F618" t="inlineStr">
        <is>
          <t>lancedb_root: Path | None = None is a self-documented optional default</t>
        </is>
      </c>
    </row>
    <row r="619">
      <c r="A619" t="inlineStr">
        <is>
          <t>archon-search</t>
        </is>
      </c>
      <c r="B619" t="inlineStr">
        <is>
          <t>/Users/manczg/Documents/development/archon-search/archon_search/eval/runner.py</t>
        </is>
      </c>
      <c r="C619" t="inlineStr">
        <is>
          <t>smells-08</t>
        </is>
      </c>
      <c r="D619" t="n">
        <v>1019</v>
      </c>
      <c r="E619" t="inlineStr">
        <is>
          <t>FP</t>
        </is>
      </c>
      <c r="F619" t="inlineStr">
        <is>
          <t>thresholds_path is Optional with a docstring-documented default meaning</t>
        </is>
      </c>
    </row>
    <row r="620">
      <c r="A620" t="inlineStr">
        <is>
          <t>archon-search</t>
        </is>
      </c>
      <c r="B620" t="inlineStr">
        <is>
          <t>/Users/manczg/Documents/development/archon-search/archon_search/eval/runner.py</t>
        </is>
      </c>
      <c r="C620" t="inlineStr">
        <is>
          <t>smells-08</t>
        </is>
      </c>
      <c r="D620" t="n">
        <v>1020</v>
      </c>
      <c r="E620" t="inlineStr">
        <is>
          <t>FP</t>
        </is>
      </c>
      <c r="F620" t="inlineStr">
        <is>
          <t>baseline_path is Optional with a docstring-documented default meaning</t>
        </is>
      </c>
    </row>
    <row r="621">
      <c r="A621" t="inlineStr">
        <is>
          <t>archon-search</t>
        </is>
      </c>
      <c r="B621" t="inlineStr">
        <is>
          <t>/Users/manczg/Documents/development/archon-search/archon_search/eval/runner.py</t>
        </is>
      </c>
      <c r="C621" t="inlineStr">
        <is>
          <t>smells-08</t>
        </is>
      </c>
      <c r="D621" t="n">
        <v>1023</v>
      </c>
      <c r="E621" t="inlineStr">
        <is>
          <t>FP</t>
        </is>
      </c>
      <c r="F621" t="inlineStr">
        <is>
          <t>lancedb_root is Optional with a docstring-documented default meaning</t>
        </is>
      </c>
    </row>
    <row r="622">
      <c r="A622" t="inlineStr">
        <is>
          <t>archon-search</t>
        </is>
      </c>
      <c r="B622" t="inlineStr">
        <is>
          <t>/Users/manczg/Documents/development/archon-search/archon_search/eval/runner.py</t>
        </is>
      </c>
      <c r="C622" t="inlineStr">
        <is>
          <t>smells-08</t>
        </is>
      </c>
      <c r="D622" t="n">
        <v>1255</v>
      </c>
      <c r="E622" t="inlineStr">
        <is>
          <t>TP</t>
        </is>
      </c>
      <c r="F622" t="inlineStr">
        <is>
          <t>_corpus_for_trace returns int | None, a genuine nullable return</t>
        </is>
      </c>
    </row>
    <row r="623">
      <c r="A623" t="inlineStr">
        <is>
          <t>archon-search</t>
        </is>
      </c>
      <c r="B623" t="inlineStr">
        <is>
          <t>/Users/manczg/Documents/development/archon-search/archon_search/eval/runner.py</t>
        </is>
      </c>
      <c r="C623" t="inlineStr">
        <is>
          <t>smells-08</t>
        </is>
      </c>
      <c r="D623" t="n">
        <v>1534</v>
      </c>
      <c r="E623" t="inlineStr">
        <is>
          <t>FP</t>
        </is>
      </c>
      <c r="F623" t="inlineStr">
        <is>
          <t>skip_fields: frozenset[str] | None = None is a self-documented optional default</t>
        </is>
      </c>
    </row>
    <row r="624">
      <c r="A624" t="inlineStr">
        <is>
          <t>archon-search</t>
        </is>
      </c>
      <c r="B624" t="inlineStr">
        <is>
          <t>/Users/manczg/Documents/development/archon-search/archon_search/eval/runner.py</t>
        </is>
      </c>
      <c r="C624" t="inlineStr">
        <is>
          <t>smells-10</t>
        </is>
      </c>
      <c r="D624" t="n">
        <v>746</v>
      </c>
      <c r="E624" t="inlineStr">
        <is>
          <t>FP</t>
        </is>
      </c>
      <c r="F624" t="inlineStr">
        <is>
          <t>dotted path is Sphinx :class: cross-reference prose inside a docstring</t>
        </is>
      </c>
    </row>
    <row r="625">
      <c r="A625" t="inlineStr">
        <is>
          <t>archon-search</t>
        </is>
      </c>
      <c r="B625" t="inlineStr">
        <is>
          <t>/Users/manczg/Documents/development/archon-search/archon_search/eval/runner.py</t>
        </is>
      </c>
      <c r="C625" t="inlineStr">
        <is>
          <t>smells-12</t>
        </is>
      </c>
      <c r="D625" t="n">
        <v>1242</v>
      </c>
      <c r="E625" t="inlineStr">
        <is>
          <t>TP</t>
        </is>
      </c>
      <c r="F625" t="inlineStr">
        <is>
          <t>generic except in finally block logs at debug and swallows disconnect error without re-raising</t>
        </is>
      </c>
    </row>
    <row r="626">
      <c r="A626" t="inlineStr">
        <is>
          <t>archon-search</t>
        </is>
      </c>
      <c r="B626" t="inlineStr">
        <is>
          <t>/Users/manczg/Documents/development/archon-search/archon_search/eval/runner.py</t>
        </is>
      </c>
      <c r="C626" t="inlineStr">
        <is>
          <t>solid-07</t>
        </is>
      </c>
      <c r="D626" t="n">
        <v>380</v>
      </c>
      <c r="E626" t="inlineStr">
        <is>
          <t>FP</t>
        </is>
      </c>
      <c r="F626" t="inlineStr">
        <is>
          <t>embedding_model_id is a field on EvalBaseline, a DTO loaded from baseline.json (serialisation boundary)</t>
        </is>
      </c>
    </row>
    <row r="627">
      <c r="A627" t="inlineStr">
        <is>
          <t>archon-search</t>
        </is>
      </c>
      <c r="B627" t="inlineStr">
        <is>
          <t>/Users/manczg/Documents/development/archon-search/archon_search/eval/runner.py</t>
        </is>
      </c>
      <c r="C627" t="inlineStr">
        <is>
          <t>solid-07</t>
        </is>
      </c>
      <c r="D627" t="n">
        <v>382</v>
      </c>
      <c r="E627" t="inlineStr">
        <is>
          <t>FP</t>
        </is>
      </c>
      <c r="F627" t="inlineStr">
        <is>
          <t>reranker_model_id is a field on the same JSON-loaded DTO</t>
        </is>
      </c>
    </row>
    <row r="628">
      <c r="A628" t="inlineStr">
        <is>
          <t>archon-search</t>
        </is>
      </c>
      <c r="B628" t="inlineStr">
        <is>
          <t>/Users/manczg/Documents/development/archon-search/archon_search/eval/runner.py</t>
        </is>
      </c>
      <c r="C628" t="inlineStr">
        <is>
          <t>solid-07</t>
        </is>
      </c>
      <c r="D628" t="n">
        <v>562</v>
      </c>
      <c r="E628" t="inlineStr">
        <is>
          <t>TP</t>
        </is>
      </c>
      <c r="F628" t="inlineStr">
        <is>
          <t>query_id: str is an opaque domain identifier used across records, a primitive obsession candidate</t>
        </is>
      </c>
    </row>
    <row r="629">
      <c r="A629" t="inlineStr">
        <is>
          <t>archon-search</t>
        </is>
      </c>
      <c r="B629" t="inlineStr">
        <is>
          <t>/Users/manczg/Documents/development/archon-search/archon_search/eval/runner.py</t>
        </is>
      </c>
      <c r="C629" t="inlineStr">
        <is>
          <t>solid-07</t>
        </is>
      </c>
      <c r="D629" t="n">
        <v>1278</v>
      </c>
      <c r="E629" t="inlineStr">
        <is>
          <t>TP</t>
        </is>
      </c>
      <c r="F629" t="inlineStr">
        <is>
          <t>query_id: str parameter, same primitive-obsession pattern as _gold_collections_for</t>
        </is>
      </c>
    </row>
    <row r="630">
      <c r="A630" t="inlineStr">
        <is>
          <t>archon-search</t>
        </is>
      </c>
      <c r="B630" t="inlineStr">
        <is>
          <t>/Users/manczg/Documents/development/archon-search/archon_search/eval/runner.py</t>
        </is>
      </c>
      <c r="C630" t="inlineStr">
        <is>
          <t>solid-10</t>
        </is>
      </c>
      <c r="D630" t="n">
        <v>629</v>
      </c>
      <c r="E630" t="inlineStr">
        <is>
          <t>FP</t>
        </is>
      </c>
      <c r="F630" t="inlineStr">
        <is>
          <t>inside _build_pipeline_with_eval_backends, a build_*-style composition-root factory</t>
        </is>
      </c>
    </row>
    <row r="631">
      <c r="A631" t="inlineStr">
        <is>
          <t>archon-search</t>
        </is>
      </c>
      <c r="B631" t="inlineStr">
        <is>
          <t>/Users/manczg/Documents/development/archon-search/archon_search/eval/runner.py</t>
        </is>
      </c>
      <c r="C631" t="inlineStr">
        <is>
          <t>solid-10</t>
        </is>
      </c>
      <c r="D631" t="n">
        <v>657</v>
      </c>
      <c r="E631" t="inlineStr">
        <is>
          <t>FP</t>
        </is>
      </c>
      <c r="F631" t="inlineStr">
        <is>
          <t>same factory function _build_pipeline_with_eval_backends</t>
        </is>
      </c>
    </row>
    <row r="632">
      <c r="A632" t="inlineStr">
        <is>
          <t>archon-search</t>
        </is>
      </c>
      <c r="B632" t="inlineStr">
        <is>
          <t>/Users/manczg/Documents/development/archon-search/archon_search/eval/runner.py</t>
        </is>
      </c>
      <c r="C632" t="inlineStr">
        <is>
          <t>solid-10</t>
        </is>
      </c>
      <c r="D632" t="n">
        <v>670</v>
      </c>
      <c r="E632" t="inlineStr">
        <is>
          <t>FP</t>
        </is>
      </c>
      <c r="F632" t="inlineStr">
        <is>
          <t>same factory function _build_pipeline_with_eval_backends</t>
        </is>
      </c>
    </row>
    <row r="633">
      <c r="A633" t="inlineStr">
        <is>
          <t>archon-search</t>
        </is>
      </c>
      <c r="B633" t="inlineStr">
        <is>
          <t>/Users/manczg/Documents/development/archon-search/archon_search/eval/runner.py</t>
        </is>
      </c>
      <c r="C633" t="inlineStr">
        <is>
          <t>solid-10</t>
        </is>
      </c>
      <c r="D633" t="n">
        <v>671</v>
      </c>
      <c r="E633" t="inlineStr">
        <is>
          <t>FP</t>
        </is>
      </c>
      <c r="F633" t="inlineStr">
        <is>
          <t>same factory function _build_pipeline_with_eval_backends</t>
        </is>
      </c>
    </row>
    <row r="634">
      <c r="A634" t="inlineStr">
        <is>
          <t>archon-search</t>
        </is>
      </c>
      <c r="B634" t="inlineStr">
        <is>
          <t>/Users/manczg/Documents/development/archon-search/archon_search/eval/runner.py</t>
        </is>
      </c>
      <c r="C634" t="inlineStr">
        <is>
          <t>solid-10</t>
        </is>
      </c>
      <c r="D634" t="n">
        <v>800</v>
      </c>
      <c r="E634" t="inlineStr">
        <is>
          <t>FP</t>
        </is>
      </c>
      <c r="F634" t="inlineStr">
        <is>
          <t>inside _build_code_lane_pipeline, a build_*-style composition-root factory</t>
        </is>
      </c>
    </row>
    <row r="635">
      <c r="A635" t="inlineStr">
        <is>
          <t>archon-search</t>
        </is>
      </c>
      <c r="B635" t="inlineStr">
        <is>
          <t>/Users/manczg/Documents/development/archon-search/archon_search/eval/runner.py</t>
        </is>
      </c>
      <c r="C635" t="inlineStr">
        <is>
          <t>solid-10</t>
        </is>
      </c>
      <c r="D635" t="n">
        <v>805</v>
      </c>
      <c r="E635" t="inlineStr">
        <is>
          <t>FP</t>
        </is>
      </c>
      <c r="F635" t="inlineStr">
        <is>
          <t>same factory function _build_code_lane_pipeline</t>
        </is>
      </c>
    </row>
    <row r="636">
      <c r="A636" t="inlineStr">
        <is>
          <t>archon-search</t>
        </is>
      </c>
      <c r="B636" t="inlineStr">
        <is>
          <t>/Users/manczg/Documents/development/archon-search/archon_search/eval/runner.py</t>
        </is>
      </c>
      <c r="C636" t="inlineStr">
        <is>
          <t>solid-10</t>
        </is>
      </c>
      <c r="D636" t="n">
        <v>811</v>
      </c>
      <c r="E636" t="inlineStr">
        <is>
          <t>FP</t>
        </is>
      </c>
      <c r="F636" t="inlineStr">
        <is>
          <t>same factory function _build_code_lane_pipeline</t>
        </is>
      </c>
    </row>
    <row r="637">
      <c r="A637" t="inlineStr">
        <is>
          <t>archon-search</t>
        </is>
      </c>
      <c r="B637" t="inlineStr">
        <is>
          <t>/Users/manczg/Documents/development/archon-search/archon_search/eval/runner.py</t>
        </is>
      </c>
      <c r="C637" t="inlineStr">
        <is>
          <t>solid-10</t>
        </is>
      </c>
      <c r="D637" t="n">
        <v>825</v>
      </c>
      <c r="E637" t="inlineStr">
        <is>
          <t>FP</t>
        </is>
      </c>
      <c r="F637" t="inlineStr">
        <is>
          <t>same factory function _build_code_lane_pipeline</t>
        </is>
      </c>
    </row>
    <row r="638">
      <c r="A638" t="inlineStr">
        <is>
          <t>archon-search</t>
        </is>
      </c>
      <c r="B638" t="inlineStr">
        <is>
          <t>/Users/manczg/Documents/development/archon-search/archon_search/eval/runner.py</t>
        </is>
      </c>
      <c r="C638" t="inlineStr">
        <is>
          <t>solid-10</t>
        </is>
      </c>
      <c r="D638" t="n">
        <v>827</v>
      </c>
      <c r="E638" t="inlineStr">
        <is>
          <t>FP</t>
        </is>
      </c>
      <c r="F638" t="inlineStr">
        <is>
          <t>GraphConfig construction inside the same composition-root factory</t>
        </is>
      </c>
    </row>
    <row r="639">
      <c r="A639" t="inlineStr">
        <is>
          <t>archon-search</t>
        </is>
      </c>
      <c r="B639" t="inlineStr">
        <is>
          <t>/Users/manczg/Documents/development/archon-search/archon_search/eval/runner.py</t>
        </is>
      </c>
      <c r="C639" t="inlineStr">
        <is>
          <t>solid-10</t>
        </is>
      </c>
      <c r="D639" t="n">
        <v>987</v>
      </c>
      <c r="E639" t="inlineStr">
        <is>
          <t>FP</t>
        </is>
      </c>
      <c r="F639" t="inlineStr">
        <is>
          <t>inside _run_router_for_query, an eval-harness helper, not a domain/app-service method</t>
        </is>
      </c>
    </row>
    <row r="640">
      <c r="A640" t="inlineStr">
        <is>
          <t>archon-search</t>
        </is>
      </c>
      <c r="B640" t="inlineStr">
        <is>
          <t>/Users/manczg/Documents/development/archon-search/archon_search/eval/runner.py</t>
        </is>
      </c>
      <c r="C640" t="inlineStr">
        <is>
          <t>solid-10</t>
        </is>
      </c>
      <c r="D640" t="n">
        <v>1097</v>
      </c>
      <c r="E640" t="inlineStr">
        <is>
          <t>FP</t>
        </is>
      </c>
      <c r="F640" t="inlineStr">
        <is>
          <t>inside run_eval_suite, the eval harness's own composition root</t>
        </is>
      </c>
    </row>
    <row r="641">
      <c r="A641" t="inlineStr">
        <is>
          <t>archon-search</t>
        </is>
      </c>
      <c r="B641" t="inlineStr">
        <is>
          <t>/Users/manczg/Documents/development/archon-search/archon_search/eval/runner.py</t>
        </is>
      </c>
      <c r="C641" t="inlineStr">
        <is>
          <t>solid-10</t>
        </is>
      </c>
      <c r="D641" t="n">
        <v>1124</v>
      </c>
      <c r="E641" t="inlineStr">
        <is>
          <t>FP</t>
        </is>
      </c>
      <c r="F641" t="inlineStr">
        <is>
          <t>GraphConfig construction inside run_eval_suite's composition root</t>
        </is>
      </c>
    </row>
    <row r="642">
      <c r="A642" t="inlineStr">
        <is>
          <t>archon-search</t>
        </is>
      </c>
      <c r="B642" t="inlineStr">
        <is>
          <t>/Users/manczg/Documents/development/archon-search/archon_search/eval/runner.py</t>
        </is>
      </c>
      <c r="C642" t="inlineStr">
        <is>
          <t>solid-10</t>
        </is>
      </c>
      <c r="D642" t="n">
        <v>1130</v>
      </c>
      <c r="E642" t="inlineStr">
        <is>
          <t>FP</t>
        </is>
      </c>
      <c r="F642" t="inlineStr">
        <is>
          <t>CommunityBuilder construction inside run_eval_suite's composition root</t>
        </is>
      </c>
    </row>
    <row r="643">
      <c r="A643" t="inlineStr">
        <is>
          <t>archon-search</t>
        </is>
      </c>
      <c r="B643" t="inlineStr">
        <is>
          <t>/Users/manczg/Documents/development/archon-search/archon_search/eval/runner.py</t>
        </is>
      </c>
      <c r="C643" t="inlineStr">
        <is>
          <t>solid-15</t>
        </is>
      </c>
      <c r="D643" t="n">
        <v>451</v>
      </c>
      <c r="E643" t="inlineStr">
        <is>
          <t>FP</t>
        </is>
      </c>
      <c r="F643" t="inlineStr">
        <is>
          <t>isinstance elif chain is JSON value-type validation, not behavior dispatch across methods</t>
        </is>
      </c>
    </row>
    <row r="644">
      <c r="A644" t="inlineStr">
        <is>
          <t>archon-search</t>
        </is>
      </c>
      <c r="B644" t="inlineStr">
        <is>
          <t>/Users/manczg/Documents/development/archon-search/archon_search/eval/runner.py</t>
        </is>
      </c>
      <c r="C644" t="inlineStr">
        <is>
          <t>solid-15</t>
        </is>
      </c>
      <c r="D644" t="n">
        <v>640</v>
      </c>
      <c r="E644" t="inlineStr">
        <is>
          <t>TP</t>
        </is>
      </c>
      <c r="F644" t="inlineStr">
        <is>
          <t>backend == "live"/"deterministic" dispatch selects entirely different embedder/reranker implementations</t>
        </is>
      </c>
    </row>
    <row r="645">
      <c r="A645" t="inlineStr">
        <is>
          <t>archon-search</t>
        </is>
      </c>
      <c r="B645" t="inlineStr">
        <is>
          <t>/Users/manczg/Documents/development/archon-search/archon_search/parser.py</t>
        </is>
      </c>
      <c r="C645" t="inlineStr">
        <is>
          <t>safety-01</t>
        </is>
      </c>
      <c r="D645" t="n">
        <v>310</v>
      </c>
      <c r="E645" t="inlineStr">
        <is>
          <t>TP</t>
        </is>
      </c>
      <c r="F645" t="inlineStr">
        <is>
          <t>ProcessPoolExecutor is constructed with no .shutdown() call anywhere in the file; cleanup relies only on GC/drop</t>
        </is>
      </c>
    </row>
    <row r="646">
      <c r="A646" t="inlineStr">
        <is>
          <t>archon-search</t>
        </is>
      </c>
      <c r="B646" t="inlineStr">
        <is>
          <t>/Users/manczg/Documents/development/archon-search/archon_search/parser.py</t>
        </is>
      </c>
      <c r="C646" t="inlineStr">
        <is>
          <t>safety-06</t>
        </is>
      </c>
      <c r="D646" t="n">
        <v>86</v>
      </c>
      <c r="E646" t="inlineStr">
        <is>
          <t>FP</t>
        </is>
      </c>
      <c r="F646" t="inlineStr">
        <is>
          <t>time.sleep is inside _watch_for_orphaning, a plain def run as a daemon thread body, not an async function</t>
        </is>
      </c>
    </row>
    <row r="647">
      <c r="A647" t="inlineStr">
        <is>
          <t>archon-search</t>
        </is>
      </c>
      <c r="B647" t="inlineStr">
        <is>
          <t>/Users/manczg/Documents/development/archon-search/archon_search/parser.py</t>
        </is>
      </c>
      <c r="C647" t="inlineStr">
        <is>
          <t>safety-07</t>
        </is>
      </c>
      <c r="D647" t="n">
        <v>160</v>
      </c>
      <c r="E647" t="inlineStr">
        <is>
          <t>TP</t>
        </is>
      </c>
      <c r="F647" t="inlineStr">
        <is>
          <t>`# noqa: PLC0415` suppresses a real linter signal on a new import</t>
        </is>
      </c>
    </row>
    <row r="648">
      <c r="A648" t="inlineStr">
        <is>
          <t>archon-search</t>
        </is>
      </c>
      <c r="B648" t="inlineStr">
        <is>
          <t>/Users/manczg/Documents/development/archon-search/archon_search/parser.py</t>
        </is>
      </c>
      <c r="C648" t="inlineStr">
        <is>
          <t>safety-07</t>
        </is>
      </c>
      <c r="D648" t="n">
        <v>163</v>
      </c>
      <c r="E648" t="inlineStr">
        <is>
          <t>TP</t>
        </is>
      </c>
      <c r="F648" t="inlineStr">
        <is>
          <t>`# noqa: PLC0415` suppresses a real linter signal on a new import</t>
        </is>
      </c>
    </row>
    <row r="649">
      <c r="A649" t="inlineStr">
        <is>
          <t>archon-search</t>
        </is>
      </c>
      <c r="B649" t="inlineStr">
        <is>
          <t>/Users/manczg/Documents/development/archon-search/archon_search/parser.py</t>
        </is>
      </c>
      <c r="C649" t="inlineStr">
        <is>
          <t>safety-07</t>
        </is>
      </c>
      <c r="D649" t="n">
        <v>353</v>
      </c>
      <c r="E649" t="inlineStr">
        <is>
          <t>TP</t>
        </is>
      </c>
      <c r="F649" t="inlineStr">
        <is>
          <t>`# noqa: PLC0415` suppresses a real linter signal on a new import</t>
        </is>
      </c>
    </row>
    <row r="650">
      <c r="A650" t="inlineStr">
        <is>
          <t>archon-search</t>
        </is>
      </c>
      <c r="B650" t="inlineStr">
        <is>
          <t>/Users/manczg/Documents/development/archon-search/archon_search/parser.py</t>
        </is>
      </c>
      <c r="C650" t="inlineStr">
        <is>
          <t>smells-10</t>
        </is>
      </c>
      <c r="D650" t="n">
        <v>204</v>
      </c>
      <c r="E650" t="inlineStr">
        <is>
          <t>TP</t>
        </is>
      </c>
      <c r="F650" t="inlineStr">
        <is>
          <t>converter.convert(path).document.export_to_markdown(...) is a 3-hop chain through different objects</t>
        </is>
      </c>
    </row>
    <row r="651">
      <c r="A651" t="inlineStr">
        <is>
          <t>archon-search</t>
        </is>
      </c>
      <c r="B651" t="inlineStr">
        <is>
          <t>/Users/manczg/Documents/development/archon-search/archon_search/parser.py</t>
        </is>
      </c>
      <c r="C651" t="inlineStr">
        <is>
          <t>smells-12</t>
        </is>
      </c>
      <c r="D651" t="n">
        <v>207</v>
      </c>
      <c r="E651" t="inlineStr">
        <is>
          <t>FP</t>
        </is>
      </c>
      <c r="F651" t="inlineStr">
        <is>
          <t>catches Exception but converts it into a payload the caller raises as ParseError across a process boundary — documented, correct handling</t>
        </is>
      </c>
    </row>
    <row r="652">
      <c r="A652" t="inlineStr">
        <is>
          <t>archon-search</t>
        </is>
      </c>
      <c r="B652" t="inlineStr">
        <is>
          <t>/Users/manczg/Documents/development/archon-search/archon_search/parser.py</t>
        </is>
      </c>
      <c r="C652" t="inlineStr">
        <is>
          <t>solid-06</t>
        </is>
      </c>
      <c r="D652" t="n">
        <v>119</v>
      </c>
      <c r="E652" t="inlineStr">
        <is>
          <t>FP</t>
        </is>
      </c>
      <c r="F652" t="inlineStr">
        <is>
          <t>self.path is a public attribute on ParseError, an Exception subclass — public attrs are idiomatic on exceptions</t>
        </is>
      </c>
    </row>
    <row r="653">
      <c r="A653" t="inlineStr">
        <is>
          <t>archon-search</t>
        </is>
      </c>
      <c r="B653" t="inlineStr">
        <is>
          <t>/Users/manczg/Documents/development/archon-search/archon_search/parser.py</t>
        </is>
      </c>
      <c r="C653" t="inlineStr">
        <is>
          <t>solid-06</t>
        </is>
      </c>
      <c r="D653" t="n">
        <v>120</v>
      </c>
      <c r="E653" t="inlineStr">
        <is>
          <t>FP</t>
        </is>
      </c>
      <c r="F653" t="inlineStr">
        <is>
          <t>self.cause is a public attribute on the same Exception subclass</t>
        </is>
      </c>
    </row>
    <row r="654">
      <c r="A654" t="inlineStr">
        <is>
          <t>archon-search</t>
        </is>
      </c>
      <c r="B654" t="inlineStr">
        <is>
          <t>/Users/manczg/Documents/development/archon-search/archon_search/parser.py</t>
        </is>
      </c>
      <c r="C654" t="inlineStr">
        <is>
          <t>solid-09</t>
        </is>
      </c>
      <c r="D654" t="n">
        <v>50</v>
      </c>
      <c r="E654" t="inlineStr">
        <is>
          <t>TP</t>
        </is>
      </c>
      <c r="F654" t="inlineStr">
        <is>
          <t>_worker_converter is a module-level mutable global (not UPPER_CASE constant)</t>
        </is>
      </c>
    </row>
    <row r="655">
      <c r="A655" t="inlineStr">
        <is>
          <t>archon-search</t>
        </is>
      </c>
      <c r="B655" t="inlineStr">
        <is>
          <t>/Users/manczg/Documents/development/archon-search/archon_search/parser.py</t>
        </is>
      </c>
      <c r="C655" t="inlineStr">
        <is>
          <t>solid-10</t>
        </is>
      </c>
      <c r="D655" t="n">
        <v>310</v>
      </c>
      <c r="E655" t="inlineStr">
        <is>
          <t>FP</t>
        </is>
      </c>
      <c r="F655" t="inlineStr">
        <is>
          <t>inside DocumentParser, an infrastructure adapter class wrapping docling/markitdown/trafilatura</t>
        </is>
      </c>
    </row>
    <row r="656">
      <c r="A656" t="inlineStr">
        <is>
          <t>archon-search</t>
        </is>
      </c>
      <c r="B656" t="inlineStr">
        <is>
          <t>/Users/manczg/Documents/development/archon-search/archon_search/parser.py</t>
        </is>
      </c>
      <c r="C656" t="inlineStr">
        <is>
          <t>solid-15</t>
        </is>
      </c>
      <c r="D656" t="n">
        <v>242</v>
      </c>
      <c r="E656" t="inlineStr">
        <is>
          <t>TP</t>
        </is>
      </c>
      <c r="F656" t="inlineStr">
        <is>
          <t>suffix elif chain dispatches to a different _parse_* method per extension, a real strategy-selection candidate</t>
        </is>
      </c>
    </row>
    <row r="657">
      <c r="A657" t="inlineStr">
        <is>
          <t>archon-search</t>
        </is>
      </c>
      <c r="B657" t="inlineStr">
        <is>
          <t>/Users/manczg/Documents/development/archon-search/archon_search/parser.py</t>
        </is>
      </c>
      <c r="C657" t="inlineStr">
        <is>
          <t>solid-15</t>
        </is>
      </c>
      <c r="D657" t="n">
        <v>244</v>
      </c>
      <c r="E657" t="inlineStr">
        <is>
          <t>TP</t>
        </is>
      </c>
      <c r="F657" t="inlineStr">
        <is>
          <t>same suffix dispatch chain in DocumentParser.parse</t>
        </is>
      </c>
    </row>
    <row r="658">
      <c r="A658" t="inlineStr">
        <is>
          <t>archon-search</t>
        </is>
      </c>
      <c r="B658" t="inlineStr">
        <is>
          <t>/Users/manczg/Documents/development/archon-search/archon_search/parser.py</t>
        </is>
      </c>
      <c r="C658" t="inlineStr">
        <is>
          <t>solid-15</t>
        </is>
      </c>
      <c r="D658" t="n">
        <v>246</v>
      </c>
      <c r="E658" t="inlineStr">
        <is>
          <t>TP</t>
        </is>
      </c>
      <c r="F658" t="inlineStr">
        <is>
          <t>same suffix dispatch chain in DocumentParser.parse</t>
        </is>
      </c>
    </row>
    <row r="659">
      <c r="A659" t="inlineStr">
        <is>
          <t>archon-search</t>
        </is>
      </c>
      <c r="B659" t="inlineStr">
        <is>
          <t>/Users/manczg/Documents/development/archon-search/archon_search/embedder_cache.py</t>
        </is>
      </c>
      <c r="C659" t="inlineStr">
        <is>
          <t>safety-07</t>
        </is>
      </c>
      <c r="D659" t="n">
        <v>171</v>
      </c>
      <c r="E659" t="inlineStr">
        <is>
          <t>TP</t>
        </is>
      </c>
      <c r="F659" t="inlineStr">
        <is>
          <t>`# noqa: BLE001` suppresses a real linter signal on a new broad except</t>
        </is>
      </c>
    </row>
    <row r="660">
      <c r="A660" t="inlineStr">
        <is>
          <t>archon-search</t>
        </is>
      </c>
      <c r="B660" t="inlineStr">
        <is>
          <t>/Users/manczg/Documents/development/archon-search/archon_search/embedder_cache.py</t>
        </is>
      </c>
      <c r="C660" t="inlineStr">
        <is>
          <t>safety-07</t>
        </is>
      </c>
      <c r="D660" t="n">
        <v>176</v>
      </c>
      <c r="E660" t="inlineStr">
        <is>
          <t>TP</t>
        </is>
      </c>
      <c r="F660" t="inlineStr">
        <is>
          <t>`# noqa: BLE001` suppresses a real linter signal on a new broad except</t>
        </is>
      </c>
    </row>
    <row r="661">
      <c r="A661" t="inlineStr">
        <is>
          <t>archon-search</t>
        </is>
      </c>
      <c r="B661" t="inlineStr">
        <is>
          <t>/Users/manczg/Documents/development/archon-search/archon_search/embedder_cache.py</t>
        </is>
      </c>
      <c r="C661" t="inlineStr">
        <is>
          <t>smells-08</t>
        </is>
      </c>
      <c r="D661" t="n">
        <v>55</v>
      </c>
      <c r="E661" t="inlineStr">
        <is>
          <t>FP</t>
        </is>
      </c>
      <c r="F661" t="inlineStr">
        <is>
          <t>providers: list[str] | None = None is a self-documented optional default, the check's own remedy shape</t>
        </is>
      </c>
    </row>
    <row r="662">
      <c r="A662" t="inlineStr">
        <is>
          <t>archon-search</t>
        </is>
      </c>
      <c r="B662" t="inlineStr">
        <is>
          <t>/Users/manczg/Documents/development/archon-search/archon_search/embedder_cache.py</t>
        </is>
      </c>
      <c r="C662" t="inlineStr">
        <is>
          <t>smells-12</t>
        </is>
      </c>
      <c r="D662" t="n">
        <v>171</v>
      </c>
      <c r="E662" t="inlineStr">
        <is>
          <t>TP</t>
        </is>
      </c>
      <c r="F662" t="inlineStr">
        <is>
          <t>except Exception logs a warning and returns without re-raising — log-and-continue</t>
        </is>
      </c>
    </row>
    <row r="663">
      <c r="A663" t="inlineStr">
        <is>
          <t>archon-search</t>
        </is>
      </c>
      <c r="B663" t="inlineStr">
        <is>
          <t>/Users/manczg/Documents/development/archon-search/archon_search/embedder_cache.py</t>
        </is>
      </c>
      <c r="C663" t="inlineStr">
        <is>
          <t>smells-12</t>
        </is>
      </c>
      <c r="D663" t="n">
        <v>176</v>
      </c>
      <c r="E663" t="inlineStr">
        <is>
          <t>TP</t>
        </is>
      </c>
      <c r="F663" t="inlineStr">
        <is>
          <t>except Exception logs a warning and continues without re-raising — log-and-continue</t>
        </is>
      </c>
    </row>
    <row r="664">
      <c r="A664" t="inlineStr">
        <is>
          <t>archon-search</t>
        </is>
      </c>
      <c r="B664" t="inlineStr">
        <is>
          <t>/Users/manczg/Documents/development/archon-search/archon_search/sync_suppression.py</t>
        </is>
      </c>
      <c r="C664" t="inlineStr">
        <is>
          <t>safety-11</t>
        </is>
      </c>
      <c r="D664" t="n">
        <v>62</v>
      </c>
      <c r="E664" t="inlineStr">
        <is>
          <t>TP</t>
        </is>
      </c>
      <c r="F664" t="inlineStr">
        <is>
          <t>datetime.now(UTC) is written into a persisted sentinel JSON file, a stored record</t>
        </is>
      </c>
    </row>
    <row r="665">
      <c r="A665" t="inlineStr">
        <is>
          <t>archon-search</t>
        </is>
      </c>
      <c r="B665" t="inlineStr">
        <is>
          <t>/Users/manczg/Documents/development/archon-search/archon_search/sync_suppression.py</t>
        </is>
      </c>
      <c r="C665" t="inlineStr">
        <is>
          <t>smells-10</t>
        </is>
      </c>
      <c r="D665" t="n">
        <v>18</v>
      </c>
      <c r="E665" t="inlineStr">
        <is>
          <t>FP</t>
        </is>
      </c>
      <c r="F665" t="inlineStr">
        <is>
          <t>dotted path is prose inside a docstring referencing another module's function</t>
        </is>
      </c>
    </row>
    <row r="666">
      <c r="A666" t="inlineStr">
        <is>
          <t>archon-search</t>
        </is>
      </c>
      <c r="B666" t="inlineStr">
        <is>
          <t>/Users/manczg/Documents/development/archon-search/archon_search/sync_suppression.py</t>
        </is>
      </c>
      <c r="C666" t="inlineStr">
        <is>
          <t>tests-01</t>
        </is>
      </c>
      <c r="D666" t="n">
        <v>36</v>
      </c>
      <c r="E666" t="inlineStr">
        <is>
          <t>TP</t>
        </is>
      </c>
      <c r="F666" t="inlineStr">
        <is>
          <t>no test file exists for sync_suppression.py and the project otherwise has a test suite</t>
        </is>
      </c>
    </row>
    <row r="667">
      <c r="A667" t="inlineStr">
        <is>
          <t>archon-search</t>
        </is>
      </c>
      <c r="B667" t="inlineStr">
        <is>
          <t>/Users/manczg/Documents/development/archon-search/tests/test_store.py</t>
        </is>
      </c>
      <c r="C667" t="inlineStr">
        <is>
          <t>clarity-09</t>
        </is>
      </c>
      <c r="D667" t="n">
        <v>4533</v>
      </c>
      <c r="E667" t="inlineStr">
        <is>
          <t>TP</t>
        </is>
      </c>
      <c r="F667" t="inlineStr">
        <is>
          <t>3-term condition (A or (B and C)) not extracted into a predicate</t>
        </is>
      </c>
    </row>
    <row r="668">
      <c r="A668" t="inlineStr">
        <is>
          <t>archon-search</t>
        </is>
      </c>
      <c r="B668" t="inlineStr">
        <is>
          <t>/Users/manczg/Documents/development/archon-search/tests/test_store.py</t>
        </is>
      </c>
      <c r="C668" t="inlineStr">
        <is>
          <t>clarity-09</t>
        </is>
      </c>
      <c r="D668" t="n">
        <v>4537</v>
      </c>
      <c r="E668" t="inlineStr">
        <is>
          <t>TP</t>
        </is>
      </c>
      <c r="F668" t="inlineStr">
        <is>
          <t>3-term and-chain not extracted into a predicate</t>
        </is>
      </c>
    </row>
    <row r="669">
      <c r="A669" t="inlineStr">
        <is>
          <t>archon-search</t>
        </is>
      </c>
      <c r="B669" t="inlineStr">
        <is>
          <t>/Users/manczg/Documents/development/archon-search/tests/test_store.py</t>
        </is>
      </c>
      <c r="C669" t="inlineStr">
        <is>
          <t>clarity-09</t>
        </is>
      </c>
      <c r="D669" t="n">
        <v>1335</v>
      </c>
      <c r="E669" t="inlineStr">
        <is>
          <t>TP</t>
        </is>
      </c>
      <c r="F669" t="inlineStr">
        <is>
          <t>wrapped condition with 2 or-operators (3 terms), reported at if-line</t>
        </is>
      </c>
    </row>
    <row r="670">
      <c r="A670" t="inlineStr">
        <is>
          <t>archon-search</t>
        </is>
      </c>
      <c r="B670" t="inlineStr">
        <is>
          <t>/Users/manczg/Documents/development/archon-search/tests/test_store.py</t>
        </is>
      </c>
      <c r="C670" t="inlineStr">
        <is>
          <t>safety-07</t>
        </is>
      </c>
      <c r="D670" t="n">
        <v>2026</v>
      </c>
      <c r="E670" t="inlineStr">
        <is>
          <t>TP</t>
        </is>
      </c>
      <c r="F670" t="inlineStr">
        <is>
          <t># type: ignore[method-assign] suppression</t>
        </is>
      </c>
    </row>
    <row r="671">
      <c r="A671" t="inlineStr">
        <is>
          <t>archon-search</t>
        </is>
      </c>
      <c r="B671" t="inlineStr">
        <is>
          <t>/Users/manczg/Documents/development/archon-search/tests/test_store.py</t>
        </is>
      </c>
      <c r="C671" t="inlineStr">
        <is>
          <t>safety-07</t>
        </is>
      </c>
      <c r="D671" t="n">
        <v>2042</v>
      </c>
      <c r="E671" t="inlineStr">
        <is>
          <t>TP</t>
        </is>
      </c>
      <c r="F671" t="inlineStr">
        <is>
          <t># type: ignore[method-assign] suppression</t>
        </is>
      </c>
    </row>
    <row r="672">
      <c r="A672" t="inlineStr">
        <is>
          <t>archon-search</t>
        </is>
      </c>
      <c r="B672" t="inlineStr">
        <is>
          <t>/Users/manczg/Documents/development/archon-search/tests/test_store.py</t>
        </is>
      </c>
      <c r="C672" t="inlineStr">
        <is>
          <t>safety-07</t>
        </is>
      </c>
      <c r="D672" t="n">
        <v>4390</v>
      </c>
      <c r="E672" t="inlineStr">
        <is>
          <t>TP</t>
        </is>
      </c>
      <c r="F672" t="inlineStr">
        <is>
          <t># noqa: PLC0415 suppression</t>
        </is>
      </c>
    </row>
    <row r="673">
      <c r="A673" t="inlineStr">
        <is>
          <t>archon-search</t>
        </is>
      </c>
      <c r="B673" t="inlineStr">
        <is>
          <t>/Users/manczg/Documents/development/archon-search/tests/test_store.py</t>
        </is>
      </c>
      <c r="C673" t="inlineStr">
        <is>
          <t>safety-07</t>
        </is>
      </c>
      <c r="D673" t="n">
        <v>4397</v>
      </c>
      <c r="E673" t="inlineStr">
        <is>
          <t>TP</t>
        </is>
      </c>
      <c r="F673" t="inlineStr">
        <is>
          <t># noqa: PLC0415 suppression</t>
        </is>
      </c>
    </row>
    <row r="674">
      <c r="A674" t="inlineStr">
        <is>
          <t>archon-search</t>
        </is>
      </c>
      <c r="B674" t="inlineStr">
        <is>
          <t>/Users/manczg/Documents/development/archon-search/tests/test_store.py</t>
        </is>
      </c>
      <c r="C674" t="inlineStr">
        <is>
          <t>safety-07</t>
        </is>
      </c>
      <c r="D674" t="n">
        <v>4403</v>
      </c>
      <c r="E674" t="inlineStr">
        <is>
          <t>TP</t>
        </is>
      </c>
      <c r="F674" t="inlineStr">
        <is>
          <t># noqa: PLC0415 suppression</t>
        </is>
      </c>
    </row>
    <row r="675">
      <c r="A675" t="inlineStr">
        <is>
          <t>archon-search</t>
        </is>
      </c>
      <c r="B675" t="inlineStr">
        <is>
          <t>/Users/manczg/Documents/development/archon-search/tests/test_store.py</t>
        </is>
      </c>
      <c r="C675" t="inlineStr">
        <is>
          <t>safety-07</t>
        </is>
      </c>
      <c r="D675" t="n">
        <v>4409</v>
      </c>
      <c r="E675" t="inlineStr">
        <is>
          <t>TP</t>
        </is>
      </c>
      <c r="F675" t="inlineStr">
        <is>
          <t># noqa: PLC0415 suppression</t>
        </is>
      </c>
    </row>
    <row r="676">
      <c r="A676" t="inlineStr">
        <is>
          <t>archon-search</t>
        </is>
      </c>
      <c r="B676" t="inlineStr">
        <is>
          <t>/Users/manczg/Documents/development/archon-search/tests/test_store.py</t>
        </is>
      </c>
      <c r="C676" t="inlineStr">
        <is>
          <t>safety-07</t>
        </is>
      </c>
      <c r="D676" t="n">
        <v>4415</v>
      </c>
      <c r="E676" t="inlineStr">
        <is>
          <t>TP</t>
        </is>
      </c>
      <c r="F676" t="inlineStr">
        <is>
          <t># noqa: PLC0415 suppression</t>
        </is>
      </c>
    </row>
    <row r="677">
      <c r="A677" t="inlineStr">
        <is>
          <t>archon-search</t>
        </is>
      </c>
      <c r="B677" t="inlineStr">
        <is>
          <t>/Users/manczg/Documents/development/archon-search/tests/test_store.py</t>
        </is>
      </c>
      <c r="C677" t="inlineStr">
        <is>
          <t>safety-07</t>
        </is>
      </c>
      <c r="D677" t="n">
        <v>4422</v>
      </c>
      <c r="E677" t="inlineStr">
        <is>
          <t>TP</t>
        </is>
      </c>
      <c r="F677" t="inlineStr">
        <is>
          <t># noqa: PLC0415 suppression</t>
        </is>
      </c>
    </row>
    <row r="678">
      <c r="A678" t="inlineStr">
        <is>
          <t>archon-search</t>
        </is>
      </c>
      <c r="B678" t="inlineStr">
        <is>
          <t>/Users/manczg/Documents/development/archon-search/tests/test_store.py</t>
        </is>
      </c>
      <c r="C678" t="inlineStr">
        <is>
          <t>safety-07</t>
        </is>
      </c>
      <c r="D678" t="n">
        <v>4478</v>
      </c>
      <c r="E678" t="inlineStr">
        <is>
          <t>TP</t>
        </is>
      </c>
      <c r="F678" t="inlineStr">
        <is>
          <t># type: ignore[method-assign] suppression</t>
        </is>
      </c>
    </row>
    <row r="679">
      <c r="A679" t="inlineStr">
        <is>
          <t>archon-search</t>
        </is>
      </c>
      <c r="B679" t="inlineStr">
        <is>
          <t>/Users/manczg/Documents/development/archon-search/tests/test_store.py</t>
        </is>
      </c>
      <c r="C679" t="inlineStr">
        <is>
          <t>safety-07</t>
        </is>
      </c>
      <c r="D679" t="n">
        <v>6335</v>
      </c>
      <c r="E679" t="inlineStr">
        <is>
          <t>TP</t>
        </is>
      </c>
      <c r="F679" t="inlineStr">
        <is>
          <t># type: ignore[assignment] suppression</t>
        </is>
      </c>
    </row>
    <row r="680">
      <c r="A680" t="inlineStr">
        <is>
          <t>archon-search</t>
        </is>
      </c>
      <c r="B680" t="inlineStr">
        <is>
          <t>/Users/manczg/Documents/development/archon-search/tests/test_store.py</t>
        </is>
      </c>
      <c r="C680" t="inlineStr">
        <is>
          <t>safety-07</t>
        </is>
      </c>
      <c r="D680" t="n">
        <v>6713</v>
      </c>
      <c r="E680" t="inlineStr">
        <is>
          <t>TP</t>
        </is>
      </c>
      <c r="F680" t="inlineStr">
        <is>
          <t># type: ignore[attr-defined] suppression</t>
        </is>
      </c>
    </row>
    <row r="681">
      <c r="A681" t="inlineStr">
        <is>
          <t>archon-search</t>
        </is>
      </c>
      <c r="B681" t="inlineStr">
        <is>
          <t>/Users/manczg/Documents/development/archon-search/tests/test_store.py</t>
        </is>
      </c>
      <c r="C681" t="inlineStr">
        <is>
          <t>safety-07</t>
        </is>
      </c>
      <c r="D681" t="n">
        <v>6716</v>
      </c>
      <c r="E681" t="inlineStr">
        <is>
          <t>TP</t>
        </is>
      </c>
      <c r="F681" t="inlineStr">
        <is>
          <t># noqa: ARG001 suppression</t>
        </is>
      </c>
    </row>
    <row r="682">
      <c r="A682" t="inlineStr">
        <is>
          <t>archon-search</t>
        </is>
      </c>
      <c r="B682" t="inlineStr">
        <is>
          <t>/Users/manczg/Documents/development/archon-search/tests/test_store.py</t>
        </is>
      </c>
      <c r="C682" t="inlineStr">
        <is>
          <t>safety-07</t>
        </is>
      </c>
      <c r="D682" t="n">
        <v>6719</v>
      </c>
      <c r="E682" t="inlineStr">
        <is>
          <t>TP</t>
        </is>
      </c>
      <c r="F682" t="inlineStr">
        <is>
          <t># noqa: ANN202 suppression</t>
        </is>
      </c>
    </row>
    <row r="683">
      <c r="A683" t="inlineStr">
        <is>
          <t>archon-search</t>
        </is>
      </c>
      <c r="B683" t="inlineStr">
        <is>
          <t>/Users/manczg/Documents/development/archon-search/tests/test_store.py</t>
        </is>
      </c>
      <c r="C683" t="inlineStr">
        <is>
          <t>safety-07</t>
        </is>
      </c>
      <c r="D683" t="n">
        <v>6722</v>
      </c>
      <c r="E683" t="inlineStr">
        <is>
          <t>TP</t>
        </is>
      </c>
      <c r="F683" t="inlineStr">
        <is>
          <t># type: ignore[method-assign] suppression</t>
        </is>
      </c>
    </row>
    <row r="684">
      <c r="A684" t="inlineStr">
        <is>
          <t>archon-search</t>
        </is>
      </c>
      <c r="B684" t="inlineStr">
        <is>
          <t>/Users/manczg/Documents/development/archon-search/tests/test_store.py</t>
        </is>
      </c>
      <c r="C684" t="inlineStr">
        <is>
          <t>safety-07</t>
        </is>
      </c>
      <c r="D684" t="n">
        <v>6723</v>
      </c>
      <c r="E684" t="inlineStr">
        <is>
          <t>TP</t>
        </is>
      </c>
      <c r="F684" t="inlineStr">
        <is>
          <t># type: ignore[method-assign] suppression</t>
        </is>
      </c>
    </row>
    <row r="685">
      <c r="A685" t="inlineStr">
        <is>
          <t>archon-search</t>
        </is>
      </c>
      <c r="B685" t="inlineStr">
        <is>
          <t>/Users/manczg/Documents/development/archon-search/tests/test_store.py</t>
        </is>
      </c>
      <c r="C685" t="inlineStr">
        <is>
          <t>safety-07</t>
        </is>
      </c>
      <c r="D685" t="n">
        <v>6729</v>
      </c>
      <c r="E685" t="inlineStr">
        <is>
          <t>TP</t>
        </is>
      </c>
      <c r="F685" t="inlineStr">
        <is>
          <t># type: ignore[attr-defined] suppression</t>
        </is>
      </c>
    </row>
    <row r="686">
      <c r="A686" t="inlineStr">
        <is>
          <t>archon-search</t>
        </is>
      </c>
      <c r="B686" t="inlineStr">
        <is>
          <t>/Users/manczg/Documents/development/archon-search/tests/test_store.py</t>
        </is>
      </c>
      <c r="C686" t="inlineStr">
        <is>
          <t>safety-07</t>
        </is>
      </c>
      <c r="D686" t="n">
        <v>6746</v>
      </c>
      <c r="E686" t="inlineStr">
        <is>
          <t>TP</t>
        </is>
      </c>
      <c r="F686" t="inlineStr">
        <is>
          <t># type: ignore[attr-defined] suppression</t>
        </is>
      </c>
    </row>
    <row r="687">
      <c r="A687" t="inlineStr">
        <is>
          <t>archon-search</t>
        </is>
      </c>
      <c r="B687" t="inlineStr">
        <is>
          <t>/Users/manczg/Documents/development/archon-search/tests/test_store.py</t>
        </is>
      </c>
      <c r="C687" t="inlineStr">
        <is>
          <t>safety-07</t>
        </is>
      </c>
      <c r="D687" t="n">
        <v>6749</v>
      </c>
      <c r="E687" t="inlineStr">
        <is>
          <t>TP</t>
        </is>
      </c>
      <c r="F687" t="inlineStr">
        <is>
          <t># noqa: ARG001 suppression</t>
        </is>
      </c>
    </row>
    <row r="688">
      <c r="A688" t="inlineStr">
        <is>
          <t>archon-search</t>
        </is>
      </c>
      <c r="B688" t="inlineStr">
        <is>
          <t>/Users/manczg/Documents/development/archon-search/tests/test_store.py</t>
        </is>
      </c>
      <c r="C688" t="inlineStr">
        <is>
          <t>safety-07</t>
        </is>
      </c>
      <c r="D688" t="n">
        <v>6752</v>
      </c>
      <c r="E688" t="inlineStr">
        <is>
          <t>TP</t>
        </is>
      </c>
      <c r="F688" t="inlineStr">
        <is>
          <t># noqa: ANN202 suppression</t>
        </is>
      </c>
    </row>
    <row r="689">
      <c r="A689" t="inlineStr">
        <is>
          <t>archon-search</t>
        </is>
      </c>
      <c r="B689" t="inlineStr">
        <is>
          <t>/Users/manczg/Documents/development/archon-search/tests/test_store.py</t>
        </is>
      </c>
      <c r="C689" t="inlineStr">
        <is>
          <t>safety-07</t>
        </is>
      </c>
      <c r="D689" t="n">
        <v>6755</v>
      </c>
      <c r="E689" t="inlineStr">
        <is>
          <t>TP</t>
        </is>
      </c>
      <c r="F689" t="inlineStr">
        <is>
          <t># type: ignore[method-assign] suppression</t>
        </is>
      </c>
    </row>
    <row r="690">
      <c r="A690" t="inlineStr">
        <is>
          <t>archon-search</t>
        </is>
      </c>
      <c r="B690" t="inlineStr">
        <is>
          <t>/Users/manczg/Documents/development/archon-search/tests/test_store.py</t>
        </is>
      </c>
      <c r="C690" t="inlineStr">
        <is>
          <t>safety-07</t>
        </is>
      </c>
      <c r="D690" t="n">
        <v>6756</v>
      </c>
      <c r="E690" t="inlineStr">
        <is>
          <t>TP</t>
        </is>
      </c>
      <c r="F690" t="inlineStr">
        <is>
          <t># type: ignore[method-assign] suppression</t>
        </is>
      </c>
    </row>
    <row r="691">
      <c r="A691" t="inlineStr">
        <is>
          <t>archon-search</t>
        </is>
      </c>
      <c r="B691" t="inlineStr">
        <is>
          <t>/Users/manczg/Documents/development/archon-search/tests/test_store.py</t>
        </is>
      </c>
      <c r="C691" t="inlineStr">
        <is>
          <t>safety-07</t>
        </is>
      </c>
      <c r="D691" t="n">
        <v>6763</v>
      </c>
      <c r="E691" t="inlineStr">
        <is>
          <t>TP</t>
        </is>
      </c>
      <c r="F691" t="inlineStr">
        <is>
          <t># type: ignore[attr-defined] suppression</t>
        </is>
      </c>
    </row>
    <row r="692">
      <c r="A692" t="inlineStr">
        <is>
          <t>archon-search</t>
        </is>
      </c>
      <c r="B692" t="inlineStr">
        <is>
          <t>/Users/manczg/Documents/development/archon-search/tests/test_store.py</t>
        </is>
      </c>
      <c r="C692" t="inlineStr">
        <is>
          <t>safety-07</t>
        </is>
      </c>
      <c r="D692" t="n">
        <v>6780</v>
      </c>
      <c r="E692" t="inlineStr">
        <is>
          <t>TP</t>
        </is>
      </c>
      <c r="F692" t="inlineStr">
        <is>
          <t># type: ignore[attr-defined] suppression</t>
        </is>
      </c>
    </row>
    <row r="693">
      <c r="A693" t="inlineStr">
        <is>
          <t>archon-search</t>
        </is>
      </c>
      <c r="B693" t="inlineStr">
        <is>
          <t>/Users/manczg/Documents/development/archon-search/tests/test_store.py</t>
        </is>
      </c>
      <c r="C693" t="inlineStr">
        <is>
          <t>safety-07</t>
        </is>
      </c>
      <c r="D693" t="n">
        <v>6783</v>
      </c>
      <c r="E693" t="inlineStr">
        <is>
          <t>TP</t>
        </is>
      </c>
      <c r="F693" t="inlineStr">
        <is>
          <t># noqa: ARG001 suppression</t>
        </is>
      </c>
    </row>
    <row r="694">
      <c r="A694" t="inlineStr">
        <is>
          <t>archon-search</t>
        </is>
      </c>
      <c r="B694" t="inlineStr">
        <is>
          <t>/Users/manczg/Documents/development/archon-search/tests/test_store.py</t>
        </is>
      </c>
      <c r="C694" t="inlineStr">
        <is>
          <t>safety-07</t>
        </is>
      </c>
      <c r="D694" t="n">
        <v>6786</v>
      </c>
      <c r="E694" t="inlineStr">
        <is>
          <t>TP</t>
        </is>
      </c>
      <c r="F694" t="inlineStr">
        <is>
          <t># noqa: ANN202 suppression</t>
        </is>
      </c>
    </row>
    <row r="695">
      <c r="A695" t="inlineStr">
        <is>
          <t>archon-search</t>
        </is>
      </c>
      <c r="B695" t="inlineStr">
        <is>
          <t>/Users/manczg/Documents/development/archon-search/tests/test_store.py</t>
        </is>
      </c>
      <c r="C695" t="inlineStr">
        <is>
          <t>safety-07</t>
        </is>
      </c>
      <c r="D695" t="n">
        <v>6789</v>
      </c>
      <c r="E695" t="inlineStr">
        <is>
          <t>TP</t>
        </is>
      </c>
      <c r="F695" t="inlineStr">
        <is>
          <t># type: ignore[method-assign] suppression</t>
        </is>
      </c>
    </row>
    <row r="696">
      <c r="A696" t="inlineStr">
        <is>
          <t>archon-search</t>
        </is>
      </c>
      <c r="B696" t="inlineStr">
        <is>
          <t>/Users/manczg/Documents/development/archon-search/tests/test_store.py</t>
        </is>
      </c>
      <c r="C696" t="inlineStr">
        <is>
          <t>safety-07</t>
        </is>
      </c>
      <c r="D696" t="n">
        <v>6790</v>
      </c>
      <c r="E696" t="inlineStr">
        <is>
          <t>TP</t>
        </is>
      </c>
      <c r="F696" t="inlineStr">
        <is>
          <t># type: ignore[method-assign] suppression</t>
        </is>
      </c>
    </row>
    <row r="697">
      <c r="A697" t="inlineStr">
        <is>
          <t>archon-search</t>
        </is>
      </c>
      <c r="B697" t="inlineStr">
        <is>
          <t>/Users/manczg/Documents/development/archon-search/tests/test_store.py</t>
        </is>
      </c>
      <c r="C697" t="inlineStr">
        <is>
          <t>safety-07</t>
        </is>
      </c>
      <c r="D697" t="n">
        <v>6796</v>
      </c>
      <c r="E697" t="inlineStr">
        <is>
          <t>TP</t>
        </is>
      </c>
      <c r="F697" t="inlineStr">
        <is>
          <t># type: ignore[attr-defined] suppression</t>
        </is>
      </c>
    </row>
    <row r="698">
      <c r="A698" t="inlineStr">
        <is>
          <t>archon-search</t>
        </is>
      </c>
      <c r="B698" t="inlineStr">
        <is>
          <t>/Users/manczg/Documents/development/archon-search/tests/test_store.py</t>
        </is>
      </c>
      <c r="C698" t="inlineStr">
        <is>
          <t>safety-07</t>
        </is>
      </c>
      <c r="D698" t="n">
        <v>7128</v>
      </c>
      <c r="E698" t="inlineStr">
        <is>
          <t>TP</t>
        </is>
      </c>
      <c r="F698" t="inlineStr">
        <is>
          <t># type: ignore[method-assign] suppression</t>
        </is>
      </c>
    </row>
    <row r="699">
      <c r="A699" t="inlineStr">
        <is>
          <t>archon-search</t>
        </is>
      </c>
      <c r="B699" t="inlineStr">
        <is>
          <t>/Users/manczg/Documents/development/archon-search/tests/test_store.py</t>
        </is>
      </c>
      <c r="C699" t="inlineStr">
        <is>
          <t>safety-07</t>
        </is>
      </c>
      <c r="D699" t="n">
        <v>7153</v>
      </c>
      <c r="E699" t="inlineStr">
        <is>
          <t>TP</t>
        </is>
      </c>
      <c r="F699" t="inlineStr">
        <is>
          <t># type: ignore[method-assign] suppression</t>
        </is>
      </c>
    </row>
    <row r="700">
      <c r="A700" t="inlineStr">
        <is>
          <t>archon-search</t>
        </is>
      </c>
      <c r="B700" t="inlineStr">
        <is>
          <t>/Users/manczg/Documents/development/archon-search/tests/test_store.py</t>
        </is>
      </c>
      <c r="C700" t="inlineStr">
        <is>
          <t>safety-07</t>
        </is>
      </c>
      <c r="D700" t="n">
        <v>7186</v>
      </c>
      <c r="E700" t="inlineStr">
        <is>
          <t>TP</t>
        </is>
      </c>
      <c r="F700" t="inlineStr">
        <is>
          <t># type: ignore[method-assign] suppression</t>
        </is>
      </c>
    </row>
    <row r="701">
      <c r="A701" t="inlineStr">
        <is>
          <t>archon-search</t>
        </is>
      </c>
      <c r="B701" t="inlineStr">
        <is>
          <t>/Users/manczg/Documents/development/archon-search/tests/test_store.py</t>
        </is>
      </c>
      <c r="C701" t="inlineStr">
        <is>
          <t>safety-07</t>
        </is>
      </c>
      <c r="D701" t="n">
        <v>7204</v>
      </c>
      <c r="E701" t="inlineStr">
        <is>
          <t>TP</t>
        </is>
      </c>
      <c r="F701" t="inlineStr">
        <is>
          <t># type: ignore[method-assign] suppression</t>
        </is>
      </c>
    </row>
    <row r="702">
      <c r="A702" t="inlineStr">
        <is>
          <t>archon-search</t>
        </is>
      </c>
      <c r="B702" t="inlineStr">
        <is>
          <t>/Users/manczg/Documents/development/archon-search/tests/test_store.py</t>
        </is>
      </c>
      <c r="C702" t="inlineStr">
        <is>
          <t>safety-07</t>
        </is>
      </c>
      <c r="D702" t="n">
        <v>7298</v>
      </c>
      <c r="E702" t="inlineStr">
        <is>
          <t>TP</t>
        </is>
      </c>
      <c r="F702" t="inlineStr">
        <is>
          <t># type: ignore[attr-defined] suppression</t>
        </is>
      </c>
    </row>
    <row r="703">
      <c r="A703" t="inlineStr">
        <is>
          <t>archon-search</t>
        </is>
      </c>
      <c r="B703" t="inlineStr">
        <is>
          <t>/Users/manczg/Documents/development/archon-search/tests/test_store.py</t>
        </is>
      </c>
      <c r="C703" t="inlineStr">
        <is>
          <t>safety-07</t>
        </is>
      </c>
      <c r="D703" t="n">
        <v>7299</v>
      </c>
      <c r="E703" t="inlineStr">
        <is>
          <t>TP</t>
        </is>
      </c>
      <c r="F703" t="inlineStr">
        <is>
          <t># type: ignore[attr-defined] suppression</t>
        </is>
      </c>
    </row>
    <row r="704">
      <c r="A704" t="inlineStr">
        <is>
          <t>archon-search</t>
        </is>
      </c>
      <c r="B704" t="inlineStr">
        <is>
          <t>/Users/manczg/Documents/development/archon-search/tests/test_store.py</t>
        </is>
      </c>
      <c r="C704" t="inlineStr">
        <is>
          <t>safety-07</t>
        </is>
      </c>
      <c r="D704" t="n">
        <v>7334</v>
      </c>
      <c r="E704" t="inlineStr">
        <is>
          <t>TP</t>
        </is>
      </c>
      <c r="F704" t="inlineStr">
        <is>
          <t># type: ignore[attr-defined] suppression</t>
        </is>
      </c>
    </row>
    <row r="705">
      <c r="A705" t="inlineStr">
        <is>
          <t>archon-search</t>
        </is>
      </c>
      <c r="B705" t="inlineStr">
        <is>
          <t>/Users/manczg/Documents/development/archon-search/tests/test_store.py</t>
        </is>
      </c>
      <c r="C705" t="inlineStr">
        <is>
          <t>safety-07</t>
        </is>
      </c>
      <c r="D705" t="n">
        <v>7381</v>
      </c>
      <c r="E705" t="inlineStr">
        <is>
          <t>TP</t>
        </is>
      </c>
      <c r="F705" t="inlineStr">
        <is>
          <t># type: ignore[attr-defined] suppression</t>
        </is>
      </c>
    </row>
    <row r="706">
      <c r="A706" t="inlineStr">
        <is>
          <t>archon-search</t>
        </is>
      </c>
      <c r="B706" t="inlineStr">
        <is>
          <t>/Users/manczg/Documents/development/archon-search/tests/test_store.py</t>
        </is>
      </c>
      <c r="C706" t="inlineStr">
        <is>
          <t>safety-07</t>
        </is>
      </c>
      <c r="D706" t="n">
        <v>7418</v>
      </c>
      <c r="E706" t="inlineStr">
        <is>
          <t>TP</t>
        </is>
      </c>
      <c r="F706" t="inlineStr">
        <is>
          <t># type: ignore[attr-defined] suppression</t>
        </is>
      </c>
    </row>
    <row r="707">
      <c r="A707" t="inlineStr">
        <is>
          <t>archon-search</t>
        </is>
      </c>
      <c r="B707" t="inlineStr">
        <is>
          <t>/Users/manczg/Documents/development/archon-search/tests/test_store.py</t>
        </is>
      </c>
      <c r="C707" t="inlineStr">
        <is>
          <t>safety-07</t>
        </is>
      </c>
      <c r="D707" t="n">
        <v>7556</v>
      </c>
      <c r="E707" t="inlineStr">
        <is>
          <t>TP</t>
        </is>
      </c>
      <c r="F707" t="inlineStr">
        <is>
          <t># type: ignore[attr-defined] suppression</t>
        </is>
      </c>
    </row>
    <row r="708">
      <c r="A708" t="inlineStr">
        <is>
          <t>archon-search</t>
        </is>
      </c>
      <c r="B708" t="inlineStr">
        <is>
          <t>/Users/manczg/Documents/development/archon-search/tests/test_store.py</t>
        </is>
      </c>
      <c r="C708" t="inlineStr">
        <is>
          <t>safety-07</t>
        </is>
      </c>
      <c r="D708" t="n">
        <v>7608</v>
      </c>
      <c r="E708" t="inlineStr">
        <is>
          <t>TP</t>
        </is>
      </c>
      <c r="F708" t="inlineStr">
        <is>
          <t># type: ignore[attr-defined] suppression</t>
        </is>
      </c>
    </row>
    <row r="709">
      <c r="A709" t="inlineStr">
        <is>
          <t>archon-search</t>
        </is>
      </c>
      <c r="B709" t="inlineStr">
        <is>
          <t>/Users/manczg/Documents/development/archon-search/tests/test_store.py</t>
        </is>
      </c>
      <c r="C709" t="inlineStr">
        <is>
          <t>safety-07</t>
        </is>
      </c>
      <c r="D709" t="n">
        <v>7683</v>
      </c>
      <c r="E709" t="inlineStr">
        <is>
          <t>TP</t>
        </is>
      </c>
      <c r="F709" t="inlineStr">
        <is>
          <t># type: ignore[attr-defined] suppression</t>
        </is>
      </c>
    </row>
    <row r="710">
      <c r="A710" t="inlineStr">
        <is>
          <t>archon-search</t>
        </is>
      </c>
      <c r="B710" t="inlineStr">
        <is>
          <t>/Users/manczg/Documents/development/archon-search/tests/test_store.py</t>
        </is>
      </c>
      <c r="C710" t="inlineStr">
        <is>
          <t>safety-07</t>
        </is>
      </c>
      <c r="D710" t="n">
        <v>7686</v>
      </c>
      <c r="E710" t="inlineStr">
        <is>
          <t>TP</t>
        </is>
      </c>
      <c r="F710" t="inlineStr">
        <is>
          <t># type: ignore[attr-defined] suppression</t>
        </is>
      </c>
    </row>
    <row r="711">
      <c r="A711" t="inlineStr">
        <is>
          <t>archon-search</t>
        </is>
      </c>
      <c r="B711" t="inlineStr">
        <is>
          <t>/Users/manczg/Documents/development/archon-search/tests/test_store.py</t>
        </is>
      </c>
      <c r="C711" t="inlineStr">
        <is>
          <t>safety-07</t>
        </is>
      </c>
      <c r="D711" t="n">
        <v>7736</v>
      </c>
      <c r="E711" t="inlineStr">
        <is>
          <t>TP</t>
        </is>
      </c>
      <c r="F711" t="inlineStr">
        <is>
          <t># type: ignore[attr-defined] suppression</t>
        </is>
      </c>
    </row>
    <row r="712">
      <c r="A712" t="inlineStr">
        <is>
          <t>archon-search</t>
        </is>
      </c>
      <c r="B712" t="inlineStr">
        <is>
          <t>/Users/manczg/Documents/development/archon-search/tests/test_store.py</t>
        </is>
      </c>
      <c r="C712" t="inlineStr">
        <is>
          <t>safety-07</t>
        </is>
      </c>
      <c r="D712" t="n">
        <v>7810</v>
      </c>
      <c r="E712" t="inlineStr">
        <is>
          <t>TP</t>
        </is>
      </c>
      <c r="F712" t="inlineStr">
        <is>
          <t># type: ignore[attr-defined] suppression</t>
        </is>
      </c>
    </row>
    <row r="713">
      <c r="A713" t="inlineStr">
        <is>
          <t>archon-search</t>
        </is>
      </c>
      <c r="B713" t="inlineStr">
        <is>
          <t>/Users/manczg/Documents/development/archon-search/tests/test_store.py</t>
        </is>
      </c>
      <c r="C713" t="inlineStr">
        <is>
          <t>safety-07</t>
        </is>
      </c>
      <c r="D713" t="n">
        <v>7858</v>
      </c>
      <c r="E713" t="inlineStr">
        <is>
          <t>TP</t>
        </is>
      </c>
      <c r="F713" t="inlineStr">
        <is>
          <t># type: ignore[attr-defined] suppression</t>
        </is>
      </c>
    </row>
    <row r="714">
      <c r="A714" t="inlineStr">
        <is>
          <t>archon-search</t>
        </is>
      </c>
      <c r="B714" t="inlineStr">
        <is>
          <t>/Users/manczg/Documents/development/archon-search/tests/test_store.py</t>
        </is>
      </c>
      <c r="C714" t="inlineStr">
        <is>
          <t>safety-07</t>
        </is>
      </c>
      <c r="D714" t="n">
        <v>7913</v>
      </c>
      <c r="E714" t="inlineStr">
        <is>
          <t>TP</t>
        </is>
      </c>
      <c r="F714" t="inlineStr">
        <is>
          <t># type: ignore[attr-defined] suppression</t>
        </is>
      </c>
    </row>
    <row r="715">
      <c r="A715" t="inlineStr">
        <is>
          <t>archon-search</t>
        </is>
      </c>
      <c r="B715" t="inlineStr">
        <is>
          <t>/Users/manczg/Documents/development/archon-search/tests/test_store.py</t>
        </is>
      </c>
      <c r="C715" t="inlineStr">
        <is>
          <t>safety-07</t>
        </is>
      </c>
      <c r="D715" t="n">
        <v>7983</v>
      </c>
      <c r="E715" t="inlineStr">
        <is>
          <t>TP</t>
        </is>
      </c>
      <c r="F715" t="inlineStr">
        <is>
          <t># type: ignore[attr-defined] suppression</t>
        </is>
      </c>
    </row>
    <row r="716">
      <c r="A716" t="inlineStr">
        <is>
          <t>archon-search</t>
        </is>
      </c>
      <c r="B716" t="inlineStr">
        <is>
          <t>/Users/manczg/Documents/development/archon-search/tests/test_store.py</t>
        </is>
      </c>
      <c r="C716" t="inlineStr">
        <is>
          <t>smells-01</t>
        </is>
      </c>
      <c r="D716" t="n">
        <v>1</v>
      </c>
      <c r="E716" t="inlineStr">
        <is>
          <t>TP</t>
        </is>
      </c>
      <c r="F716" t="inlineStr">
        <is>
          <t>file is 8271 lines, exceeds 1000-line threshold</t>
        </is>
      </c>
    </row>
    <row r="717">
      <c r="A717" t="inlineStr">
        <is>
          <t>archon-search</t>
        </is>
      </c>
      <c r="B717" t="inlineStr">
        <is>
          <t>/Users/manczg/Documents/development/archon-search/tests/test_store.py</t>
        </is>
      </c>
      <c r="C717" t="inlineStr">
        <is>
          <t>smells-02</t>
        </is>
      </c>
      <c r="D717" t="n">
        <v>31</v>
      </c>
      <c r="E717" t="inlineStr">
        <is>
          <t>TP</t>
        </is>
      </c>
      <c r="F717" t="inlineStr">
        <is>
          <t>_chunk has 4 parameters (doc_id, idx, text, dim)</t>
        </is>
      </c>
    </row>
    <row r="718">
      <c r="A718" t="inlineStr">
        <is>
          <t>archon-search</t>
        </is>
      </c>
      <c r="B718" t="inlineStr">
        <is>
          <t>/Users/manczg/Documents/development/archon-search/tests/test_store.py</t>
        </is>
      </c>
      <c r="C718" t="inlineStr">
        <is>
          <t>smells-02</t>
        </is>
      </c>
      <c r="D718" t="n">
        <v>211</v>
      </c>
      <c r="E718" t="inlineStr">
        <is>
          <t>TP</t>
        </is>
      </c>
      <c r="F718" t="inlineStr">
        <is>
          <t>_ingest_doc has 4 parameters (store, col, n_chunks, text_prefix)</t>
        </is>
      </c>
    </row>
    <row r="719">
      <c r="A719" t="inlineStr">
        <is>
          <t>archon-search</t>
        </is>
      </c>
      <c r="B719" t="inlineStr">
        <is>
          <t>/Users/manczg/Documents/development/archon-search/tests/test_store.py</t>
        </is>
      </c>
      <c r="C719" t="inlineStr">
        <is>
          <t>smells-02</t>
        </is>
      </c>
      <c r="D719" t="n">
        <v>6331</v>
      </c>
      <c r="E719" t="inlineStr">
        <is>
          <t>TP</t>
        </is>
      </c>
      <c r="F719" t="inlineStr">
        <is>
          <t>fake_update has 7 parameters</t>
        </is>
      </c>
    </row>
    <row r="720">
      <c r="A720" t="inlineStr">
        <is>
          <t>archon-search</t>
        </is>
      </c>
      <c r="B720" t="inlineStr">
        <is>
          <t>/Users/manczg/Documents/development/archon-search/tests/test_store.py</t>
        </is>
      </c>
      <c r="C720" t="inlineStr">
        <is>
          <t>smells-03</t>
        </is>
      </c>
      <c r="D720" t="n">
        <v>6716</v>
      </c>
      <c r="E720" t="inlineStr">
        <is>
          <t>FP</t>
        </is>
      </c>
      <c r="F720" t="inlineStr">
        <is>
          <t>mock signature mirrors fixed third-party LanceDB create_index API</t>
        </is>
      </c>
    </row>
    <row r="721">
      <c r="A721" t="inlineStr">
        <is>
          <t>archon-search</t>
        </is>
      </c>
      <c r="B721" t="inlineStr">
        <is>
          <t>/Users/manczg/Documents/development/archon-search/tests/test_store.py</t>
        </is>
      </c>
      <c r="C721" t="inlineStr">
        <is>
          <t>smells-03</t>
        </is>
      </c>
      <c r="D721" t="n">
        <v>6749</v>
      </c>
      <c r="E721" t="inlineStr">
        <is>
          <t>FP</t>
        </is>
      </c>
      <c r="F721" t="inlineStr">
        <is>
          <t>mock signature mirrors fixed third-party LanceDB create_index API</t>
        </is>
      </c>
    </row>
    <row r="722">
      <c r="A722" t="inlineStr">
        <is>
          <t>archon-search</t>
        </is>
      </c>
      <c r="B722" t="inlineStr">
        <is>
          <t>/Users/manczg/Documents/development/archon-search/tests/test_store.py</t>
        </is>
      </c>
      <c r="C722" t="inlineStr">
        <is>
          <t>smells-03</t>
        </is>
      </c>
      <c r="D722" t="n">
        <v>6783</v>
      </c>
      <c r="E722" t="inlineStr">
        <is>
          <t>FP</t>
        </is>
      </c>
      <c r="F722" t="inlineStr">
        <is>
          <t>mock signature mirrors fixed third-party LanceDB create_index API</t>
        </is>
      </c>
    </row>
    <row r="723">
      <c r="A723" t="inlineStr">
        <is>
          <t>archon-search</t>
        </is>
      </c>
      <c r="B723" t="inlineStr">
        <is>
          <t>/Users/manczg/Documents/development/archon-search/tests/test_store.py</t>
        </is>
      </c>
      <c r="C723" t="inlineStr">
        <is>
          <t>smells-12</t>
        </is>
      </c>
      <c r="D723" t="n">
        <v>2171</v>
      </c>
      <c r="E723" t="inlineStr">
        <is>
          <t>FP</t>
        </is>
      </c>
      <c r="F723" t="inlineStr">
        <is>
          <t>except converts to pytest.fail with message, not swallowed</t>
        </is>
      </c>
    </row>
    <row r="724">
      <c r="A724" t="inlineStr">
        <is>
          <t>archon-search</t>
        </is>
      </c>
      <c r="B724" t="inlineStr">
        <is>
          <t>/Users/manczg/Documents/development/archon-search/tests/test_store.py</t>
        </is>
      </c>
      <c r="C724" t="inlineStr">
        <is>
          <t>tests-04</t>
        </is>
      </c>
      <c r="D724" t="n">
        <v>38</v>
      </c>
      <c r="E724" t="inlineStr">
        <is>
          <t>FP</t>
        </is>
      </c>
      <c r="F724" t="inlineStr">
        <is>
          <t>indexed_at is incidental required field value, not under test</t>
        </is>
      </c>
    </row>
    <row r="725">
      <c r="A725" t="inlineStr">
        <is>
          <t>archon-search</t>
        </is>
      </c>
      <c r="B725" t="inlineStr">
        <is>
          <t>/Users/manczg/Documents/development/archon-search/tests/test_store.py</t>
        </is>
      </c>
      <c r="C725" t="inlineStr">
        <is>
          <t>tests-04</t>
        </is>
      </c>
      <c r="D725" t="n">
        <v>3271</v>
      </c>
      <c r="E725" t="inlineStr">
        <is>
          <t>FP</t>
        </is>
      </c>
      <c r="F725" t="inlineStr">
        <is>
          <t>indexed_at is incidental required field value, not under test</t>
        </is>
      </c>
    </row>
    <row r="726">
      <c r="A726" t="inlineStr">
        <is>
          <t>archon-search</t>
        </is>
      </c>
      <c r="B726" t="inlineStr">
        <is>
          <t>/Users/manczg/Documents/development/archon-search/tests/test_store.py</t>
        </is>
      </c>
      <c r="C726" t="inlineStr">
        <is>
          <t>tests-04</t>
        </is>
      </c>
      <c r="D726" t="n">
        <v>3597</v>
      </c>
      <c r="E726" t="inlineStr">
        <is>
          <t>FP</t>
        </is>
      </c>
      <c r="F726" t="inlineStr">
        <is>
          <t>indexed_at is incidental required field value, not under test</t>
        </is>
      </c>
    </row>
    <row r="727">
      <c r="A727" t="inlineStr">
        <is>
          <t>archon-search</t>
        </is>
      </c>
      <c r="B727" t="inlineStr">
        <is>
          <t>/Users/manczg/Documents/development/archon-search/tests/test_store.py</t>
        </is>
      </c>
      <c r="C727" t="inlineStr">
        <is>
          <t>tests-04</t>
        </is>
      </c>
      <c r="D727" t="n">
        <v>3609</v>
      </c>
      <c r="E727" t="inlineStr">
        <is>
          <t>FP</t>
        </is>
      </c>
      <c r="F727" t="inlineStr">
        <is>
          <t>indexed_at is incidental required field value, not under test</t>
        </is>
      </c>
    </row>
    <row r="728">
      <c r="A728" t="inlineStr">
        <is>
          <t>archon-search</t>
        </is>
      </c>
      <c r="B728" t="inlineStr">
        <is>
          <t>/Users/manczg/Documents/development/archon-search/tests/test_store.py</t>
        </is>
      </c>
      <c r="C728" t="inlineStr">
        <is>
          <t>tests-04</t>
        </is>
      </c>
      <c r="D728" t="n">
        <v>3649</v>
      </c>
      <c r="E728" t="inlineStr">
        <is>
          <t>FP</t>
        </is>
      </c>
      <c r="F728" t="inlineStr">
        <is>
          <t>indexed_at is incidental required field value, not under test</t>
        </is>
      </c>
    </row>
    <row r="729">
      <c r="A729" t="inlineStr">
        <is>
          <t>archon-search</t>
        </is>
      </c>
      <c r="B729" t="inlineStr">
        <is>
          <t>/Users/manczg/Documents/development/archon-search/tests/test_store.py</t>
        </is>
      </c>
      <c r="C729" t="inlineStr">
        <is>
          <t>tests-04</t>
        </is>
      </c>
      <c r="D729" t="n">
        <v>3660</v>
      </c>
      <c r="E729" t="inlineStr">
        <is>
          <t>FP</t>
        </is>
      </c>
      <c r="F729" t="inlineStr">
        <is>
          <t>indexed_at is incidental required field value, not under test</t>
        </is>
      </c>
    </row>
    <row r="730">
      <c r="A730" t="inlineStr">
        <is>
          <t>archon-search</t>
        </is>
      </c>
      <c r="B730" t="inlineStr">
        <is>
          <t>/Users/manczg/Documents/development/archon-search/tests/test_store.py</t>
        </is>
      </c>
      <c r="C730" t="inlineStr">
        <is>
          <t>tests-04</t>
        </is>
      </c>
      <c r="D730" t="n">
        <v>3748</v>
      </c>
      <c r="E730" t="inlineStr">
        <is>
          <t>FP</t>
        </is>
      </c>
      <c r="F730" t="inlineStr">
        <is>
          <t>indexed_at is incidental required field value, not under test</t>
        </is>
      </c>
    </row>
    <row r="731">
      <c r="A731" t="inlineStr">
        <is>
          <t>archon-search</t>
        </is>
      </c>
      <c r="B731" t="inlineStr">
        <is>
          <t>/Users/manczg/Documents/development/archon-search/tests/test_store.py</t>
        </is>
      </c>
      <c r="C731" t="inlineStr">
        <is>
          <t>tests-04</t>
        </is>
      </c>
      <c r="D731" t="n">
        <v>3785</v>
      </c>
      <c r="E731" t="inlineStr">
        <is>
          <t>FP</t>
        </is>
      </c>
      <c r="F731" t="inlineStr">
        <is>
          <t>indexed_at is incidental required field value, not under test</t>
        </is>
      </c>
    </row>
    <row r="732">
      <c r="A732" t="inlineStr">
        <is>
          <t>archon-search</t>
        </is>
      </c>
      <c r="B732" t="inlineStr">
        <is>
          <t>/Users/manczg/Documents/development/archon-search/tests/test_store.py</t>
        </is>
      </c>
      <c r="C732" t="inlineStr">
        <is>
          <t>tests-04</t>
        </is>
      </c>
      <c r="D732" t="n">
        <v>3797</v>
      </c>
      <c r="E732" t="inlineStr">
        <is>
          <t>FP</t>
        </is>
      </c>
      <c r="F732" t="inlineStr">
        <is>
          <t>indexed_at is incidental required field value, not under test</t>
        </is>
      </c>
    </row>
    <row r="733">
      <c r="A733" t="inlineStr">
        <is>
          <t>archon-search</t>
        </is>
      </c>
      <c r="B733" t="inlineStr">
        <is>
          <t>/Users/manczg/Documents/development/archon-search/tests/test_store.py</t>
        </is>
      </c>
      <c r="C733" t="inlineStr">
        <is>
          <t>tests-04</t>
        </is>
      </c>
      <c r="D733" t="n">
        <v>4057</v>
      </c>
      <c r="E733" t="inlineStr">
        <is>
          <t>FP</t>
        </is>
      </c>
      <c r="F733" t="inlineStr">
        <is>
          <t>indexed_at is incidental required field value, not under test</t>
        </is>
      </c>
    </row>
    <row r="734">
      <c r="A734" t="inlineStr">
        <is>
          <t>archon-search</t>
        </is>
      </c>
      <c r="B734" t="inlineStr">
        <is>
          <t>/Users/manczg/Documents/development/archon-search/tests/test_store.py</t>
        </is>
      </c>
      <c r="C734" t="inlineStr">
        <is>
          <t>tests-04</t>
        </is>
      </c>
      <c r="D734" t="n">
        <v>4066</v>
      </c>
      <c r="E734" t="inlineStr">
        <is>
          <t>FP</t>
        </is>
      </c>
      <c r="F734" t="inlineStr">
        <is>
          <t>indexed_at is incidental required field value, not under test</t>
        </is>
      </c>
    </row>
    <row r="735">
      <c r="A735" t="inlineStr">
        <is>
          <t>archon-search</t>
        </is>
      </c>
      <c r="B735" t="inlineStr">
        <is>
          <t>/Users/manczg/Documents/development/archon-search/tests/test_store.py</t>
        </is>
      </c>
      <c r="C735" t="inlineStr">
        <is>
          <t>tests-04</t>
        </is>
      </c>
      <c r="D735" t="n">
        <v>4105</v>
      </c>
      <c r="E735" t="inlineStr">
        <is>
          <t>FP</t>
        </is>
      </c>
      <c r="F735" t="inlineStr">
        <is>
          <t>indexed_at is incidental required field value, not under test</t>
        </is>
      </c>
    </row>
    <row r="736">
      <c r="A736" t="inlineStr">
        <is>
          <t>archon-search</t>
        </is>
      </c>
      <c r="B736" t="inlineStr">
        <is>
          <t>/Users/manczg/Documents/development/archon-search/tests/test_store.py</t>
        </is>
      </c>
      <c r="C736" t="inlineStr">
        <is>
          <t>tests-04</t>
        </is>
      </c>
      <c r="D736" t="n">
        <v>4143</v>
      </c>
      <c r="E736" t="inlineStr">
        <is>
          <t>FP</t>
        </is>
      </c>
      <c r="F736" t="inlineStr">
        <is>
          <t>indexed_at is incidental required field value, not under test</t>
        </is>
      </c>
    </row>
    <row r="737">
      <c r="A737" t="inlineStr">
        <is>
          <t>archon-search</t>
        </is>
      </c>
      <c r="B737" t="inlineStr">
        <is>
          <t>/Users/manczg/Documents/development/archon-search/tests/test_store.py</t>
        </is>
      </c>
      <c r="C737" t="inlineStr">
        <is>
          <t>tests-04</t>
        </is>
      </c>
      <c r="D737" t="n">
        <v>5086</v>
      </c>
      <c r="E737" t="inlineStr">
        <is>
          <t>FP</t>
        </is>
      </c>
      <c r="F737" t="inlineStr">
        <is>
          <t>indexed_at is incidental required field value, not under test</t>
        </is>
      </c>
    </row>
    <row r="738">
      <c r="A738" t="inlineStr">
        <is>
          <t>archon-search</t>
        </is>
      </c>
      <c r="B738" t="inlineStr">
        <is>
          <t>/Users/manczg/Documents/development/archon-search/tests/test_store.py</t>
        </is>
      </c>
      <c r="C738" t="inlineStr">
        <is>
          <t>tests-04</t>
        </is>
      </c>
      <c r="D738" t="n">
        <v>5094</v>
      </c>
      <c r="E738" t="inlineStr">
        <is>
          <t>FP</t>
        </is>
      </c>
      <c r="F738" t="inlineStr">
        <is>
          <t>indexed_at is incidental required field value, not under test</t>
        </is>
      </c>
    </row>
    <row r="739">
      <c r="A739" t="inlineStr">
        <is>
          <t>archon-search</t>
        </is>
      </c>
      <c r="B739" t="inlineStr">
        <is>
          <t>/Users/manczg/Documents/development/archon-search/tests/test_store.py</t>
        </is>
      </c>
      <c r="C739" t="inlineStr">
        <is>
          <t>tests-04</t>
        </is>
      </c>
      <c r="D739" t="n">
        <v>5102</v>
      </c>
      <c r="E739" t="inlineStr">
        <is>
          <t>FP</t>
        </is>
      </c>
      <c r="F739" t="inlineStr">
        <is>
          <t>indexed_at is incidental required field value, not under test</t>
        </is>
      </c>
    </row>
    <row r="740">
      <c r="A740" t="inlineStr">
        <is>
          <t>archon-search</t>
        </is>
      </c>
      <c r="B740" t="inlineStr">
        <is>
          <t>/Users/manczg/Documents/development/archon-search/tests/test_store.py</t>
        </is>
      </c>
      <c r="C740" t="inlineStr">
        <is>
          <t>tests-04</t>
        </is>
      </c>
      <c r="D740" t="n">
        <v>6511</v>
      </c>
      <c r="E740" t="inlineStr">
        <is>
          <t>FP</t>
        </is>
      </c>
      <c r="F740" t="inlineStr">
        <is>
          <t>indexed_at is incidental required field value, not under test</t>
        </is>
      </c>
    </row>
    <row r="741">
      <c r="A741" t="inlineStr">
        <is>
          <t>archon-search</t>
        </is>
      </c>
      <c r="B741" t="inlineStr">
        <is>
          <t>/Users/manczg/Documents/development/archon-search/tests/test_store.py</t>
        </is>
      </c>
      <c r="C741" t="inlineStr">
        <is>
          <t>tests-05</t>
        </is>
      </c>
      <c r="D741" t="n">
        <v>576</v>
      </c>
      <c r="E741" t="inlineStr">
        <is>
          <t>TP</t>
        </is>
      </c>
      <c r="F741" t="inlineStr">
        <is>
          <t>store._db set directly on real store, bypassing public API</t>
        </is>
      </c>
    </row>
    <row r="742">
      <c r="A742" t="inlineStr">
        <is>
          <t>archon-search</t>
        </is>
      </c>
      <c r="B742" t="inlineStr">
        <is>
          <t>/Users/manczg/Documents/development/archon-search/tests/test_store.py</t>
        </is>
      </c>
      <c r="C742" t="inlineStr">
        <is>
          <t>tests-05</t>
        </is>
      </c>
      <c r="D742" t="n">
        <v>593</v>
      </c>
      <c r="E742" t="inlineStr">
        <is>
          <t>TP</t>
        </is>
      </c>
      <c r="F742" t="inlineStr">
        <is>
          <t>store._db set directly on real store, bypassing public API</t>
        </is>
      </c>
    </row>
    <row r="743">
      <c r="A743" t="inlineStr">
        <is>
          <t>archon-search</t>
        </is>
      </c>
      <c r="B743" t="inlineStr">
        <is>
          <t>/Users/manczg/Documents/development/archon-search/tests/test_store.py</t>
        </is>
      </c>
      <c r="C743" t="inlineStr">
        <is>
          <t>tests-05</t>
        </is>
      </c>
      <c r="D743" t="n">
        <v>636</v>
      </c>
      <c r="E743" t="inlineStr">
        <is>
          <t>TP</t>
        </is>
      </c>
      <c r="F743" t="inlineStr">
        <is>
          <t>store._db set directly on real store, bypassing public API</t>
        </is>
      </c>
    </row>
    <row r="744">
      <c r="A744" t="inlineStr">
        <is>
          <t>archon-search</t>
        </is>
      </c>
      <c r="B744" t="inlineStr">
        <is>
          <t>/Users/manczg/Documents/development/archon-search/tests/test_store.py</t>
        </is>
      </c>
      <c r="C744" t="inlineStr">
        <is>
          <t>tests-05</t>
        </is>
      </c>
      <c r="D744" t="n">
        <v>653</v>
      </c>
      <c r="E744" t="inlineStr">
        <is>
          <t>TP</t>
        </is>
      </c>
      <c r="F744" t="inlineStr">
        <is>
          <t>store._db set directly on real store, bypassing public API</t>
        </is>
      </c>
    </row>
    <row r="745">
      <c r="A745" t="inlineStr">
        <is>
          <t>archon-search</t>
        </is>
      </c>
      <c r="B745" t="inlineStr">
        <is>
          <t>/Users/manczg/Documents/development/archon-search/tests/test_store.py</t>
        </is>
      </c>
      <c r="C745" t="inlineStr">
        <is>
          <t>tests-05</t>
        </is>
      </c>
      <c r="D745" t="n">
        <v>672</v>
      </c>
      <c r="E745" t="inlineStr">
        <is>
          <t>TP</t>
        </is>
      </c>
      <c r="F745" t="inlineStr">
        <is>
          <t>store._db set directly on real store, bypassing public API</t>
        </is>
      </c>
    </row>
    <row r="746">
      <c r="A746" t="inlineStr">
        <is>
          <t>archon-search</t>
        </is>
      </c>
      <c r="B746" t="inlineStr">
        <is>
          <t>/Users/manczg/Documents/development/archon-search/tests/test_store.py</t>
        </is>
      </c>
      <c r="C746" t="inlineStr">
        <is>
          <t>tests-05</t>
        </is>
      </c>
      <c r="D746" t="n">
        <v>693</v>
      </c>
      <c r="E746" t="inlineStr">
        <is>
          <t>TP</t>
        </is>
      </c>
      <c r="F746" t="inlineStr">
        <is>
          <t>store._db set directly on real store, bypassing public API</t>
        </is>
      </c>
    </row>
    <row r="747">
      <c r="A747" t="inlineStr">
        <is>
          <t>archon-search</t>
        </is>
      </c>
      <c r="B747" t="inlineStr">
        <is>
          <t>/Users/manczg/Documents/development/archon-search/tests/test_store.py</t>
        </is>
      </c>
      <c r="C747" t="inlineStr">
        <is>
          <t>tests-05</t>
        </is>
      </c>
      <c r="D747" t="n">
        <v>709</v>
      </c>
      <c r="E747" t="inlineStr">
        <is>
          <t>TP</t>
        </is>
      </c>
      <c r="F747" t="inlineStr">
        <is>
          <t>store._db set directly on real store, bypassing public API</t>
        </is>
      </c>
    </row>
    <row r="748">
      <c r="A748" t="inlineStr">
        <is>
          <t>archon-search</t>
        </is>
      </c>
      <c r="B748" t="inlineStr">
        <is>
          <t>/Users/manczg/Documents/development/archon-search/tests/test_store.py</t>
        </is>
      </c>
      <c r="C748" t="inlineStr">
        <is>
          <t>tests-05</t>
        </is>
      </c>
      <c r="D748" t="n">
        <v>722</v>
      </c>
      <c r="E748" t="inlineStr">
        <is>
          <t>TP</t>
        </is>
      </c>
      <c r="F748" t="inlineStr">
        <is>
          <t>store._db set directly on real store, bypassing public API</t>
        </is>
      </c>
    </row>
    <row r="749">
      <c r="A749" t="inlineStr">
        <is>
          <t>archon-search</t>
        </is>
      </c>
      <c r="B749" t="inlineStr">
        <is>
          <t>/Users/manczg/Documents/development/archon-search/tests/test_store.py</t>
        </is>
      </c>
      <c r="C749" t="inlineStr">
        <is>
          <t>tests-05</t>
        </is>
      </c>
      <c r="D749" t="n">
        <v>820</v>
      </c>
      <c r="E749" t="inlineStr">
        <is>
          <t>TP</t>
        </is>
      </c>
      <c r="F749" t="inlineStr">
        <is>
          <t>SearchStore._meta_schema() private staticmethod called directly</t>
        </is>
      </c>
    </row>
    <row r="750">
      <c r="A750" t="inlineStr">
        <is>
          <t>archon-search</t>
        </is>
      </c>
      <c r="B750" t="inlineStr">
        <is>
          <t>/Users/manczg/Documents/development/archon-search/tests/test_store.py</t>
        </is>
      </c>
      <c r="C750" t="inlineStr">
        <is>
          <t>tests-05</t>
        </is>
      </c>
      <c r="D750" t="n">
        <v>839</v>
      </c>
      <c r="E750" t="inlineStr">
        <is>
          <t>TP</t>
        </is>
      </c>
      <c r="F750" t="inlineStr">
        <is>
          <t>SearchStore._row_to_meta private method called directly</t>
        </is>
      </c>
    </row>
    <row r="751">
      <c r="A751" t="inlineStr">
        <is>
          <t>archon-search</t>
        </is>
      </c>
      <c r="B751" t="inlineStr">
        <is>
          <t>/Users/manczg/Documents/development/archon-search/tests/test_store.py</t>
        </is>
      </c>
      <c r="C751" t="inlineStr">
        <is>
          <t>tests-05</t>
        </is>
      </c>
      <c r="D751" t="n">
        <v>856</v>
      </c>
      <c r="E751" t="inlineStr">
        <is>
          <t>TP</t>
        </is>
      </c>
      <c r="F751" t="inlineStr">
        <is>
          <t>SearchStore._row_to_meta private method called directly</t>
        </is>
      </c>
    </row>
    <row r="752">
      <c r="A752" t="inlineStr">
        <is>
          <t>archon-search</t>
        </is>
      </c>
      <c r="B752" t="inlineStr">
        <is>
          <t>/Users/manczg/Documents/development/archon-search/tests/test_store.py</t>
        </is>
      </c>
      <c r="C752" t="inlineStr">
        <is>
          <t>tests-05</t>
        </is>
      </c>
      <c r="D752" t="n">
        <v>873</v>
      </c>
      <c r="E752" t="inlineStr">
        <is>
          <t>TP</t>
        </is>
      </c>
      <c r="F752" t="inlineStr">
        <is>
          <t>SearchStore._row_to_meta private method called directly</t>
        </is>
      </c>
    </row>
    <row r="753">
      <c r="A753" t="inlineStr">
        <is>
          <t>archon-search</t>
        </is>
      </c>
      <c r="B753" t="inlineStr">
        <is>
          <t>/Users/manczg/Documents/development/archon-search/tests/test_store.py</t>
        </is>
      </c>
      <c r="C753" t="inlineStr">
        <is>
          <t>tests-05</t>
        </is>
      </c>
      <c r="D753" t="n">
        <v>903</v>
      </c>
      <c r="E753" t="inlineStr">
        <is>
          <t>TP</t>
        </is>
      </c>
      <c r="F753" t="inlineStr">
        <is>
          <t>connected_store._require_connected private method called directly</t>
        </is>
      </c>
    </row>
    <row r="754">
      <c r="A754" t="inlineStr">
        <is>
          <t>archon-search</t>
        </is>
      </c>
      <c r="B754" t="inlineStr">
        <is>
          <t>/Users/manczg/Documents/development/archon-search/tests/test_store.py</t>
        </is>
      </c>
      <c r="C754" t="inlineStr">
        <is>
          <t>tests-05</t>
        </is>
      </c>
      <c r="D754" t="n">
        <v>989</v>
      </c>
      <c r="E754" t="inlineStr">
        <is>
          <t>TP</t>
        </is>
      </c>
      <c r="F754" t="inlineStr">
        <is>
          <t>store._require_connected private method called directly</t>
        </is>
      </c>
    </row>
    <row r="755">
      <c r="A755" t="inlineStr">
        <is>
          <t>archon-search</t>
        </is>
      </c>
      <c r="B755" t="inlineStr">
        <is>
          <t>/Users/manczg/Documents/development/archon-search/tests/test_store.py</t>
        </is>
      </c>
      <c r="C755" t="inlineStr">
        <is>
          <t>tests-05</t>
        </is>
      </c>
      <c r="D755" t="n">
        <v>1016</v>
      </c>
      <c r="E755" t="inlineStr">
        <is>
          <t>TP</t>
        </is>
      </c>
      <c r="F755" t="inlineStr">
        <is>
          <t>store._require_connected private method called directly</t>
        </is>
      </c>
    </row>
    <row r="756">
      <c r="A756" t="inlineStr">
        <is>
          <t>archon-search</t>
        </is>
      </c>
      <c r="B756" t="inlineStr">
        <is>
          <t>/Users/manczg/Documents/development/archon-search/tests/test_store.py</t>
        </is>
      </c>
      <c r="C756" t="inlineStr">
        <is>
          <t>tests-05</t>
        </is>
      </c>
      <c r="D756" t="n">
        <v>1055</v>
      </c>
      <c r="E756" t="inlineStr">
        <is>
          <t>TP</t>
        </is>
      </c>
      <c r="F756" t="inlineStr">
        <is>
          <t>store._require_connected private method called directly</t>
        </is>
      </c>
    </row>
    <row r="757">
      <c r="A757" t="inlineStr">
        <is>
          <t>archon-search</t>
        </is>
      </c>
      <c r="B757" t="inlineStr">
        <is>
          <t>/Users/manczg/Documents/development/archon-search/tests/test_store.py</t>
        </is>
      </c>
      <c r="C757" t="inlineStr">
        <is>
          <t>tests-05</t>
        </is>
      </c>
      <c r="D757" t="n">
        <v>1082</v>
      </c>
      <c r="E757" t="inlineStr">
        <is>
          <t>TP</t>
        </is>
      </c>
      <c r="F757" t="inlineStr">
        <is>
          <t>store._require_connected private method called directly</t>
        </is>
      </c>
    </row>
    <row r="758">
      <c r="A758" t="inlineStr">
        <is>
          <t>archon-search</t>
        </is>
      </c>
      <c r="B758" t="inlineStr">
        <is>
          <t>/Users/manczg/Documents/development/archon-search/tests/test_store.py</t>
        </is>
      </c>
      <c r="C758" t="inlineStr">
        <is>
          <t>tests-05</t>
        </is>
      </c>
      <c r="D758" t="n">
        <v>1123</v>
      </c>
      <c r="E758" t="inlineStr">
        <is>
          <t>TP</t>
        </is>
      </c>
      <c r="F758" t="inlineStr">
        <is>
          <t>store._require_connected private method called directly</t>
        </is>
      </c>
    </row>
    <row r="759">
      <c r="A759" t="inlineStr">
        <is>
          <t>archon-search</t>
        </is>
      </c>
      <c r="B759" t="inlineStr">
        <is>
          <t>/Users/manczg/Documents/development/archon-search/tests/test_store.py</t>
        </is>
      </c>
      <c r="C759" t="inlineStr">
        <is>
          <t>tests-05</t>
        </is>
      </c>
      <c r="D759" t="n">
        <v>1141</v>
      </c>
      <c r="E759" t="inlineStr">
        <is>
          <t>TP</t>
        </is>
      </c>
      <c r="F759" t="inlineStr">
        <is>
          <t>store._require_connected private method called directly</t>
        </is>
      </c>
    </row>
    <row r="760">
      <c r="A760" t="inlineStr">
        <is>
          <t>archon-search</t>
        </is>
      </c>
      <c r="B760" t="inlineStr">
        <is>
          <t>/Users/manczg/Documents/development/archon-search/tests/test_store.py</t>
        </is>
      </c>
      <c r="C760" t="inlineStr">
        <is>
          <t>tests-05</t>
        </is>
      </c>
      <c r="D760" t="n">
        <v>1189</v>
      </c>
      <c r="E760" t="inlineStr">
        <is>
          <t>TP</t>
        </is>
      </c>
      <c r="F760" t="inlineStr">
        <is>
          <t>store._require_connected private method called directly</t>
        </is>
      </c>
    </row>
    <row r="761">
      <c r="A761" t="inlineStr">
        <is>
          <t>archon-search</t>
        </is>
      </c>
      <c r="B761" t="inlineStr">
        <is>
          <t>/Users/manczg/Documents/development/archon-search/tests/test_store.py</t>
        </is>
      </c>
      <c r="C761" t="inlineStr">
        <is>
          <t>tests-05</t>
        </is>
      </c>
      <c r="D761" t="n">
        <v>1207</v>
      </c>
      <c r="E761" t="inlineStr">
        <is>
          <t>TP</t>
        </is>
      </c>
      <c r="F761" t="inlineStr">
        <is>
          <t>store._require_connected private method called directly</t>
        </is>
      </c>
    </row>
    <row r="762">
      <c r="A762" t="inlineStr">
        <is>
          <t>archon-search</t>
        </is>
      </c>
      <c r="B762" t="inlineStr">
        <is>
          <t>/Users/manczg/Documents/development/archon-search/tests/test_store.py</t>
        </is>
      </c>
      <c r="C762" t="inlineStr">
        <is>
          <t>tests-05</t>
        </is>
      </c>
      <c r="D762" t="n">
        <v>1237</v>
      </c>
      <c r="E762" t="inlineStr">
        <is>
          <t>TP</t>
        </is>
      </c>
      <c r="F762" t="inlineStr">
        <is>
          <t>store._require_connected private method called directly</t>
        </is>
      </c>
    </row>
    <row r="763">
      <c r="A763" t="inlineStr">
        <is>
          <t>archon-search</t>
        </is>
      </c>
      <c r="B763" t="inlineStr">
        <is>
          <t>/Users/manczg/Documents/development/archon-search/tests/test_store.py</t>
        </is>
      </c>
      <c r="C763" t="inlineStr">
        <is>
          <t>tests-05</t>
        </is>
      </c>
      <c r="D763" t="n">
        <v>1281</v>
      </c>
      <c r="E763" t="inlineStr">
        <is>
          <t>TP</t>
        </is>
      </c>
      <c r="F763" t="inlineStr">
        <is>
          <t>store._require_connected private method called directly</t>
        </is>
      </c>
    </row>
    <row r="764">
      <c r="A764" t="inlineStr">
        <is>
          <t>archon-search</t>
        </is>
      </c>
      <c r="B764" t="inlineStr">
        <is>
          <t>/Users/manczg/Documents/development/archon-search/tests/test_store.py</t>
        </is>
      </c>
      <c r="C764" t="inlineStr">
        <is>
          <t>tests-05</t>
        </is>
      </c>
      <c r="D764" t="n">
        <v>1304</v>
      </c>
      <c r="E764" t="inlineStr">
        <is>
          <t>TP</t>
        </is>
      </c>
      <c r="F764" t="inlineStr">
        <is>
          <t>store._migrate_schema_version private method called directly</t>
        </is>
      </c>
    </row>
    <row r="765">
      <c r="A765" t="inlineStr">
        <is>
          <t>archon-search</t>
        </is>
      </c>
      <c r="B765" t="inlineStr">
        <is>
          <t>/Users/manczg/Documents/development/archon-search/tests/test_store.py</t>
        </is>
      </c>
      <c r="C765" t="inlineStr">
        <is>
          <t>tests-05</t>
        </is>
      </c>
      <c r="D765" t="n">
        <v>1412</v>
      </c>
      <c r="E765" t="inlineStr">
        <is>
          <t>TP</t>
        </is>
      </c>
      <c r="F765" t="inlineStr">
        <is>
          <t>store._require_connected private method called directly</t>
        </is>
      </c>
    </row>
    <row r="766">
      <c r="A766" t="inlineStr">
        <is>
          <t>archon-search</t>
        </is>
      </c>
      <c r="B766" t="inlineStr">
        <is>
          <t>/Users/manczg/Documents/development/archon-search/tests/test_store.py</t>
        </is>
      </c>
      <c r="C766" t="inlineStr">
        <is>
          <t>tests-05</t>
        </is>
      </c>
      <c r="D766" t="n">
        <v>1449</v>
      </c>
      <c r="E766" t="inlineStr">
        <is>
          <t>TP</t>
        </is>
      </c>
      <c r="F766" t="inlineStr">
        <is>
          <t>store._require_connected private method called directly</t>
        </is>
      </c>
    </row>
    <row r="767">
      <c r="A767" t="inlineStr">
        <is>
          <t>archon-search</t>
        </is>
      </c>
      <c r="B767" t="inlineStr">
        <is>
          <t>/Users/manczg/Documents/development/archon-search/tests/test_store.py</t>
        </is>
      </c>
      <c r="C767" t="inlineStr">
        <is>
          <t>tests-05</t>
        </is>
      </c>
      <c r="D767" t="n">
        <v>1492</v>
      </c>
      <c r="E767" t="inlineStr">
        <is>
          <t>TP</t>
        </is>
      </c>
      <c r="F767" t="inlineStr">
        <is>
          <t>store._require_connected private method called directly</t>
        </is>
      </c>
    </row>
    <row r="768">
      <c r="A768" t="inlineStr">
        <is>
          <t>archon-search</t>
        </is>
      </c>
      <c r="B768" t="inlineStr">
        <is>
          <t>/Users/manczg/Documents/development/archon-search/tests/test_store.py</t>
        </is>
      </c>
      <c r="C768" t="inlineStr">
        <is>
          <t>tests-05</t>
        </is>
      </c>
      <c r="D768" t="n">
        <v>1531</v>
      </c>
      <c r="E768" t="inlineStr">
        <is>
          <t>TP</t>
        </is>
      </c>
      <c r="F768" t="inlineStr">
        <is>
          <t>store._require_connected private method called directly</t>
        </is>
      </c>
    </row>
    <row r="769">
      <c r="A769" t="inlineStr">
        <is>
          <t>archon-search</t>
        </is>
      </c>
      <c r="B769" t="inlineStr">
        <is>
          <t>/Users/manczg/Documents/development/archon-search/tests/test_store.py</t>
        </is>
      </c>
      <c r="C769" t="inlineStr">
        <is>
          <t>tests-05</t>
        </is>
      </c>
      <c r="D769" t="n">
        <v>1533</v>
      </c>
      <c r="E769" t="inlineStr">
        <is>
          <t>TP</t>
        </is>
      </c>
      <c r="F769" t="inlineStr">
        <is>
          <t>store._meta_schema private method called directly</t>
        </is>
      </c>
    </row>
    <row r="770">
      <c r="A770" t="inlineStr">
        <is>
          <t>archon-search</t>
        </is>
      </c>
      <c r="B770" t="inlineStr">
        <is>
          <t>/Users/manczg/Documents/development/archon-search/tests/test_store.py</t>
        </is>
      </c>
      <c r="C770" t="inlineStr">
        <is>
          <t>tests-05</t>
        </is>
      </c>
      <c r="D770" t="n">
        <v>1553</v>
      </c>
      <c r="E770" t="inlineStr">
        <is>
          <t>TP</t>
        </is>
      </c>
      <c r="F770" t="inlineStr">
        <is>
          <t>store._require_connected private method called directly</t>
        </is>
      </c>
    </row>
    <row r="771">
      <c r="A771" t="inlineStr">
        <is>
          <t>archon-search</t>
        </is>
      </c>
      <c r="B771" t="inlineStr">
        <is>
          <t>/Users/manczg/Documents/development/archon-search/tests/test_store.py</t>
        </is>
      </c>
      <c r="C771" t="inlineStr">
        <is>
          <t>tests-05</t>
        </is>
      </c>
      <c r="D771" t="n">
        <v>1599</v>
      </c>
      <c r="E771" t="inlineStr">
        <is>
          <t>TP</t>
        </is>
      </c>
      <c r="F771" t="inlineStr">
        <is>
          <t>store._require_connected private method called directly</t>
        </is>
      </c>
    </row>
    <row r="772">
      <c r="A772" t="inlineStr">
        <is>
          <t>archon-search</t>
        </is>
      </c>
      <c r="B772" t="inlineStr">
        <is>
          <t>/Users/manczg/Documents/development/archon-search/tests/test_store.py</t>
        </is>
      </c>
      <c r="C772" t="inlineStr">
        <is>
          <t>tests-05</t>
        </is>
      </c>
      <c r="D772" t="n">
        <v>1636</v>
      </c>
      <c r="E772" t="inlineStr">
        <is>
          <t>TP</t>
        </is>
      </c>
      <c r="F772" t="inlineStr">
        <is>
          <t>store._require_connected private method called directly</t>
        </is>
      </c>
    </row>
    <row r="773">
      <c r="A773" t="inlineStr">
        <is>
          <t>archon-search</t>
        </is>
      </c>
      <c r="B773" t="inlineStr">
        <is>
          <t>/Users/manczg/Documents/development/archon-search/tests/test_store.py</t>
        </is>
      </c>
      <c r="C773" t="inlineStr">
        <is>
          <t>tests-05</t>
        </is>
      </c>
      <c r="D773" t="n">
        <v>1832</v>
      </c>
      <c r="E773" t="inlineStr">
        <is>
          <t>TP</t>
        </is>
      </c>
      <c r="F773" t="inlineStr">
        <is>
          <t>connected_store._require_connected private method called directly</t>
        </is>
      </c>
    </row>
    <row r="774">
      <c r="A774" t="inlineStr">
        <is>
          <t>archon-search</t>
        </is>
      </c>
      <c r="B774" t="inlineStr">
        <is>
          <t>/Users/manczg/Documents/development/archon-search/tests/test_store.py</t>
        </is>
      </c>
      <c r="C774" t="inlineStr">
        <is>
          <t>tests-05</t>
        </is>
      </c>
      <c r="D774" t="n">
        <v>1922</v>
      </c>
      <c r="E774" t="inlineStr">
        <is>
          <t>TP</t>
        </is>
      </c>
      <c r="F774" t="inlineStr">
        <is>
          <t>connected_store._require_connected private method called directly</t>
        </is>
      </c>
    </row>
    <row r="775">
      <c r="A775" t="inlineStr">
        <is>
          <t>archon-search</t>
        </is>
      </c>
      <c r="B775" t="inlineStr">
        <is>
          <t>/Users/manczg/Documents/development/archon-search/tests/test_store.py</t>
        </is>
      </c>
      <c r="C775" t="inlineStr">
        <is>
          <t>tests-05</t>
        </is>
      </c>
      <c r="D775" t="n">
        <v>2088</v>
      </c>
      <c r="E775" t="inlineStr">
        <is>
          <t>TP</t>
        </is>
      </c>
      <c r="F775" t="inlineStr">
        <is>
          <t>assert on private attribute store._db_path</t>
        </is>
      </c>
    </row>
    <row r="776">
      <c r="A776" t="inlineStr">
        <is>
          <t>archon-search</t>
        </is>
      </c>
      <c r="B776" t="inlineStr">
        <is>
          <t>/Users/manczg/Documents/development/archon-search/tests/test_store.py</t>
        </is>
      </c>
      <c r="C776" t="inlineStr">
        <is>
          <t>tests-05</t>
        </is>
      </c>
      <c r="D776" t="n">
        <v>2094</v>
      </c>
      <c r="E776" t="inlineStr">
        <is>
          <t>TP</t>
        </is>
      </c>
      <c r="F776" t="inlineStr">
        <is>
          <t>assert on private attribute store._db_path</t>
        </is>
      </c>
    </row>
    <row r="777">
      <c r="A777" t="inlineStr">
        <is>
          <t>archon-search</t>
        </is>
      </c>
      <c r="B777" t="inlineStr">
        <is>
          <t>/Users/manczg/Documents/development/archon-search/tests/test_store.py</t>
        </is>
      </c>
      <c r="C777" t="inlineStr">
        <is>
          <t>tests-05</t>
        </is>
      </c>
      <c r="D777" t="n">
        <v>2100</v>
      </c>
      <c r="E777" t="inlineStr">
        <is>
          <t>TP</t>
        </is>
      </c>
      <c r="F777" t="inlineStr">
        <is>
          <t>assert on private attribute store._db_path</t>
        </is>
      </c>
    </row>
    <row r="778">
      <c r="A778" t="inlineStr">
        <is>
          <t>archon-search</t>
        </is>
      </c>
      <c r="B778" t="inlineStr">
        <is>
          <t>/Users/manczg/Documents/development/archon-search/tests/test_store.py</t>
        </is>
      </c>
      <c r="C778" t="inlineStr">
        <is>
          <t>tests-05</t>
        </is>
      </c>
      <c r="D778" t="n">
        <v>2158</v>
      </c>
      <c r="E778" t="inlineStr">
        <is>
          <t>TP</t>
        </is>
      </c>
      <c r="F778" t="inlineStr">
        <is>
          <t>SearchStore._validate_collection private method called directly</t>
        </is>
      </c>
    </row>
    <row r="779">
      <c r="A779" t="inlineStr">
        <is>
          <t>archon-search</t>
        </is>
      </c>
      <c r="B779" t="inlineStr">
        <is>
          <t>/Users/manczg/Documents/development/archon-search/tests/test_store.py</t>
        </is>
      </c>
      <c r="C779" t="inlineStr">
        <is>
          <t>tests-05</t>
        </is>
      </c>
      <c r="D779" t="n">
        <v>2241</v>
      </c>
      <c r="E779" t="inlineStr">
        <is>
          <t>TP</t>
        </is>
      </c>
      <c r="F779" t="inlineStr">
        <is>
          <t>store._db set directly on real store</t>
        </is>
      </c>
    </row>
    <row r="780">
      <c r="A780" t="inlineStr">
        <is>
          <t>archon-search</t>
        </is>
      </c>
      <c r="B780" t="inlineStr">
        <is>
          <t>/Users/manczg/Documents/development/archon-search/tests/test_store.py</t>
        </is>
      </c>
      <c r="C780" t="inlineStr">
        <is>
          <t>tests-05</t>
        </is>
      </c>
      <c r="D780" t="n">
        <v>2263</v>
      </c>
      <c r="E780" t="inlineStr">
        <is>
          <t>TP</t>
        </is>
      </c>
      <c r="F780" t="inlineStr">
        <is>
          <t>store._row_to_meta private method called directly</t>
        </is>
      </c>
    </row>
    <row r="781">
      <c r="A781" t="inlineStr">
        <is>
          <t>archon-search</t>
        </is>
      </c>
      <c r="B781" t="inlineStr">
        <is>
          <t>/Users/manczg/Documents/development/archon-search/tests/test_store.py</t>
        </is>
      </c>
      <c r="C781" t="inlineStr">
        <is>
          <t>tests-05</t>
        </is>
      </c>
      <c r="D781" t="n">
        <v>2275</v>
      </c>
      <c r="E781" t="inlineStr">
        <is>
          <t>TP</t>
        </is>
      </c>
      <c r="F781" t="inlineStr">
        <is>
          <t>store._db set directly on real store</t>
        </is>
      </c>
    </row>
    <row r="782">
      <c r="A782" t="inlineStr">
        <is>
          <t>archon-search</t>
        </is>
      </c>
      <c r="B782" t="inlineStr">
        <is>
          <t>/Users/manczg/Documents/development/archon-search/tests/test_store.py</t>
        </is>
      </c>
      <c r="C782" t="inlineStr">
        <is>
          <t>tests-05</t>
        </is>
      </c>
      <c r="D782" t="n">
        <v>2340</v>
      </c>
      <c r="E782" t="inlineStr">
        <is>
          <t>TP</t>
        </is>
      </c>
      <c r="F782" t="inlineStr">
        <is>
          <t>store._db set directly on real store</t>
        </is>
      </c>
    </row>
    <row r="783">
      <c r="A783" t="inlineStr">
        <is>
          <t>archon-search</t>
        </is>
      </c>
      <c r="B783" t="inlineStr">
        <is>
          <t>/Users/manczg/Documents/development/archon-search/tests/test_store.py</t>
        </is>
      </c>
      <c r="C783" t="inlineStr">
        <is>
          <t>tests-05</t>
        </is>
      </c>
      <c r="D783" t="n">
        <v>2401</v>
      </c>
      <c r="E783" t="inlineStr">
        <is>
          <t>TP</t>
        </is>
      </c>
      <c r="F783" t="inlineStr">
        <is>
          <t>store._db set directly on real store</t>
        </is>
      </c>
    </row>
    <row r="784">
      <c r="A784" t="inlineStr">
        <is>
          <t>archon-search</t>
        </is>
      </c>
      <c r="B784" t="inlineStr">
        <is>
          <t>/Users/manczg/Documents/development/archon-search/tests/test_store.py</t>
        </is>
      </c>
      <c r="C784" t="inlineStr">
        <is>
          <t>tests-05</t>
        </is>
      </c>
      <c r="D784" t="n">
        <v>2460</v>
      </c>
      <c r="E784" t="inlineStr">
        <is>
          <t>TP</t>
        </is>
      </c>
      <c r="F784" t="inlineStr">
        <is>
          <t>store._db set directly on real store</t>
        </is>
      </c>
    </row>
    <row r="785">
      <c r="A785" t="inlineStr">
        <is>
          <t>archon-search</t>
        </is>
      </c>
      <c r="B785" t="inlineStr">
        <is>
          <t>/Users/manczg/Documents/development/archon-search/tests/test_store.py</t>
        </is>
      </c>
      <c r="C785" t="inlineStr">
        <is>
          <t>tests-05</t>
        </is>
      </c>
      <c r="D785" t="n">
        <v>2516</v>
      </c>
      <c r="E785" t="inlineStr">
        <is>
          <t>TP</t>
        </is>
      </c>
      <c r="F785" t="inlineStr">
        <is>
          <t>store._db set directly on real store</t>
        </is>
      </c>
    </row>
    <row r="786">
      <c r="A786" t="inlineStr">
        <is>
          <t>archon-search</t>
        </is>
      </c>
      <c r="B786" t="inlineStr">
        <is>
          <t>/Users/manczg/Documents/development/archon-search/tests/test_store.py</t>
        </is>
      </c>
      <c r="C786" t="inlineStr">
        <is>
          <t>tests-05</t>
        </is>
      </c>
      <c r="D786" t="n">
        <v>2559</v>
      </c>
      <c r="E786" t="inlineStr">
        <is>
          <t>TP</t>
        </is>
      </c>
      <c r="F786" t="inlineStr">
        <is>
          <t>store._db set directly on real store</t>
        </is>
      </c>
    </row>
    <row r="787">
      <c r="A787" t="inlineStr">
        <is>
          <t>archon-search</t>
        </is>
      </c>
      <c r="B787" t="inlineStr">
        <is>
          <t>/Users/manczg/Documents/development/archon-search/tests/test_store.py</t>
        </is>
      </c>
      <c r="C787" t="inlineStr">
        <is>
          <t>tests-05</t>
        </is>
      </c>
      <c r="D787" t="n">
        <v>2612</v>
      </c>
      <c r="E787" t="inlineStr">
        <is>
          <t>TP</t>
        </is>
      </c>
      <c r="F787" t="inlineStr">
        <is>
          <t>store._db set directly on real store</t>
        </is>
      </c>
    </row>
    <row r="788">
      <c r="A788" t="inlineStr">
        <is>
          <t>archon-search</t>
        </is>
      </c>
      <c r="B788" t="inlineStr">
        <is>
          <t>/Users/manczg/Documents/development/archon-search/tests/test_store.py</t>
        </is>
      </c>
      <c r="C788" t="inlineStr">
        <is>
          <t>tests-05</t>
        </is>
      </c>
      <c r="D788" t="n">
        <v>2662</v>
      </c>
      <c r="E788" t="inlineStr">
        <is>
          <t>TP</t>
        </is>
      </c>
      <c r="F788" t="inlineStr">
        <is>
          <t>store._db set directly on real store</t>
        </is>
      </c>
    </row>
    <row r="789">
      <c r="A789" t="inlineStr">
        <is>
          <t>archon-search</t>
        </is>
      </c>
      <c r="B789" t="inlineStr">
        <is>
          <t>/Users/manczg/Documents/development/archon-search/tests/test_store.py</t>
        </is>
      </c>
      <c r="C789" t="inlineStr">
        <is>
          <t>tests-05</t>
        </is>
      </c>
      <c r="D789" t="n">
        <v>2828</v>
      </c>
      <c r="E789" t="inlineStr">
        <is>
          <t>TP</t>
        </is>
      </c>
      <c r="F789" t="inlineStr">
        <is>
          <t>store._require_connected private method called directly</t>
        </is>
      </c>
    </row>
    <row r="790">
      <c r="A790" t="inlineStr">
        <is>
          <t>archon-search</t>
        </is>
      </c>
      <c r="B790" t="inlineStr">
        <is>
          <t>/Users/manczg/Documents/development/archon-search/tests/test_store.py</t>
        </is>
      </c>
      <c r="C790" t="inlineStr">
        <is>
          <t>tests-05</t>
        </is>
      </c>
      <c r="D790" t="n">
        <v>3035</v>
      </c>
      <c r="E790" t="inlineStr">
        <is>
          <t>TP</t>
        </is>
      </c>
      <c r="F790" t="inlineStr">
        <is>
          <t>connected_store._require_connected private method called directly</t>
        </is>
      </c>
    </row>
    <row r="791">
      <c r="A791" t="inlineStr">
        <is>
          <t>archon-search</t>
        </is>
      </c>
      <c r="B791" t="inlineStr">
        <is>
          <t>/Users/manczg/Documents/development/archon-search/tests/test_store.py</t>
        </is>
      </c>
      <c r="C791" t="inlineStr">
        <is>
          <t>tests-05</t>
        </is>
      </c>
      <c r="D791" t="n">
        <v>3089</v>
      </c>
      <c r="E791" t="inlineStr">
        <is>
          <t>TP</t>
        </is>
      </c>
      <c r="F791" t="inlineStr">
        <is>
          <t>store._db set directly on real store</t>
        </is>
      </c>
    </row>
    <row r="792">
      <c r="A792" t="inlineStr">
        <is>
          <t>archon-search</t>
        </is>
      </c>
      <c r="B792" t="inlineStr">
        <is>
          <t>/Users/manczg/Documents/development/archon-search/tests/test_store.py</t>
        </is>
      </c>
      <c r="C792" t="inlineStr">
        <is>
          <t>tests-05</t>
        </is>
      </c>
      <c r="D792" t="n">
        <v>3134</v>
      </c>
      <c r="E792" t="inlineStr">
        <is>
          <t>TP</t>
        </is>
      </c>
      <c r="F792" t="inlineStr">
        <is>
          <t>store._db set directly on real store</t>
        </is>
      </c>
    </row>
    <row r="793">
      <c r="A793" t="inlineStr">
        <is>
          <t>archon-search</t>
        </is>
      </c>
      <c r="B793" t="inlineStr">
        <is>
          <t>/Users/manczg/Documents/development/archon-search/tests/test_store.py</t>
        </is>
      </c>
      <c r="C793" t="inlineStr">
        <is>
          <t>tests-05</t>
        </is>
      </c>
      <c r="D793" t="n">
        <v>3177</v>
      </c>
      <c r="E793" t="inlineStr">
        <is>
          <t>TP</t>
        </is>
      </c>
      <c r="F793" t="inlineStr">
        <is>
          <t>store._db set directly on real store</t>
        </is>
      </c>
    </row>
    <row r="794">
      <c r="A794" t="inlineStr">
        <is>
          <t>archon-search</t>
        </is>
      </c>
      <c r="B794" t="inlineStr">
        <is>
          <t>/Users/manczg/Documents/development/archon-search/tests/test_store.py</t>
        </is>
      </c>
      <c r="C794" t="inlineStr">
        <is>
          <t>tests-05</t>
        </is>
      </c>
      <c r="D794" t="n">
        <v>3214</v>
      </c>
      <c r="E794" t="inlineStr">
        <is>
          <t>TP</t>
        </is>
      </c>
      <c r="F794" t="inlineStr">
        <is>
          <t>store._db set directly on real store</t>
        </is>
      </c>
    </row>
    <row r="795">
      <c r="A795" t="inlineStr">
        <is>
          <t>archon-search</t>
        </is>
      </c>
      <c r="B795" t="inlineStr">
        <is>
          <t>/Users/manczg/Documents/development/archon-search/tests/test_store.py</t>
        </is>
      </c>
      <c r="C795" t="inlineStr">
        <is>
          <t>tests-05</t>
        </is>
      </c>
      <c r="D795" t="n">
        <v>3251</v>
      </c>
      <c r="E795" t="inlineStr">
        <is>
          <t>TP</t>
        </is>
      </c>
      <c r="F795" t="inlineStr">
        <is>
          <t>store._db set directly on real store</t>
        </is>
      </c>
    </row>
    <row r="796">
      <c r="A796" t="inlineStr">
        <is>
          <t>archon-search</t>
        </is>
      </c>
      <c r="B796" t="inlineStr">
        <is>
          <t>/Users/manczg/Documents/development/archon-search/tests/test_store.py</t>
        </is>
      </c>
      <c r="C796" t="inlineStr">
        <is>
          <t>tests-05</t>
        </is>
      </c>
      <c r="D796" t="n">
        <v>3321</v>
      </c>
      <c r="E796" t="inlineStr">
        <is>
          <t>TP</t>
        </is>
      </c>
      <c r="F796" t="inlineStr">
        <is>
          <t>store._db set directly on real store</t>
        </is>
      </c>
    </row>
    <row r="797">
      <c r="A797" t="inlineStr">
        <is>
          <t>archon-search</t>
        </is>
      </c>
      <c r="B797" t="inlineStr">
        <is>
          <t>/Users/manczg/Documents/development/archon-search/tests/test_store.py</t>
        </is>
      </c>
      <c r="C797" t="inlineStr">
        <is>
          <t>tests-05</t>
        </is>
      </c>
      <c r="D797" t="n">
        <v>3369</v>
      </c>
      <c r="E797" t="inlineStr">
        <is>
          <t>TP</t>
        </is>
      </c>
      <c r="F797" t="inlineStr">
        <is>
          <t>store._db set directly on real store</t>
        </is>
      </c>
    </row>
    <row r="798">
      <c r="A798" t="inlineStr">
        <is>
          <t>archon-search</t>
        </is>
      </c>
      <c r="B798" t="inlineStr">
        <is>
          <t>/Users/manczg/Documents/development/archon-search/tests/test_store.py</t>
        </is>
      </c>
      <c r="C798" t="inlineStr">
        <is>
          <t>tests-05</t>
        </is>
      </c>
      <c r="D798" t="n">
        <v>3540</v>
      </c>
      <c r="E798" t="inlineStr">
        <is>
          <t>TP</t>
        </is>
      </c>
      <c r="F798" t="inlineStr">
        <is>
          <t>patches private module function _compute_fetch on real subject</t>
        </is>
      </c>
    </row>
    <row r="799">
      <c r="A799" t="inlineStr">
        <is>
          <t>archon-search</t>
        </is>
      </c>
      <c r="B799" t="inlineStr">
        <is>
          <t>/Users/manczg/Documents/development/archon-search/tests/test_store.py</t>
        </is>
      </c>
      <c r="C799" t="inlineStr">
        <is>
          <t>tests-05</t>
        </is>
      </c>
      <c r="D799" t="n">
        <v>3546</v>
      </c>
      <c r="E799" t="inlineStr">
        <is>
          <t>TP</t>
        </is>
      </c>
      <c r="F799" t="inlineStr">
        <is>
          <t>patches private module function _compute_fetch on real subject</t>
        </is>
      </c>
    </row>
    <row r="800">
      <c r="A800" t="inlineStr">
        <is>
          <t>archon-search</t>
        </is>
      </c>
      <c r="B800" t="inlineStr">
        <is>
          <t>/Users/manczg/Documents/development/archon-search/tests/test_store.py</t>
        </is>
      </c>
      <c r="C800" t="inlineStr">
        <is>
          <t>tests-05</t>
        </is>
      </c>
      <c r="D800" t="n">
        <v>4148</v>
      </c>
      <c r="E800" t="inlineStr">
        <is>
          <t>TP</t>
        </is>
      </c>
      <c r="F800" t="inlineStr">
        <is>
          <t>patches private module function _compute_fetch on real subject</t>
        </is>
      </c>
    </row>
    <row r="801">
      <c r="A801" t="inlineStr">
        <is>
          <t>archon-search</t>
        </is>
      </c>
      <c r="B801" t="inlineStr">
        <is>
          <t>/Users/manczg/Documents/development/archon-search/tests/test_store.py</t>
        </is>
      </c>
      <c r="C801" t="inlineStr">
        <is>
          <t>tests-05</t>
        </is>
      </c>
      <c r="D801" t="n">
        <v>4627</v>
      </c>
      <c r="E801" t="inlineStr">
        <is>
          <t>TP</t>
        </is>
      </c>
      <c r="F801" t="inlineStr">
        <is>
          <t>SearchStore._row_to_meta private method called directly</t>
        </is>
      </c>
    </row>
    <row r="802">
      <c r="A802" t="inlineStr">
        <is>
          <t>archon-search</t>
        </is>
      </c>
      <c r="B802" t="inlineStr">
        <is>
          <t>/Users/manczg/Documents/development/archon-search/tests/test_store.py</t>
        </is>
      </c>
      <c r="C802" t="inlineStr">
        <is>
          <t>tests-05</t>
        </is>
      </c>
      <c r="D802" t="n">
        <v>4638</v>
      </c>
      <c r="E802" t="inlineStr">
        <is>
          <t>TP</t>
        </is>
      </c>
      <c r="F802" t="inlineStr">
        <is>
          <t>SearchStore._row_to_meta private method called directly</t>
        </is>
      </c>
    </row>
    <row r="803">
      <c r="A803" t="inlineStr">
        <is>
          <t>archon-search</t>
        </is>
      </c>
      <c r="B803" t="inlineStr">
        <is>
          <t>/Users/manczg/Documents/development/archon-search/tests/test_store.py</t>
        </is>
      </c>
      <c r="C803" t="inlineStr">
        <is>
          <t>tests-05</t>
        </is>
      </c>
      <c r="D803" t="n">
        <v>4648</v>
      </c>
      <c r="E803" t="inlineStr">
        <is>
          <t>TP</t>
        </is>
      </c>
      <c r="F803" t="inlineStr">
        <is>
          <t>SearchStore._row_to_meta private method called directly</t>
        </is>
      </c>
    </row>
    <row r="804">
      <c r="A804" t="inlineStr">
        <is>
          <t>archon-search</t>
        </is>
      </c>
      <c r="B804" t="inlineStr">
        <is>
          <t>/Users/manczg/Documents/development/archon-search/tests/test_store.py</t>
        </is>
      </c>
      <c r="C804" t="inlineStr">
        <is>
          <t>tests-05</t>
        </is>
      </c>
      <c r="D804" t="n">
        <v>4658</v>
      </c>
      <c r="E804" t="inlineStr">
        <is>
          <t>TP</t>
        </is>
      </c>
      <c r="F804" t="inlineStr">
        <is>
          <t>SearchStore._row_to_meta private method called directly</t>
        </is>
      </c>
    </row>
    <row r="805">
      <c r="A805" t="inlineStr">
        <is>
          <t>archon-search</t>
        </is>
      </c>
      <c r="B805" t="inlineStr">
        <is>
          <t>/Users/manczg/Documents/development/archon-search/tests/test_store.py</t>
        </is>
      </c>
      <c r="C805" t="inlineStr">
        <is>
          <t>tests-05</t>
        </is>
      </c>
      <c r="D805" t="n">
        <v>4679</v>
      </c>
      <c r="E805" t="inlineStr">
        <is>
          <t>TP</t>
        </is>
      </c>
      <c r="F805" t="inlineStr">
        <is>
          <t>SearchStore._row_to_meta private method called directly</t>
        </is>
      </c>
    </row>
    <row r="806">
      <c r="A806" t="inlineStr">
        <is>
          <t>archon-search</t>
        </is>
      </c>
      <c r="B806" t="inlineStr">
        <is>
          <t>/Users/manczg/Documents/development/archon-search/tests/test_store.py</t>
        </is>
      </c>
      <c r="C806" t="inlineStr">
        <is>
          <t>tests-05</t>
        </is>
      </c>
      <c r="D806" t="n">
        <v>4700</v>
      </c>
      <c r="E806" t="inlineStr">
        <is>
          <t>TP</t>
        </is>
      </c>
      <c r="F806" t="inlineStr">
        <is>
          <t>store._require_connected private method called directly</t>
        </is>
      </c>
    </row>
    <row r="807">
      <c r="A807" t="inlineStr">
        <is>
          <t>archon-search</t>
        </is>
      </c>
      <c r="B807" t="inlineStr">
        <is>
          <t>/Users/manczg/Documents/development/archon-search/tests/test_store.py</t>
        </is>
      </c>
      <c r="C807" t="inlineStr">
        <is>
          <t>tests-05</t>
        </is>
      </c>
      <c r="D807" t="n">
        <v>4702</v>
      </c>
      <c r="E807" t="inlineStr">
        <is>
          <t>TP</t>
        </is>
      </c>
      <c r="F807" t="inlineStr">
        <is>
          <t>SearchStore._meta_schema private method called directly</t>
        </is>
      </c>
    </row>
    <row r="808">
      <c r="A808" t="inlineStr">
        <is>
          <t>archon-search</t>
        </is>
      </c>
      <c r="B808" t="inlineStr">
        <is>
          <t>/Users/manczg/Documents/development/archon-search/tests/test_store.py</t>
        </is>
      </c>
      <c r="C808" t="inlineStr">
        <is>
          <t>tests-05</t>
        </is>
      </c>
      <c r="D808" t="n">
        <v>4733</v>
      </c>
      <c r="E808" t="inlineStr">
        <is>
          <t>TP</t>
        </is>
      </c>
      <c r="F808" t="inlineStr">
        <is>
          <t>store._require_connected private method called directly</t>
        </is>
      </c>
    </row>
    <row r="809">
      <c r="A809" t="inlineStr">
        <is>
          <t>archon-search</t>
        </is>
      </c>
      <c r="B809" t="inlineStr">
        <is>
          <t>/Users/manczg/Documents/development/archon-search/tests/test_store.py</t>
        </is>
      </c>
      <c r="C809" t="inlineStr">
        <is>
          <t>tests-05</t>
        </is>
      </c>
      <c r="D809" t="n">
        <v>4735</v>
      </c>
      <c r="E809" t="inlineStr">
        <is>
          <t>TP</t>
        </is>
      </c>
      <c r="F809" t="inlineStr">
        <is>
          <t>SearchStore._meta_schema private method called directly</t>
        </is>
      </c>
    </row>
    <row r="810">
      <c r="A810" t="inlineStr">
        <is>
          <t>archon-search</t>
        </is>
      </c>
      <c r="B810" t="inlineStr">
        <is>
          <t>/Users/manczg/Documents/development/archon-search/tests/test_store.py</t>
        </is>
      </c>
      <c r="C810" t="inlineStr">
        <is>
          <t>tests-05</t>
        </is>
      </c>
      <c r="D810" t="n">
        <v>4767</v>
      </c>
      <c r="E810" t="inlineStr">
        <is>
          <t>TP</t>
        </is>
      </c>
      <c r="F810" t="inlineStr">
        <is>
          <t>store._require_connected private method called directly</t>
        </is>
      </c>
    </row>
    <row r="811">
      <c r="A811" t="inlineStr">
        <is>
          <t>archon-search</t>
        </is>
      </c>
      <c r="B811" t="inlineStr">
        <is>
          <t>/Users/manczg/Documents/development/archon-search/tests/test_store.py</t>
        </is>
      </c>
      <c r="C811" t="inlineStr">
        <is>
          <t>tests-05</t>
        </is>
      </c>
      <c r="D811" t="n">
        <v>4770</v>
      </c>
      <c r="E811" t="inlineStr">
        <is>
          <t>TP</t>
        </is>
      </c>
      <c r="F811" t="inlineStr">
        <is>
          <t>SearchStore._meta_schema private method called directly</t>
        </is>
      </c>
    </row>
    <row r="812">
      <c r="A812" t="inlineStr">
        <is>
          <t>archon-search</t>
        </is>
      </c>
      <c r="B812" t="inlineStr">
        <is>
          <t>/Users/manczg/Documents/development/archon-search/tests/test_store.py</t>
        </is>
      </c>
      <c r="C812" t="inlineStr">
        <is>
          <t>tests-05</t>
        </is>
      </c>
      <c r="D812" t="n">
        <v>4819</v>
      </c>
      <c r="E812" t="inlineStr">
        <is>
          <t>TP</t>
        </is>
      </c>
      <c r="F812" t="inlineStr">
        <is>
          <t>store._require_connected private method called directly</t>
        </is>
      </c>
    </row>
    <row r="813">
      <c r="A813" t="inlineStr">
        <is>
          <t>archon-search</t>
        </is>
      </c>
      <c r="B813" t="inlineStr">
        <is>
          <t>/Users/manczg/Documents/development/archon-search/tests/test_store.py</t>
        </is>
      </c>
      <c r="C813" t="inlineStr">
        <is>
          <t>tests-05</t>
        </is>
      </c>
      <c r="D813" t="n">
        <v>4866</v>
      </c>
      <c r="E813" t="inlineStr">
        <is>
          <t>TP</t>
        </is>
      </c>
      <c r="F813" t="inlineStr">
        <is>
          <t>store._require_connected private method called directly</t>
        </is>
      </c>
    </row>
    <row r="814">
      <c r="A814" t="inlineStr">
        <is>
          <t>archon-search</t>
        </is>
      </c>
      <c r="B814" t="inlineStr">
        <is>
          <t>/Users/manczg/Documents/development/archon-search/tests/test_store.py</t>
        </is>
      </c>
      <c r="C814" t="inlineStr">
        <is>
          <t>tests-05</t>
        </is>
      </c>
      <c r="D814" t="n">
        <v>4867</v>
      </c>
      <c r="E814" t="inlineStr">
        <is>
          <t>TP</t>
        </is>
      </c>
      <c r="F814" t="inlineStr">
        <is>
          <t>store._do_read_meta_unlocked private method called directly</t>
        </is>
      </c>
    </row>
    <row r="815">
      <c r="A815" t="inlineStr">
        <is>
          <t>archon-search</t>
        </is>
      </c>
      <c r="B815" t="inlineStr">
        <is>
          <t>/Users/manczg/Documents/development/archon-search/tests/test_store.py</t>
        </is>
      </c>
      <c r="C815" t="inlineStr">
        <is>
          <t>tests-05</t>
        </is>
      </c>
      <c r="D815" t="n">
        <v>4888</v>
      </c>
      <c r="E815" t="inlineStr">
        <is>
          <t>TP</t>
        </is>
      </c>
      <c r="F815" t="inlineStr">
        <is>
          <t>connected_store._require_connected private method called directly</t>
        </is>
      </c>
    </row>
    <row r="816">
      <c r="A816" t="inlineStr">
        <is>
          <t>archon-search</t>
        </is>
      </c>
      <c r="B816" t="inlineStr">
        <is>
          <t>/Users/manczg/Documents/development/archon-search/tests/test_store.py</t>
        </is>
      </c>
      <c r="C816" t="inlineStr">
        <is>
          <t>tests-05</t>
        </is>
      </c>
      <c r="D816" t="n">
        <v>4889</v>
      </c>
      <c r="E816" t="inlineStr">
        <is>
          <t>TP</t>
        </is>
      </c>
      <c r="F816" t="inlineStr">
        <is>
          <t>connected_store._do_read_meta_unlocked private method called directly</t>
        </is>
      </c>
    </row>
    <row r="817">
      <c r="A817" t="inlineStr">
        <is>
          <t>archon-search</t>
        </is>
      </c>
      <c r="B817" t="inlineStr">
        <is>
          <t>/Users/manczg/Documents/development/archon-search/tests/test_store.py</t>
        </is>
      </c>
      <c r="C817" t="inlineStr">
        <is>
          <t>tests-05</t>
        </is>
      </c>
      <c r="D817" t="n">
        <v>4912</v>
      </c>
      <c r="E817" t="inlineStr">
        <is>
          <t>TP</t>
        </is>
      </c>
      <c r="F817" t="inlineStr">
        <is>
          <t>connected_store._require_connected private method called directly</t>
        </is>
      </c>
    </row>
    <row r="818">
      <c r="A818" t="inlineStr">
        <is>
          <t>archon-search</t>
        </is>
      </c>
      <c r="B818" t="inlineStr">
        <is>
          <t>/Users/manczg/Documents/development/archon-search/tests/test_store.py</t>
        </is>
      </c>
      <c r="C818" t="inlineStr">
        <is>
          <t>tests-05</t>
        </is>
      </c>
      <c r="D818" t="n">
        <v>4913</v>
      </c>
      <c r="E818" t="inlineStr">
        <is>
          <t>TP</t>
        </is>
      </c>
      <c r="F818" t="inlineStr">
        <is>
          <t>connected_store._do_write_meta_unlocked private method called directly</t>
        </is>
      </c>
    </row>
    <row r="819">
      <c r="A819" t="inlineStr">
        <is>
          <t>archon-search</t>
        </is>
      </c>
      <c r="B819" t="inlineStr">
        <is>
          <t>/Users/manczg/Documents/development/archon-search/tests/test_store.py</t>
        </is>
      </c>
      <c r="C819" t="inlineStr">
        <is>
          <t>tests-05</t>
        </is>
      </c>
      <c r="D819" t="n">
        <v>4931</v>
      </c>
      <c r="E819" t="inlineStr">
        <is>
          <t>TP</t>
        </is>
      </c>
      <c r="F819" t="inlineStr">
        <is>
          <t>connected_store._require_connected private method called directly</t>
        </is>
      </c>
    </row>
    <row r="820">
      <c r="A820" t="inlineStr">
        <is>
          <t>archon-search</t>
        </is>
      </c>
      <c r="B820" t="inlineStr">
        <is>
          <t>/Users/manczg/Documents/development/archon-search/tests/test_store.py</t>
        </is>
      </c>
      <c r="C820" t="inlineStr">
        <is>
          <t>tests-05</t>
        </is>
      </c>
      <c r="D820" t="n">
        <v>4933</v>
      </c>
      <c r="E820" t="inlineStr">
        <is>
          <t>TP</t>
        </is>
      </c>
      <c r="F820" t="inlineStr">
        <is>
          <t>connected_store._do_write_meta_unlocked private method called directly</t>
        </is>
      </c>
    </row>
    <row r="821">
      <c r="A821" t="inlineStr">
        <is>
          <t>archon-search</t>
        </is>
      </c>
      <c r="B821" t="inlineStr">
        <is>
          <t>/Users/manczg/Documents/development/archon-search/tests/test_store.py</t>
        </is>
      </c>
      <c r="C821" t="inlineStr">
        <is>
          <t>tests-05</t>
        </is>
      </c>
      <c r="D821" t="n">
        <v>4950</v>
      </c>
      <c r="E821" t="inlineStr">
        <is>
          <t>TP</t>
        </is>
      </c>
      <c r="F821" t="inlineStr">
        <is>
          <t>store._require_connected private method called directly</t>
        </is>
      </c>
    </row>
    <row r="822">
      <c r="A822" t="inlineStr">
        <is>
          <t>archon-search</t>
        </is>
      </c>
      <c r="B822" t="inlineStr">
        <is>
          <t>/Users/manczg/Documents/development/archon-search/tests/test_store.py</t>
        </is>
      </c>
      <c r="C822" t="inlineStr">
        <is>
          <t>tests-05</t>
        </is>
      </c>
      <c r="D822" t="n">
        <v>4957</v>
      </c>
      <c r="E822" t="inlineStr">
        <is>
          <t>TP</t>
        </is>
      </c>
      <c r="F822" t="inlineStr">
        <is>
          <t>store._do_write_meta_unlocked private method called directly</t>
        </is>
      </c>
    </row>
    <row r="823">
      <c r="A823" t="inlineStr">
        <is>
          <t>archon-search</t>
        </is>
      </c>
      <c r="B823" t="inlineStr">
        <is>
          <t>/Users/manczg/Documents/development/archon-search/tests/test_store.py</t>
        </is>
      </c>
      <c r="C823" t="inlineStr">
        <is>
          <t>tests-05</t>
        </is>
      </c>
      <c r="D823" t="n">
        <v>4981</v>
      </c>
      <c r="E823" t="inlineStr">
        <is>
          <t>TP</t>
        </is>
      </c>
      <c r="F823" t="inlineStr">
        <is>
          <t>connected_store._require_connected private method called directly</t>
        </is>
      </c>
    </row>
    <row r="824">
      <c r="A824" t="inlineStr">
        <is>
          <t>archon-search</t>
        </is>
      </c>
      <c r="B824" t="inlineStr">
        <is>
          <t>/Users/manczg/Documents/development/archon-search/tests/test_store.py</t>
        </is>
      </c>
      <c r="C824" t="inlineStr">
        <is>
          <t>tests-05</t>
        </is>
      </c>
      <c r="D824" t="n">
        <v>4982</v>
      </c>
      <c r="E824" t="inlineStr">
        <is>
          <t>TP</t>
        </is>
      </c>
      <c r="F824" t="inlineStr">
        <is>
          <t>connected_store._do_write_meta_unlocked private method called directly</t>
        </is>
      </c>
    </row>
    <row r="825">
      <c r="A825" t="inlineStr">
        <is>
          <t>archon-search</t>
        </is>
      </c>
      <c r="B825" t="inlineStr">
        <is>
          <t>/Users/manczg/Documents/development/archon-search/tests/test_store.py</t>
        </is>
      </c>
      <c r="C825" t="inlineStr">
        <is>
          <t>tests-05</t>
        </is>
      </c>
      <c r="D825" t="n">
        <v>5006</v>
      </c>
      <c r="E825" t="inlineStr">
        <is>
          <t>TP</t>
        </is>
      </c>
      <c r="F825" t="inlineStr">
        <is>
          <t>connected_store._require_connected private method called directly</t>
        </is>
      </c>
    </row>
    <row r="826">
      <c r="A826" t="inlineStr">
        <is>
          <t>archon-search</t>
        </is>
      </c>
      <c r="B826" t="inlineStr">
        <is>
          <t>/Users/manczg/Documents/development/archon-search/tests/test_store.py</t>
        </is>
      </c>
      <c r="C826" t="inlineStr">
        <is>
          <t>tests-05</t>
        </is>
      </c>
      <c r="D826" t="n">
        <v>5010</v>
      </c>
      <c r="E826" t="inlineStr">
        <is>
          <t>TP</t>
        </is>
      </c>
      <c r="F826" t="inlineStr">
        <is>
          <t>connected_store._do_write_meta_unlocked private method called directly</t>
        </is>
      </c>
    </row>
    <row r="827">
      <c r="A827" t="inlineStr">
        <is>
          <t>archon-search</t>
        </is>
      </c>
      <c r="B827" t="inlineStr">
        <is>
          <t>/Users/manczg/Documents/development/archon-search/tests/test_store.py</t>
        </is>
      </c>
      <c r="C827" t="inlineStr">
        <is>
          <t>tests-05</t>
        </is>
      </c>
      <c r="D827" t="n">
        <v>5011</v>
      </c>
      <c r="E827" t="inlineStr">
        <is>
          <t>TP</t>
        </is>
      </c>
      <c r="F827" t="inlineStr">
        <is>
          <t>connected_store._do_write_meta_unlocked private method called directly</t>
        </is>
      </c>
    </row>
    <row r="828">
      <c r="A828" t="inlineStr">
        <is>
          <t>archon-search</t>
        </is>
      </c>
      <c r="B828" t="inlineStr">
        <is>
          <t>/Users/manczg/Documents/development/archon-search/tests/test_store.py</t>
        </is>
      </c>
      <c r="C828" t="inlineStr">
        <is>
          <t>tests-05</t>
        </is>
      </c>
      <c r="D828" t="n">
        <v>5015</v>
      </c>
      <c r="E828" t="inlineStr">
        <is>
          <t>TP</t>
        </is>
      </c>
      <c r="F828" t="inlineStr">
        <is>
          <t>connected_store._do_write_meta_unlocked private method called directly</t>
        </is>
      </c>
    </row>
    <row r="829">
      <c r="A829" t="inlineStr">
        <is>
          <t>archon-search</t>
        </is>
      </c>
      <c r="B829" t="inlineStr">
        <is>
          <t>/Users/manczg/Documents/development/archon-search/tests/test_store.py</t>
        </is>
      </c>
      <c r="C829" t="inlineStr">
        <is>
          <t>tests-05</t>
        </is>
      </c>
      <c r="D829" t="n">
        <v>5061</v>
      </c>
      <c r="E829" t="inlineStr">
        <is>
          <t>TP</t>
        </is>
      </c>
      <c r="F829" t="inlineStr">
        <is>
          <t>store._require_connected private method called directly</t>
        </is>
      </c>
    </row>
    <row r="830">
      <c r="A830" t="inlineStr">
        <is>
          <t>archon-search</t>
        </is>
      </c>
      <c r="B830" t="inlineStr">
        <is>
          <t>/Users/manczg/Documents/development/archon-search/tests/test_store.py</t>
        </is>
      </c>
      <c r="C830" t="inlineStr">
        <is>
          <t>tests-05</t>
        </is>
      </c>
      <c r="D830" t="n">
        <v>5062</v>
      </c>
      <c r="E830" t="inlineStr">
        <is>
          <t>TP</t>
        </is>
      </c>
      <c r="F830" t="inlineStr">
        <is>
          <t>store._do_fetch_doc_vectors_unlocked private method called directly</t>
        </is>
      </c>
    </row>
    <row r="831">
      <c r="A831" t="inlineStr">
        <is>
          <t>archon-search</t>
        </is>
      </c>
      <c r="B831" t="inlineStr">
        <is>
          <t>/Users/manczg/Documents/development/archon-search/tests/test_store.py</t>
        </is>
      </c>
      <c r="C831" t="inlineStr">
        <is>
          <t>tests-05</t>
        </is>
      </c>
      <c r="D831" t="n">
        <v>5108</v>
      </c>
      <c r="E831" t="inlineStr">
        <is>
          <t>TP</t>
        </is>
      </c>
      <c r="F831" t="inlineStr">
        <is>
          <t>connected_store._require_connected private method called directly</t>
        </is>
      </c>
    </row>
    <row r="832">
      <c r="A832" t="inlineStr">
        <is>
          <t>archon-search</t>
        </is>
      </c>
      <c r="B832" t="inlineStr">
        <is>
          <t>/Users/manczg/Documents/development/archon-search/tests/test_store.py</t>
        </is>
      </c>
      <c r="C832" t="inlineStr">
        <is>
          <t>tests-05</t>
        </is>
      </c>
      <c r="D832" t="n">
        <v>5109</v>
      </c>
      <c r="E832" t="inlineStr">
        <is>
          <t>TP</t>
        </is>
      </c>
      <c r="F832" t="inlineStr">
        <is>
          <t>connected_store._do_fetch_doc_vectors_unlocked private method called directly</t>
        </is>
      </c>
    </row>
    <row r="833">
      <c r="A833" t="inlineStr">
        <is>
          <t>archon-search</t>
        </is>
      </c>
      <c r="B833" t="inlineStr">
        <is>
          <t>/Users/manczg/Documents/development/archon-search/tests/test_store.py</t>
        </is>
      </c>
      <c r="C833" t="inlineStr">
        <is>
          <t>tests-05</t>
        </is>
      </c>
      <c r="D833" t="n">
        <v>5125</v>
      </c>
      <c r="E833" t="inlineStr">
        <is>
          <t>TP</t>
        </is>
      </c>
      <c r="F833" t="inlineStr">
        <is>
          <t>connected_store._require_connected private method called directly</t>
        </is>
      </c>
    </row>
    <row r="834">
      <c r="A834" t="inlineStr">
        <is>
          <t>archon-search</t>
        </is>
      </c>
      <c r="B834" t="inlineStr">
        <is>
          <t>/Users/manczg/Documents/development/archon-search/tests/test_store.py</t>
        </is>
      </c>
      <c r="C834" t="inlineStr">
        <is>
          <t>tests-05</t>
        </is>
      </c>
      <c r="D834" t="n">
        <v>5127</v>
      </c>
      <c r="E834" t="inlineStr">
        <is>
          <t>TP</t>
        </is>
      </c>
      <c r="F834" t="inlineStr">
        <is>
          <t>connected_store._do_fetch_doc_vectors_unlocked private method called directly</t>
        </is>
      </c>
    </row>
    <row r="835">
      <c r="A835" t="inlineStr">
        <is>
          <t>archon-search</t>
        </is>
      </c>
      <c r="B835" t="inlineStr">
        <is>
          <t>/Users/manczg/Documents/development/archon-search/tests/test_store.py</t>
        </is>
      </c>
      <c r="C835" t="inlineStr">
        <is>
          <t>tests-05</t>
        </is>
      </c>
      <c r="D835" t="n">
        <v>5149</v>
      </c>
      <c r="E835" t="inlineStr">
        <is>
          <t>TP</t>
        </is>
      </c>
      <c r="F835" t="inlineStr">
        <is>
          <t>store._require_connected private method called directly</t>
        </is>
      </c>
    </row>
    <row r="836">
      <c r="A836" t="inlineStr">
        <is>
          <t>archon-search</t>
        </is>
      </c>
      <c r="B836" t="inlineStr">
        <is>
          <t>/Users/manczg/Documents/development/archon-search/tests/test_store.py</t>
        </is>
      </c>
      <c r="C836" t="inlineStr">
        <is>
          <t>tests-05</t>
        </is>
      </c>
      <c r="D836" t="n">
        <v>5151</v>
      </c>
      <c r="E836" t="inlineStr">
        <is>
          <t>TP</t>
        </is>
      </c>
      <c r="F836" t="inlineStr">
        <is>
          <t>store._do_fetch_doc_vectors_unlocked private method called directly</t>
        </is>
      </c>
    </row>
    <row r="837">
      <c r="A837" t="inlineStr">
        <is>
          <t>archon-search</t>
        </is>
      </c>
      <c r="B837" t="inlineStr">
        <is>
          <t>/Users/manczg/Documents/development/archon-search/tests/test_store.py</t>
        </is>
      </c>
      <c r="C837" t="inlineStr">
        <is>
          <t>tests-05</t>
        </is>
      </c>
      <c r="D837" t="n">
        <v>5152</v>
      </c>
      <c r="E837" t="inlineStr">
        <is>
          <t>TP</t>
        </is>
      </c>
      <c r="F837" t="inlineStr">
        <is>
          <t>store._do_fetch_doc_vectors_unlocked private method called directly</t>
        </is>
      </c>
    </row>
    <row r="838">
      <c r="A838" t="inlineStr">
        <is>
          <t>archon-search</t>
        </is>
      </c>
      <c r="B838" t="inlineStr">
        <is>
          <t>/Users/manczg/Documents/development/archon-search/tests/test_store.py</t>
        </is>
      </c>
      <c r="C838" t="inlineStr">
        <is>
          <t>tests-05</t>
        </is>
      </c>
      <c r="D838" t="n">
        <v>5168</v>
      </c>
      <c r="E838" t="inlineStr">
        <is>
          <t>TP</t>
        </is>
      </c>
      <c r="F838" t="inlineStr">
        <is>
          <t>store._require_connected private method called directly</t>
        </is>
      </c>
    </row>
    <row r="839">
      <c r="A839" t="inlineStr">
        <is>
          <t>archon-search</t>
        </is>
      </c>
      <c r="B839" t="inlineStr">
        <is>
          <t>/Users/manczg/Documents/development/archon-search/tests/test_store.py</t>
        </is>
      </c>
      <c r="C839" t="inlineStr">
        <is>
          <t>tests-05</t>
        </is>
      </c>
      <c r="D839" t="n">
        <v>5170</v>
      </c>
      <c r="E839" t="inlineStr">
        <is>
          <t>TP</t>
        </is>
      </c>
      <c r="F839" t="inlineStr">
        <is>
          <t>store._do_fetch_doc_vectors_unlocked private method called directly</t>
        </is>
      </c>
    </row>
    <row r="840">
      <c r="A840" t="inlineStr">
        <is>
          <t>archon-search</t>
        </is>
      </c>
      <c r="B840" t="inlineStr">
        <is>
          <t>/Users/manczg/Documents/development/archon-search/tests/test_store.py</t>
        </is>
      </c>
      <c r="C840" t="inlineStr">
        <is>
          <t>tests-05</t>
        </is>
      </c>
      <c r="D840" t="n">
        <v>5183</v>
      </c>
      <c r="E840" t="inlineStr">
        <is>
          <t>TP</t>
        </is>
      </c>
      <c r="F840" t="inlineStr">
        <is>
          <t>store._require_connected private method called directly</t>
        </is>
      </c>
    </row>
    <row r="841">
      <c r="A841" t="inlineStr">
        <is>
          <t>archon-search</t>
        </is>
      </c>
      <c r="B841" t="inlineStr">
        <is>
          <t>/Users/manczg/Documents/development/archon-search/tests/test_store.py</t>
        </is>
      </c>
      <c r="C841" t="inlineStr">
        <is>
          <t>tests-05</t>
        </is>
      </c>
      <c r="D841" t="n">
        <v>5186</v>
      </c>
      <c r="E841" t="inlineStr">
        <is>
          <t>TP</t>
        </is>
      </c>
      <c r="F841" t="inlineStr">
        <is>
          <t>store._do_fetch_doc_vectors_unlocked private method called directly</t>
        </is>
      </c>
    </row>
    <row r="842">
      <c r="A842" t="inlineStr">
        <is>
          <t>archon-search</t>
        </is>
      </c>
      <c r="B842" t="inlineStr">
        <is>
          <t>/Users/manczg/Documents/development/archon-search/tests/test_store.py</t>
        </is>
      </c>
      <c r="C842" t="inlineStr">
        <is>
          <t>tests-05</t>
        </is>
      </c>
      <c r="D842" t="n">
        <v>5301</v>
      </c>
      <c r="E842" t="inlineStr">
        <is>
          <t>TP</t>
        </is>
      </c>
      <c r="F842" t="inlineStr">
        <is>
          <t>store._require_connected private method called directly</t>
        </is>
      </c>
    </row>
    <row r="843">
      <c r="A843" t="inlineStr">
        <is>
          <t>archon-search</t>
        </is>
      </c>
      <c r="B843" t="inlineStr">
        <is>
          <t>/Users/manczg/Documents/development/archon-search/tests/test_store.py</t>
        </is>
      </c>
      <c r="C843" t="inlineStr">
        <is>
          <t>tests-05</t>
        </is>
      </c>
      <c r="D843" t="n">
        <v>5304</v>
      </c>
      <c r="E843" t="inlineStr">
        <is>
          <t>TP</t>
        </is>
      </c>
      <c r="F843" t="inlineStr">
        <is>
          <t>store._do_update_meta_on_add private method called directly</t>
        </is>
      </c>
    </row>
    <row r="844">
      <c r="A844" t="inlineStr">
        <is>
          <t>archon-search</t>
        </is>
      </c>
      <c r="B844" t="inlineStr">
        <is>
          <t>/Users/manczg/Documents/development/archon-search/tests/test_store.py</t>
        </is>
      </c>
      <c r="C844" t="inlineStr">
        <is>
          <t>tests-05</t>
        </is>
      </c>
      <c r="D844" t="n">
        <v>5326</v>
      </c>
      <c r="E844" t="inlineStr">
        <is>
          <t>TP</t>
        </is>
      </c>
      <c r="F844" t="inlineStr">
        <is>
          <t>store._require_connected private method called directly</t>
        </is>
      </c>
    </row>
    <row r="845">
      <c r="A845" t="inlineStr">
        <is>
          <t>archon-search</t>
        </is>
      </c>
      <c r="B845" t="inlineStr">
        <is>
          <t>/Users/manczg/Documents/development/archon-search/tests/test_store.py</t>
        </is>
      </c>
      <c r="C845" t="inlineStr">
        <is>
          <t>tests-05</t>
        </is>
      </c>
      <c r="D845" t="n">
        <v>5333</v>
      </c>
      <c r="E845" t="inlineStr">
        <is>
          <t>TP</t>
        </is>
      </c>
      <c r="F845" t="inlineStr">
        <is>
          <t>store._do_update_meta_on_add private method called directly</t>
        </is>
      </c>
    </row>
    <row r="846">
      <c r="A846" t="inlineStr">
        <is>
          <t>archon-search</t>
        </is>
      </c>
      <c r="B846" t="inlineStr">
        <is>
          <t>/Users/manczg/Documents/development/archon-search/tests/test_store.py</t>
        </is>
      </c>
      <c r="C846" t="inlineStr">
        <is>
          <t>tests-05</t>
        </is>
      </c>
      <c r="D846" t="n">
        <v>5353</v>
      </c>
      <c r="E846" t="inlineStr">
        <is>
          <t>TP</t>
        </is>
      </c>
      <c r="F846" t="inlineStr">
        <is>
          <t>store._require_connected private method called directly</t>
        </is>
      </c>
    </row>
    <row r="847">
      <c r="A847" t="inlineStr">
        <is>
          <t>archon-search</t>
        </is>
      </c>
      <c r="B847" t="inlineStr">
        <is>
          <t>/Users/manczg/Documents/development/archon-search/tests/test_store.py</t>
        </is>
      </c>
      <c r="C847" t="inlineStr">
        <is>
          <t>tests-05</t>
        </is>
      </c>
      <c r="D847" t="n">
        <v>5360</v>
      </c>
      <c r="E847" t="inlineStr">
        <is>
          <t>TP</t>
        </is>
      </c>
      <c r="F847" t="inlineStr">
        <is>
          <t>store._do_update_meta_on_add private method called directly</t>
        </is>
      </c>
    </row>
    <row r="848">
      <c r="A848" t="inlineStr">
        <is>
          <t>archon-search</t>
        </is>
      </c>
      <c r="B848" t="inlineStr">
        <is>
          <t>/Users/manczg/Documents/development/archon-search/tests/test_store.py</t>
        </is>
      </c>
      <c r="C848" t="inlineStr">
        <is>
          <t>tests-05</t>
        </is>
      </c>
      <c r="D848" t="n">
        <v>5381</v>
      </c>
      <c r="E848" t="inlineStr">
        <is>
          <t>TP</t>
        </is>
      </c>
      <c r="F848" t="inlineStr">
        <is>
          <t>store._require_connected private method called directly</t>
        </is>
      </c>
    </row>
    <row r="849">
      <c r="A849" t="inlineStr">
        <is>
          <t>archon-search</t>
        </is>
      </c>
      <c r="B849" t="inlineStr">
        <is>
          <t>/Users/manczg/Documents/development/archon-search/tests/test_store.py</t>
        </is>
      </c>
      <c r="C849" t="inlineStr">
        <is>
          <t>tests-05</t>
        </is>
      </c>
      <c r="D849" t="n">
        <v>5389</v>
      </c>
      <c r="E849" t="inlineStr">
        <is>
          <t>TP</t>
        </is>
      </c>
      <c r="F849" t="inlineStr">
        <is>
          <t>store._do_update_meta_on_add private method called directly</t>
        </is>
      </c>
    </row>
    <row r="850">
      <c r="A850" t="inlineStr">
        <is>
          <t>archon-search</t>
        </is>
      </c>
      <c r="B850" t="inlineStr">
        <is>
          <t>/Users/manczg/Documents/development/archon-search/tests/test_store.py</t>
        </is>
      </c>
      <c r="C850" t="inlineStr">
        <is>
          <t>tests-05</t>
        </is>
      </c>
      <c r="D850" t="n">
        <v>5410</v>
      </c>
      <c r="E850" t="inlineStr">
        <is>
          <t>TP</t>
        </is>
      </c>
      <c r="F850" t="inlineStr">
        <is>
          <t>store._require_connected private method called directly</t>
        </is>
      </c>
    </row>
    <row r="851">
      <c r="A851" t="inlineStr">
        <is>
          <t>archon-search</t>
        </is>
      </c>
      <c r="B851" t="inlineStr">
        <is>
          <t>/Users/manczg/Documents/development/archon-search/tests/test_store.py</t>
        </is>
      </c>
      <c r="C851" t="inlineStr">
        <is>
          <t>tests-05</t>
        </is>
      </c>
      <c r="D851" t="n">
        <v>5418</v>
      </c>
      <c r="E851" t="inlineStr">
        <is>
          <t>TP</t>
        </is>
      </c>
      <c r="F851" t="inlineStr">
        <is>
          <t>store._do_update_meta_on_add private method called directly</t>
        </is>
      </c>
    </row>
    <row r="852">
      <c r="A852" t="inlineStr">
        <is>
          <t>archon-search</t>
        </is>
      </c>
      <c r="B852" t="inlineStr">
        <is>
          <t>/Users/manczg/Documents/development/archon-search/tests/test_store.py</t>
        </is>
      </c>
      <c r="C852" t="inlineStr">
        <is>
          <t>tests-05</t>
        </is>
      </c>
      <c r="D852" t="n">
        <v>5436</v>
      </c>
      <c r="E852" t="inlineStr">
        <is>
          <t>TP</t>
        </is>
      </c>
      <c r="F852" t="inlineStr">
        <is>
          <t>store._require_connected private method called directly</t>
        </is>
      </c>
    </row>
    <row r="853">
      <c r="A853" t="inlineStr">
        <is>
          <t>archon-search</t>
        </is>
      </c>
      <c r="B853" t="inlineStr">
        <is>
          <t>/Users/manczg/Documents/development/archon-search/tests/test_store.py</t>
        </is>
      </c>
      <c r="C853" t="inlineStr">
        <is>
          <t>tests-05</t>
        </is>
      </c>
      <c r="D853" t="n">
        <v>5443</v>
      </c>
      <c r="E853" t="inlineStr">
        <is>
          <t>TP</t>
        </is>
      </c>
      <c r="F853" t="inlineStr">
        <is>
          <t>store._do_update_meta_on_add private method called directly</t>
        </is>
      </c>
    </row>
    <row r="854">
      <c r="A854" t="inlineStr">
        <is>
          <t>archon-search</t>
        </is>
      </c>
      <c r="B854" t="inlineStr">
        <is>
          <t>/Users/manczg/Documents/development/archon-search/tests/test_store.py</t>
        </is>
      </c>
      <c r="C854" t="inlineStr">
        <is>
          <t>tests-05</t>
        </is>
      </c>
      <c r="D854" t="n">
        <v>5461</v>
      </c>
      <c r="E854" t="inlineStr">
        <is>
          <t>TP</t>
        </is>
      </c>
      <c r="F854" t="inlineStr">
        <is>
          <t>store._require_connected private method called directly</t>
        </is>
      </c>
    </row>
    <row r="855">
      <c r="A855" t="inlineStr">
        <is>
          <t>archon-search</t>
        </is>
      </c>
      <c r="B855" t="inlineStr">
        <is>
          <t>/Users/manczg/Documents/development/archon-search/tests/test_store.py</t>
        </is>
      </c>
      <c r="C855" t="inlineStr">
        <is>
          <t>tests-05</t>
        </is>
      </c>
      <c r="D855" t="n">
        <v>5468</v>
      </c>
      <c r="E855" t="inlineStr">
        <is>
          <t>TP</t>
        </is>
      </c>
      <c r="F855" t="inlineStr">
        <is>
          <t>store._do_update_meta_on_add private method called directly</t>
        </is>
      </c>
    </row>
    <row r="856">
      <c r="A856" t="inlineStr">
        <is>
          <t>archon-search</t>
        </is>
      </c>
      <c r="B856" t="inlineStr">
        <is>
          <t>/Users/manczg/Documents/development/archon-search/tests/test_store.py</t>
        </is>
      </c>
      <c r="C856" t="inlineStr">
        <is>
          <t>tests-05</t>
        </is>
      </c>
      <c r="D856" t="n">
        <v>5489</v>
      </c>
      <c r="E856" t="inlineStr">
        <is>
          <t>TP</t>
        </is>
      </c>
      <c r="F856" t="inlineStr">
        <is>
          <t>store._require_connected private method called directly</t>
        </is>
      </c>
    </row>
    <row r="857">
      <c r="A857" t="inlineStr">
        <is>
          <t>archon-search</t>
        </is>
      </c>
      <c r="B857" t="inlineStr">
        <is>
          <t>/Users/manczg/Documents/development/archon-search/tests/test_store.py</t>
        </is>
      </c>
      <c r="C857" t="inlineStr">
        <is>
          <t>tests-05</t>
        </is>
      </c>
      <c r="D857" t="n">
        <v>5497</v>
      </c>
      <c r="E857" t="inlineStr">
        <is>
          <t>TP</t>
        </is>
      </c>
      <c r="F857" t="inlineStr">
        <is>
          <t>store._do_update_meta_on_add private method called directly</t>
        </is>
      </c>
    </row>
    <row r="858">
      <c r="A858" t="inlineStr">
        <is>
          <t>archon-search</t>
        </is>
      </c>
      <c r="B858" t="inlineStr">
        <is>
          <t>/Users/manczg/Documents/development/archon-search/tests/test_store.py</t>
        </is>
      </c>
      <c r="C858" t="inlineStr">
        <is>
          <t>tests-05</t>
        </is>
      </c>
      <c r="D858" t="n">
        <v>5517</v>
      </c>
      <c r="E858" t="inlineStr">
        <is>
          <t>TP</t>
        </is>
      </c>
      <c r="F858" t="inlineStr">
        <is>
          <t>store._require_connected private method called directly</t>
        </is>
      </c>
    </row>
    <row r="859">
      <c r="A859" t="inlineStr">
        <is>
          <t>archon-search</t>
        </is>
      </c>
      <c r="B859" t="inlineStr">
        <is>
          <t>/Users/manczg/Documents/development/archon-search/tests/test_store.py</t>
        </is>
      </c>
      <c r="C859" t="inlineStr">
        <is>
          <t>tests-05</t>
        </is>
      </c>
      <c r="D859" t="n">
        <v>5519</v>
      </c>
      <c r="E859" t="inlineStr">
        <is>
          <t>TP</t>
        </is>
      </c>
      <c r="F859" t="inlineStr">
        <is>
          <t>store._do_update_meta_on_add private method called directly</t>
        </is>
      </c>
    </row>
    <row r="860">
      <c r="A860" t="inlineStr">
        <is>
          <t>archon-search</t>
        </is>
      </c>
      <c r="B860" t="inlineStr">
        <is>
          <t>/Users/manczg/Documents/development/archon-search/tests/test_store.py</t>
        </is>
      </c>
      <c r="C860" t="inlineStr">
        <is>
          <t>tests-05</t>
        </is>
      </c>
      <c r="D860" t="n">
        <v>5787</v>
      </c>
      <c r="E860" t="inlineStr">
        <is>
          <t>TP</t>
        </is>
      </c>
      <c r="F860" t="inlineStr">
        <is>
          <t>store._require_connected private method called directly</t>
        </is>
      </c>
    </row>
    <row r="861">
      <c r="A861" t="inlineStr">
        <is>
          <t>archon-search</t>
        </is>
      </c>
      <c r="B861" t="inlineStr">
        <is>
          <t>/Users/manczg/Documents/development/archon-search/tests/test_store.py</t>
        </is>
      </c>
      <c r="C861" t="inlineStr">
        <is>
          <t>tests-05</t>
        </is>
      </c>
      <c r="D861" t="n">
        <v>5794</v>
      </c>
      <c r="E861" t="inlineStr">
        <is>
          <t>TP</t>
        </is>
      </c>
      <c r="F861" t="inlineStr">
        <is>
          <t>store._do_subtract_meta_on_delete private method called directly</t>
        </is>
      </c>
    </row>
    <row r="862">
      <c r="A862" t="inlineStr">
        <is>
          <t>archon-search</t>
        </is>
      </c>
      <c r="B862" t="inlineStr">
        <is>
          <t>/Users/manczg/Documents/development/archon-search/tests/test_store.py</t>
        </is>
      </c>
      <c r="C862" t="inlineStr">
        <is>
          <t>tests-05</t>
        </is>
      </c>
      <c r="D862" t="n">
        <v>5809</v>
      </c>
      <c r="E862" t="inlineStr">
        <is>
          <t>TP</t>
        </is>
      </c>
      <c r="F862" t="inlineStr">
        <is>
          <t>store._require_connected private method called directly</t>
        </is>
      </c>
    </row>
    <row r="863">
      <c r="A863" t="inlineStr">
        <is>
          <t>archon-search</t>
        </is>
      </c>
      <c r="B863" t="inlineStr">
        <is>
          <t>/Users/manczg/Documents/development/archon-search/tests/test_store.py</t>
        </is>
      </c>
      <c r="C863" t="inlineStr">
        <is>
          <t>tests-05</t>
        </is>
      </c>
      <c r="D863" t="n">
        <v>5816</v>
      </c>
      <c r="E863" t="inlineStr">
        <is>
          <t>TP</t>
        </is>
      </c>
      <c r="F863" t="inlineStr">
        <is>
          <t>store._do_subtract_meta_on_delete private method called directly</t>
        </is>
      </c>
    </row>
    <row r="864">
      <c r="A864" t="inlineStr">
        <is>
          <t>archon-search</t>
        </is>
      </c>
      <c r="B864" t="inlineStr">
        <is>
          <t>/Users/manczg/Documents/development/archon-search/tests/test_store.py</t>
        </is>
      </c>
      <c r="C864" t="inlineStr">
        <is>
          <t>tests-05</t>
        </is>
      </c>
      <c r="D864" t="n">
        <v>5834</v>
      </c>
      <c r="E864" t="inlineStr">
        <is>
          <t>TP</t>
        </is>
      </c>
      <c r="F864" t="inlineStr">
        <is>
          <t>store._require_connected private method called directly</t>
        </is>
      </c>
    </row>
    <row r="865">
      <c r="A865" t="inlineStr">
        <is>
          <t>archon-search</t>
        </is>
      </c>
      <c r="B865" t="inlineStr">
        <is>
          <t>/Users/manczg/Documents/development/archon-search/tests/test_store.py</t>
        </is>
      </c>
      <c r="C865" t="inlineStr">
        <is>
          <t>tests-05</t>
        </is>
      </c>
      <c r="D865" t="n">
        <v>5841</v>
      </c>
      <c r="E865" t="inlineStr">
        <is>
          <t>TP</t>
        </is>
      </c>
      <c r="F865" t="inlineStr">
        <is>
          <t>store._do_subtract_meta_on_delete private method called directly</t>
        </is>
      </c>
    </row>
    <row r="866">
      <c r="A866" t="inlineStr">
        <is>
          <t>archon-search</t>
        </is>
      </c>
      <c r="B866" t="inlineStr">
        <is>
          <t>/Users/manczg/Documents/development/archon-search/tests/test_store.py</t>
        </is>
      </c>
      <c r="C866" t="inlineStr">
        <is>
          <t>tests-05</t>
        </is>
      </c>
      <c r="D866" t="n">
        <v>5857</v>
      </c>
      <c r="E866" t="inlineStr">
        <is>
          <t>TP</t>
        </is>
      </c>
      <c r="F866" t="inlineStr">
        <is>
          <t>store._require_connected private method called directly</t>
        </is>
      </c>
    </row>
    <row r="867">
      <c r="A867" t="inlineStr">
        <is>
          <t>archon-search</t>
        </is>
      </c>
      <c r="B867" t="inlineStr">
        <is>
          <t>/Users/manczg/Documents/development/archon-search/tests/test_store.py</t>
        </is>
      </c>
      <c r="C867" t="inlineStr">
        <is>
          <t>tests-05</t>
        </is>
      </c>
      <c r="D867" t="n">
        <v>5866</v>
      </c>
      <c r="E867" t="inlineStr">
        <is>
          <t>TP</t>
        </is>
      </c>
      <c r="F867" t="inlineStr">
        <is>
          <t>store._do_subtract_meta_on_delete private method called directly</t>
        </is>
      </c>
    </row>
    <row r="868">
      <c r="A868" t="inlineStr">
        <is>
          <t>archon-search</t>
        </is>
      </c>
      <c r="B868" t="inlineStr">
        <is>
          <t>/Users/manczg/Documents/development/archon-search/tests/test_store.py</t>
        </is>
      </c>
      <c r="C868" t="inlineStr">
        <is>
          <t>tests-05</t>
        </is>
      </c>
      <c r="D868" t="n">
        <v>5881</v>
      </c>
      <c r="E868" t="inlineStr">
        <is>
          <t>TP</t>
        </is>
      </c>
      <c r="F868" t="inlineStr">
        <is>
          <t>store._require_connected private method called directly</t>
        </is>
      </c>
    </row>
    <row r="869">
      <c r="A869" t="inlineStr">
        <is>
          <t>archon-search</t>
        </is>
      </c>
      <c r="B869" t="inlineStr">
        <is>
          <t>/Users/manczg/Documents/development/archon-search/tests/test_store.py</t>
        </is>
      </c>
      <c r="C869" t="inlineStr">
        <is>
          <t>tests-05</t>
        </is>
      </c>
      <c r="D869" t="n">
        <v>5888</v>
      </c>
      <c r="E869" t="inlineStr">
        <is>
          <t>TP</t>
        </is>
      </c>
      <c r="F869" t="inlineStr">
        <is>
          <t>store._do_subtract_meta_on_delete private method called directly</t>
        </is>
      </c>
    </row>
    <row r="870">
      <c r="A870" t="inlineStr">
        <is>
          <t>archon-search</t>
        </is>
      </c>
      <c r="B870" t="inlineStr">
        <is>
          <t>/Users/manczg/Documents/development/archon-search/tests/test_store.py</t>
        </is>
      </c>
      <c r="C870" t="inlineStr">
        <is>
          <t>tests-05</t>
        </is>
      </c>
      <c r="D870" t="n">
        <v>5904</v>
      </c>
      <c r="E870" t="inlineStr">
        <is>
          <t>TP</t>
        </is>
      </c>
      <c r="F870" t="inlineStr">
        <is>
          <t>store._require_connected private method called directly</t>
        </is>
      </c>
    </row>
    <row r="871">
      <c r="A871" t="inlineStr">
        <is>
          <t>archon-search</t>
        </is>
      </c>
      <c r="B871" t="inlineStr">
        <is>
          <t>/Users/manczg/Documents/development/archon-search/tests/test_store.py</t>
        </is>
      </c>
      <c r="C871" t="inlineStr">
        <is>
          <t>tests-05</t>
        </is>
      </c>
      <c r="D871" t="n">
        <v>5911</v>
      </c>
      <c r="E871" t="inlineStr">
        <is>
          <t>TP</t>
        </is>
      </c>
      <c r="F871" t="inlineStr">
        <is>
          <t>store._do_subtract_meta_on_delete private method called directly</t>
        </is>
      </c>
    </row>
    <row r="872">
      <c r="A872" t="inlineStr">
        <is>
          <t>archon-search</t>
        </is>
      </c>
      <c r="B872" t="inlineStr">
        <is>
          <t>/Users/manczg/Documents/development/archon-search/tests/test_store.py</t>
        </is>
      </c>
      <c r="C872" t="inlineStr">
        <is>
          <t>tests-05</t>
        </is>
      </c>
      <c r="D872" t="n">
        <v>5924</v>
      </c>
      <c r="E872" t="inlineStr">
        <is>
          <t>TP</t>
        </is>
      </c>
      <c r="F872" t="inlineStr">
        <is>
          <t>store._require_connected private method called directly</t>
        </is>
      </c>
    </row>
    <row r="873">
      <c r="A873" t="inlineStr">
        <is>
          <t>archon-search</t>
        </is>
      </c>
      <c r="B873" t="inlineStr">
        <is>
          <t>/Users/manczg/Documents/development/archon-search/tests/test_store.py</t>
        </is>
      </c>
      <c r="C873" t="inlineStr">
        <is>
          <t>tests-05</t>
        </is>
      </c>
      <c r="D873" t="n">
        <v>5927</v>
      </c>
      <c r="E873" t="inlineStr">
        <is>
          <t>TP</t>
        </is>
      </c>
      <c r="F873" t="inlineStr">
        <is>
          <t>store._do_subtract_meta_on_delete private method called directly</t>
        </is>
      </c>
    </row>
    <row r="874">
      <c r="A874" t="inlineStr">
        <is>
          <t>archon-search</t>
        </is>
      </c>
      <c r="B874" t="inlineStr">
        <is>
          <t>/Users/manczg/Documents/development/archon-search/tests/test_store.py</t>
        </is>
      </c>
      <c r="C874" t="inlineStr">
        <is>
          <t>tests-05</t>
        </is>
      </c>
      <c r="D874" t="n">
        <v>5941</v>
      </c>
      <c r="E874" t="inlineStr">
        <is>
          <t>TP</t>
        </is>
      </c>
      <c r="F874" t="inlineStr">
        <is>
          <t>store._require_connected private method called directly</t>
        </is>
      </c>
    </row>
    <row r="875">
      <c r="A875" t="inlineStr">
        <is>
          <t>archon-search</t>
        </is>
      </c>
      <c r="B875" t="inlineStr">
        <is>
          <t>/Users/manczg/Documents/development/archon-search/tests/test_store.py</t>
        </is>
      </c>
      <c r="C875" t="inlineStr">
        <is>
          <t>tests-05</t>
        </is>
      </c>
      <c r="D875" t="n">
        <v>5948</v>
      </c>
      <c r="E875" t="inlineStr">
        <is>
          <t>TP</t>
        </is>
      </c>
      <c r="F875" t="inlineStr">
        <is>
          <t>store._do_subtract_meta_on_delete private method called directly</t>
        </is>
      </c>
    </row>
    <row r="876">
      <c r="A876" t="inlineStr">
        <is>
          <t>archon-search</t>
        </is>
      </c>
      <c r="B876" t="inlineStr">
        <is>
          <t>/Users/manczg/Documents/development/archon-search/tests/test_store.py</t>
        </is>
      </c>
      <c r="C876" t="inlineStr">
        <is>
          <t>tests-05</t>
        </is>
      </c>
      <c r="D876" t="n">
        <v>5962</v>
      </c>
      <c r="E876" t="inlineStr">
        <is>
          <t>TP</t>
        </is>
      </c>
      <c r="F876" t="inlineStr">
        <is>
          <t>store._require_connected private method called directly</t>
        </is>
      </c>
    </row>
    <row r="877">
      <c r="A877" t="inlineStr">
        <is>
          <t>archon-search</t>
        </is>
      </c>
      <c r="B877" t="inlineStr">
        <is>
          <t>/Users/manczg/Documents/development/archon-search/tests/test_store.py</t>
        </is>
      </c>
      <c r="C877" t="inlineStr">
        <is>
          <t>tests-05</t>
        </is>
      </c>
      <c r="D877" t="n">
        <v>5970</v>
      </c>
      <c r="E877" t="inlineStr">
        <is>
          <t>TP</t>
        </is>
      </c>
      <c r="F877" t="inlineStr">
        <is>
          <t>store._do_subtract_meta_on_delete private method called directly</t>
        </is>
      </c>
    </row>
    <row r="878">
      <c r="A878" t="inlineStr">
        <is>
          <t>archon-search</t>
        </is>
      </c>
      <c r="B878" t="inlineStr">
        <is>
          <t>/Users/manczg/Documents/development/archon-search/tests/test_store.py</t>
        </is>
      </c>
      <c r="C878" t="inlineStr">
        <is>
          <t>tests-05</t>
        </is>
      </c>
      <c r="D878" t="n">
        <v>6335</v>
      </c>
      <c r="E878" t="inlineStr">
        <is>
          <t>TP</t>
        </is>
      </c>
      <c r="F878" t="inlineStr">
        <is>
          <t>store._do_update_meta_on_add monkeypatched directly on real store</t>
        </is>
      </c>
    </row>
    <row r="879">
      <c r="A879" t="inlineStr">
        <is>
          <t>archon-search</t>
        </is>
      </c>
      <c r="B879" t="inlineStr">
        <is>
          <t>/Users/manczg/Documents/development/archon-search/tests/test_store.py</t>
        </is>
      </c>
      <c r="C879" t="inlineStr">
        <is>
          <t>tests-05</t>
        </is>
      </c>
      <c r="D879" t="n">
        <v>6713</v>
      </c>
      <c r="E879" t="inlineStr">
        <is>
          <t>TP</t>
        </is>
      </c>
      <c r="F879" t="inlineStr">
        <is>
          <t>store._require_connected private method called directly</t>
        </is>
      </c>
    </row>
    <row r="880">
      <c r="A880" t="inlineStr">
        <is>
          <t>archon-search</t>
        </is>
      </c>
      <c r="B880" t="inlineStr">
        <is>
          <t>/Users/manczg/Documents/development/archon-search/tests/test_store.py</t>
        </is>
      </c>
      <c r="C880" t="inlineStr">
        <is>
          <t>tests-05</t>
        </is>
      </c>
      <c r="D880" t="n">
        <v>6746</v>
      </c>
      <c r="E880" t="inlineStr">
        <is>
          <t>TP</t>
        </is>
      </c>
      <c r="F880" t="inlineStr">
        <is>
          <t>store._require_connected private method called directly</t>
        </is>
      </c>
    </row>
    <row r="881">
      <c r="A881" t="inlineStr">
        <is>
          <t>archon-search</t>
        </is>
      </c>
      <c r="B881" t="inlineStr">
        <is>
          <t>/Users/manczg/Documents/development/archon-search/tests/test_store.py</t>
        </is>
      </c>
      <c r="C881" t="inlineStr">
        <is>
          <t>tests-05</t>
        </is>
      </c>
      <c r="D881" t="n">
        <v>6780</v>
      </c>
      <c r="E881" t="inlineStr">
        <is>
          <t>TP</t>
        </is>
      </c>
      <c r="F881" t="inlineStr">
        <is>
          <t>store._require_connected private method called directly</t>
        </is>
      </c>
    </row>
    <row r="882">
      <c r="A882" t="inlineStr">
        <is>
          <t>archon-search</t>
        </is>
      </c>
      <c r="B882" t="inlineStr">
        <is>
          <t>/Users/manczg/Documents/development/archon-search/tests/test_store.py</t>
        </is>
      </c>
      <c r="C882" t="inlineStr">
        <is>
          <t>tests-05</t>
        </is>
      </c>
      <c r="D882" t="n">
        <v>6950</v>
      </c>
      <c r="E882" t="inlineStr">
        <is>
          <t>TP</t>
        </is>
      </c>
      <c r="F882" t="inlineStr">
        <is>
          <t>SearchStore._meta_schema private method called directly</t>
        </is>
      </c>
    </row>
    <row r="883">
      <c r="A883" t="inlineStr">
        <is>
          <t>archon-search</t>
        </is>
      </c>
      <c r="B883" t="inlineStr">
        <is>
          <t>/Users/manczg/Documents/development/archon-search/tests/test_store.py</t>
        </is>
      </c>
      <c r="C883" t="inlineStr">
        <is>
          <t>tests-05</t>
        </is>
      </c>
      <c r="D883" t="n">
        <v>6969</v>
      </c>
      <c r="E883" t="inlineStr">
        <is>
          <t>TP</t>
        </is>
      </c>
      <c r="F883" t="inlineStr">
        <is>
          <t>SearchStore._row_to_meta private method called directly</t>
        </is>
      </c>
    </row>
    <row r="884">
      <c r="A884" t="inlineStr">
        <is>
          <t>archon-search</t>
        </is>
      </c>
      <c r="B884" t="inlineStr">
        <is>
          <t>/Users/manczg/Documents/development/archon-search/tests/test_store.py</t>
        </is>
      </c>
      <c r="C884" t="inlineStr">
        <is>
          <t>tests-05</t>
        </is>
      </c>
      <c r="D884" t="n">
        <v>6989</v>
      </c>
      <c r="E884" t="inlineStr">
        <is>
          <t>TP</t>
        </is>
      </c>
      <c r="F884" t="inlineStr">
        <is>
          <t>store._require_connected private method called directly</t>
        </is>
      </c>
    </row>
    <row r="885">
      <c r="A885" t="inlineStr">
        <is>
          <t>archon-search</t>
        </is>
      </c>
      <c r="B885" t="inlineStr">
        <is>
          <t>/Users/manczg/Documents/development/archon-search/tests/test_store.py</t>
        </is>
      </c>
      <c r="C885" t="inlineStr">
        <is>
          <t>tests-05</t>
        </is>
      </c>
      <c r="D885" t="n">
        <v>6992</v>
      </c>
      <c r="E885" t="inlineStr">
        <is>
          <t>TP</t>
        </is>
      </c>
      <c r="F885" t="inlineStr">
        <is>
          <t>SearchStore._meta_schema private method called directly</t>
        </is>
      </c>
    </row>
    <row r="886">
      <c r="A886" t="inlineStr">
        <is>
          <t>archon-search</t>
        </is>
      </c>
      <c r="B886" t="inlineStr">
        <is>
          <t>/Users/manczg/Documents/development/archon-search/tests/test_store.py</t>
        </is>
      </c>
      <c r="C886" t="inlineStr">
        <is>
          <t>tests-05</t>
        </is>
      </c>
      <c r="D886" t="n">
        <v>6997</v>
      </c>
      <c r="E886" t="inlineStr">
        <is>
          <t>TP</t>
        </is>
      </c>
      <c r="F886" t="inlineStr">
        <is>
          <t>store._run_startup_migrations private method called directly</t>
        </is>
      </c>
    </row>
    <row r="887">
      <c r="A887" t="inlineStr">
        <is>
          <t>archon-search</t>
        </is>
      </c>
      <c r="B887" t="inlineStr">
        <is>
          <t>/Users/manczg/Documents/development/archon-search/tests/test_store.py</t>
        </is>
      </c>
      <c r="C887" t="inlineStr">
        <is>
          <t>tests-05</t>
        </is>
      </c>
      <c r="D887" t="n">
        <v>7002</v>
      </c>
      <c r="E887" t="inlineStr">
        <is>
          <t>TP</t>
        </is>
      </c>
      <c r="F887" t="inlineStr">
        <is>
          <t>store._run_startup_migrations private method called directly</t>
        </is>
      </c>
    </row>
    <row r="888">
      <c r="A888" t="inlineStr">
        <is>
          <t>archon-search</t>
        </is>
      </c>
      <c r="B888" t="inlineStr">
        <is>
          <t>/Users/manczg/Documents/development/archon-search/tests/test_store.py</t>
        </is>
      </c>
      <c r="C888" t="inlineStr">
        <is>
          <t>tests-05</t>
        </is>
      </c>
      <c r="D888" t="n">
        <v>7034</v>
      </c>
      <c r="E888" t="inlineStr">
        <is>
          <t>TP</t>
        </is>
      </c>
      <c r="F888" t="inlineStr">
        <is>
          <t>store._require_connected private method called directly</t>
        </is>
      </c>
    </row>
    <row r="889">
      <c r="A889" t="inlineStr">
        <is>
          <t>archon-search</t>
        </is>
      </c>
      <c r="B889" t="inlineStr">
        <is>
          <t>/Users/manczg/Documents/development/archon-search/tests/test_store.py</t>
        </is>
      </c>
      <c r="C889" t="inlineStr">
        <is>
          <t>tests-05</t>
        </is>
      </c>
      <c r="D889" t="n">
        <v>7039</v>
      </c>
      <c r="E889" t="inlineStr">
        <is>
          <t>TP</t>
        </is>
      </c>
      <c r="F889" t="inlineStr">
        <is>
          <t>store._run_startup_migrations private method called directly</t>
        </is>
      </c>
    </row>
    <row r="890">
      <c r="A890" t="inlineStr">
        <is>
          <t>archon-search</t>
        </is>
      </c>
      <c r="B890" t="inlineStr">
        <is>
          <t>/Users/manczg/Documents/development/archon-search/tests/test_store.py</t>
        </is>
      </c>
      <c r="C890" t="inlineStr">
        <is>
          <t>tests-05</t>
        </is>
      </c>
      <c r="D890" t="n">
        <v>7057</v>
      </c>
      <c r="E890" t="inlineStr">
        <is>
          <t>TP</t>
        </is>
      </c>
      <c r="F890" t="inlineStr">
        <is>
          <t>SearchStore._row_to_meta private method called directly</t>
        </is>
      </c>
    </row>
    <row r="891">
      <c r="A891" t="inlineStr">
        <is>
          <t>archon-search</t>
        </is>
      </c>
      <c r="B891" t="inlineStr">
        <is>
          <t>/Users/manczg/Documents/development/archon-search/tests/test_store.py</t>
        </is>
      </c>
      <c r="C891" t="inlineStr">
        <is>
          <t>tests-05</t>
        </is>
      </c>
      <c r="D891" t="n">
        <v>7242</v>
      </c>
      <c r="E891" t="inlineStr">
        <is>
          <t>TP</t>
        </is>
      </c>
      <c r="F891" t="inlineStr">
        <is>
          <t>SearchStore._all_migrations private method called directly</t>
        </is>
      </c>
    </row>
    <row r="892">
      <c r="A892" t="inlineStr">
        <is>
          <t>archon-search</t>
        </is>
      </c>
      <c r="B892" t="inlineStr">
        <is>
          <t>/Users/manczg/Documents/development/archon-search/tests/test_store.py</t>
        </is>
      </c>
      <c r="C892" t="inlineStr">
        <is>
          <t>tests-05</t>
        </is>
      </c>
      <c r="D892" t="n">
        <v>7289</v>
      </c>
      <c r="E892" t="inlineStr">
        <is>
          <t>TP</t>
        </is>
      </c>
      <c r="F892" t="inlineStr">
        <is>
          <t>store._locks set directly on real store via __new__</t>
        </is>
      </c>
    </row>
    <row r="893">
      <c r="A893" t="inlineStr">
        <is>
          <t>archon-search</t>
        </is>
      </c>
      <c r="B893" t="inlineStr">
        <is>
          <t>/Users/manczg/Documents/development/archon-search/tests/test_store.py</t>
        </is>
      </c>
      <c r="C893" t="inlineStr">
        <is>
          <t>tests-05</t>
        </is>
      </c>
      <c r="D893" t="n">
        <v>7326</v>
      </c>
      <c r="E893" t="inlineStr">
        <is>
          <t>TP</t>
        </is>
      </c>
      <c r="F893" t="inlineStr">
        <is>
          <t>store._locks set directly on real store via __new__</t>
        </is>
      </c>
    </row>
    <row r="894">
      <c r="A894" t="inlineStr">
        <is>
          <t>archon-search</t>
        </is>
      </c>
      <c r="B894" t="inlineStr">
        <is>
          <t>/Users/manczg/Documents/development/archon-search/tests/test_store.py</t>
        </is>
      </c>
      <c r="C894" t="inlineStr">
        <is>
          <t>tests-05</t>
        </is>
      </c>
      <c r="D894" t="n">
        <v>7357</v>
      </c>
      <c r="E894" t="inlineStr">
        <is>
          <t>TP</t>
        </is>
      </c>
      <c r="F894" t="inlineStr">
        <is>
          <t>store._locks set directly on real store via __new__</t>
        </is>
      </c>
    </row>
    <row r="895">
      <c r="A895" t="inlineStr">
        <is>
          <t>archon-search</t>
        </is>
      </c>
      <c r="B895" t="inlineStr">
        <is>
          <t>/Users/manczg/Documents/development/archon-search/tests/test_store.py</t>
        </is>
      </c>
      <c r="C895" t="inlineStr">
        <is>
          <t>tests-05</t>
        </is>
      </c>
      <c r="D895" t="n">
        <v>7376</v>
      </c>
      <c r="E895" t="inlineStr">
        <is>
          <t>TP</t>
        </is>
      </c>
      <c r="F895" t="inlineStr">
        <is>
          <t>store._locks set directly on real store via __new__</t>
        </is>
      </c>
    </row>
    <row r="896">
      <c r="A896" t="inlineStr">
        <is>
          <t>archon-search</t>
        </is>
      </c>
      <c r="B896" t="inlineStr">
        <is>
          <t>/Users/manczg/Documents/development/archon-search/tests/test_store.py</t>
        </is>
      </c>
      <c r="C896" t="inlineStr">
        <is>
          <t>tests-05</t>
        </is>
      </c>
      <c r="D896" t="n">
        <v>7404</v>
      </c>
      <c r="E896" t="inlineStr">
        <is>
          <t>TP</t>
        </is>
      </c>
      <c r="F896" t="inlineStr">
        <is>
          <t>store._locks set directly on real store via __new__</t>
        </is>
      </c>
    </row>
    <row r="897">
      <c r="A897" t="inlineStr">
        <is>
          <t>archon-search</t>
        </is>
      </c>
      <c r="B897" t="inlineStr">
        <is>
          <t>/Users/manczg/Documents/development/archon-search/tests/test_store.py</t>
        </is>
      </c>
      <c r="C897" t="inlineStr">
        <is>
          <t>tests-05</t>
        </is>
      </c>
      <c r="D897" t="n">
        <v>7449</v>
      </c>
      <c r="E897" t="inlineStr">
        <is>
          <t>TP</t>
        </is>
      </c>
      <c r="F897" t="inlineStr">
        <is>
          <t>store._require_connected private method called directly</t>
        </is>
      </c>
    </row>
    <row r="898">
      <c r="A898" t="inlineStr">
        <is>
          <t>archon-search</t>
        </is>
      </c>
      <c r="B898" t="inlineStr">
        <is>
          <t>/Users/manczg/Documents/development/archon-search/tests/test_store.py</t>
        </is>
      </c>
      <c r="C898" t="inlineStr">
        <is>
          <t>tests-05</t>
        </is>
      </c>
      <c r="D898" t="n">
        <v>7452</v>
      </c>
      <c r="E898" t="inlineStr">
        <is>
          <t>TP</t>
        </is>
      </c>
      <c r="F898" t="inlineStr">
        <is>
          <t>SearchStore._meta_schema private method called directly</t>
        </is>
      </c>
    </row>
    <row r="899">
      <c r="A899" t="inlineStr">
        <is>
          <t>archon-search</t>
        </is>
      </c>
      <c r="B899" t="inlineStr">
        <is>
          <t>/Users/manczg/Documents/development/archon-search/tests/test_store.py</t>
        </is>
      </c>
      <c r="C899" t="inlineStr">
        <is>
          <t>tests-05</t>
        </is>
      </c>
      <c r="D899" t="n">
        <v>7457</v>
      </c>
      <c r="E899" t="inlineStr">
        <is>
          <t>TP</t>
        </is>
      </c>
      <c r="F899" t="inlineStr">
        <is>
          <t>store._run_startup_migrations private method called directly</t>
        </is>
      </c>
    </row>
    <row r="900">
      <c r="A900" t="inlineStr">
        <is>
          <t>archon-search</t>
        </is>
      </c>
      <c r="B900" t="inlineStr">
        <is>
          <t>/Users/manczg/Documents/development/archon-search/tests/test_store.py</t>
        </is>
      </c>
      <c r="C900" t="inlineStr">
        <is>
          <t>tests-05</t>
        </is>
      </c>
      <c r="D900" t="n">
        <v>7489</v>
      </c>
      <c r="E900" t="inlineStr">
        <is>
          <t>TP</t>
        </is>
      </c>
      <c r="F900" t="inlineStr">
        <is>
          <t>store._migrate_schema_version monkeypatched on real store</t>
        </is>
      </c>
    </row>
    <row r="901">
      <c r="A901" t="inlineStr">
        <is>
          <t>archon-search</t>
        </is>
      </c>
      <c r="B901" t="inlineStr">
        <is>
          <t>/Users/manczg/Documents/development/archon-search/tests/test_store.py</t>
        </is>
      </c>
      <c r="C901" t="inlineStr">
        <is>
          <t>tests-05</t>
        </is>
      </c>
      <c r="D901" t="n">
        <v>7490</v>
      </c>
      <c r="E901" t="inlineStr">
        <is>
          <t>TP</t>
        </is>
      </c>
      <c r="F901" t="inlineStr">
        <is>
          <t>store._migrate_community_rebuild_job_id monkeypatched on real store</t>
        </is>
      </c>
    </row>
    <row r="902">
      <c r="A902" t="inlineStr">
        <is>
          <t>archon-search</t>
        </is>
      </c>
      <c r="B902" t="inlineStr">
        <is>
          <t>/Users/manczg/Documents/development/archon-search/tests/test_store.py</t>
        </is>
      </c>
      <c r="C902" t="inlineStr">
        <is>
          <t>tests-05</t>
        </is>
      </c>
      <c r="D902" t="n">
        <v>7491</v>
      </c>
      <c r="E902" t="inlineStr">
        <is>
          <t>TP</t>
        </is>
      </c>
      <c r="F902" t="inlineStr">
        <is>
          <t>store._migrate_metadata_reindex_job_id monkeypatched on real store</t>
        </is>
      </c>
    </row>
    <row r="903">
      <c r="A903" t="inlineStr">
        <is>
          <t>archon-search</t>
        </is>
      </c>
      <c r="B903" t="inlineStr">
        <is>
          <t>/Users/manczg/Documents/development/archon-search/tests/test_store.py</t>
        </is>
      </c>
      <c r="C903" t="inlineStr">
        <is>
          <t>tests-05</t>
        </is>
      </c>
      <c r="D903" t="n">
        <v>7494</v>
      </c>
      <c r="E903" t="inlineStr">
        <is>
          <t>TP</t>
        </is>
      </c>
      <c r="F903" t="inlineStr">
        <is>
          <t>store._run_startup_migrations private method called directly</t>
        </is>
      </c>
    </row>
    <row r="904">
      <c r="A904" t="inlineStr">
        <is>
          <t>archon-search</t>
        </is>
      </c>
      <c r="B904" t="inlineStr">
        <is>
          <t>/Users/manczg/Documents/development/archon-search/tests/test_store.py</t>
        </is>
      </c>
      <c r="C904" t="inlineStr">
        <is>
          <t>tests-05</t>
        </is>
      </c>
      <c r="D904" t="n">
        <v>7547</v>
      </c>
      <c r="E904" t="inlineStr">
        <is>
          <t>TP</t>
        </is>
      </c>
      <c r="F904" t="inlineStr">
        <is>
          <t>store._collection_locks set directly on real store via __new__</t>
        </is>
      </c>
    </row>
    <row r="905">
      <c r="A905" t="inlineStr">
        <is>
          <t>archon-search</t>
        </is>
      </c>
      <c r="B905" t="inlineStr">
        <is>
          <t>/Users/manczg/Documents/development/archon-search/tests/test_store.py</t>
        </is>
      </c>
      <c r="C905" t="inlineStr">
        <is>
          <t>tests-05</t>
        </is>
      </c>
      <c r="D905" t="n">
        <v>7548</v>
      </c>
      <c r="E905" t="inlineStr">
        <is>
          <t>TP</t>
        </is>
      </c>
      <c r="F905" t="inlineStr">
        <is>
          <t>store._validate_collection monkeypatched on real store</t>
        </is>
      </c>
    </row>
    <row r="906">
      <c r="A906" t="inlineStr">
        <is>
          <t>archon-search</t>
        </is>
      </c>
      <c r="B906" t="inlineStr">
        <is>
          <t>/Users/manczg/Documents/development/archon-search/tests/test_store.py</t>
        </is>
      </c>
      <c r="C906" t="inlineStr">
        <is>
          <t>tests-05</t>
        </is>
      </c>
      <c r="D906" t="n">
        <v>7566</v>
      </c>
      <c r="E906" t="inlineStr">
        <is>
          <t>TP</t>
        </is>
      </c>
      <c r="F906" t="inlineStr">
        <is>
          <t>store._require_connected monkeypatched on real store</t>
        </is>
      </c>
    </row>
    <row r="907">
      <c r="A907" t="inlineStr">
        <is>
          <t>archon-search</t>
        </is>
      </c>
      <c r="B907" t="inlineStr">
        <is>
          <t>/Users/manczg/Documents/development/archon-search/tests/test_store.py</t>
        </is>
      </c>
      <c r="C907" t="inlineStr">
        <is>
          <t>tests-05</t>
        </is>
      </c>
      <c r="D907" t="n">
        <v>7600</v>
      </c>
      <c r="E907" t="inlineStr">
        <is>
          <t>TP</t>
        </is>
      </c>
      <c r="F907" t="inlineStr">
        <is>
          <t>store._collection_locks set directly on real store via __new__</t>
        </is>
      </c>
    </row>
    <row r="908">
      <c r="A908" t="inlineStr">
        <is>
          <t>archon-search</t>
        </is>
      </c>
      <c r="B908" t="inlineStr">
        <is>
          <t>/Users/manczg/Documents/development/archon-search/tests/test_store.py</t>
        </is>
      </c>
      <c r="C908" t="inlineStr">
        <is>
          <t>tests-05</t>
        </is>
      </c>
      <c r="D908" t="n">
        <v>7601</v>
      </c>
      <c r="E908" t="inlineStr">
        <is>
          <t>TP</t>
        </is>
      </c>
      <c r="F908" t="inlineStr">
        <is>
          <t>store._validate_collection monkeypatched on real store</t>
        </is>
      </c>
    </row>
    <row r="909">
      <c r="A909" t="inlineStr">
        <is>
          <t>archon-search</t>
        </is>
      </c>
      <c r="B909" t="inlineStr">
        <is>
          <t>/Users/manczg/Documents/development/archon-search/tests/test_store.py</t>
        </is>
      </c>
      <c r="C909" t="inlineStr">
        <is>
          <t>tests-05</t>
        </is>
      </c>
      <c r="D909" t="n">
        <v>7617</v>
      </c>
      <c r="E909" t="inlineStr">
        <is>
          <t>TP</t>
        </is>
      </c>
      <c r="F909" t="inlineStr">
        <is>
          <t>store._require_connected monkeypatched on real store</t>
        </is>
      </c>
    </row>
    <row r="910">
      <c r="A910" t="inlineStr">
        <is>
          <t>archon-search</t>
        </is>
      </c>
      <c r="B910" t="inlineStr">
        <is>
          <t>/Users/manczg/Documents/development/archon-search/tests/test_store.py</t>
        </is>
      </c>
      <c r="C910" t="inlineStr">
        <is>
          <t>tests-05</t>
        </is>
      </c>
      <c r="D910" t="n">
        <v>7649</v>
      </c>
      <c r="E910" t="inlineStr">
        <is>
          <t>TP</t>
        </is>
      </c>
      <c r="F910" t="inlineStr">
        <is>
          <t>store._collection_locks set directly on real store via __new__</t>
        </is>
      </c>
    </row>
    <row r="911">
      <c r="A911" t="inlineStr">
        <is>
          <t>archon-search</t>
        </is>
      </c>
      <c r="B911" t="inlineStr">
        <is>
          <t>/Users/manczg/Documents/development/archon-search/tests/test_store.py</t>
        </is>
      </c>
      <c r="C911" t="inlineStr">
        <is>
          <t>tests-05</t>
        </is>
      </c>
      <c r="D911" t="n">
        <v>7650</v>
      </c>
      <c r="E911" t="inlineStr">
        <is>
          <t>TP</t>
        </is>
      </c>
      <c r="F911" t="inlineStr">
        <is>
          <t>store._validate_collection monkeypatched on real store</t>
        </is>
      </c>
    </row>
    <row r="912">
      <c r="A912" t="inlineStr">
        <is>
          <t>archon-search</t>
        </is>
      </c>
      <c r="B912" t="inlineStr">
        <is>
          <t>/Users/manczg/Documents/development/archon-search/tests/test_store.py</t>
        </is>
      </c>
      <c r="C912" t="inlineStr">
        <is>
          <t>tests-05</t>
        </is>
      </c>
      <c r="D912" t="n">
        <v>7675</v>
      </c>
      <c r="E912" t="inlineStr">
        <is>
          <t>TP</t>
        </is>
      </c>
      <c r="F912" t="inlineStr">
        <is>
          <t>store._collection_locks set directly on real store via __new__</t>
        </is>
      </c>
    </row>
    <row r="913">
      <c r="A913" t="inlineStr">
        <is>
          <t>archon-search</t>
        </is>
      </c>
      <c r="B913" t="inlineStr">
        <is>
          <t>/Users/manczg/Documents/development/archon-search/tests/test_store.py</t>
        </is>
      </c>
      <c r="C913" t="inlineStr">
        <is>
          <t>tests-05</t>
        </is>
      </c>
      <c r="D913" t="n">
        <v>7676</v>
      </c>
      <c r="E913" t="inlineStr">
        <is>
          <t>TP</t>
        </is>
      </c>
      <c r="F913" t="inlineStr">
        <is>
          <t>store._validate_collection monkeypatched on real store</t>
        </is>
      </c>
    </row>
    <row r="914">
      <c r="A914" t="inlineStr">
        <is>
          <t>archon-search</t>
        </is>
      </c>
      <c r="B914" t="inlineStr">
        <is>
          <t>/Users/manczg/Documents/development/archon-search/tests/test_store.py</t>
        </is>
      </c>
      <c r="C914" t="inlineStr">
        <is>
          <t>tests-05</t>
        </is>
      </c>
      <c r="D914" t="n">
        <v>7692</v>
      </c>
      <c r="E914" t="inlineStr">
        <is>
          <t>TP</t>
        </is>
      </c>
      <c r="F914" t="inlineStr">
        <is>
          <t>store._require_connected monkeypatched on real store</t>
        </is>
      </c>
    </row>
    <row r="915">
      <c r="A915" t="inlineStr">
        <is>
          <t>archon-search</t>
        </is>
      </c>
      <c r="B915" t="inlineStr">
        <is>
          <t>/Users/manczg/Documents/development/archon-search/tests/test_store.py</t>
        </is>
      </c>
      <c r="C915" t="inlineStr">
        <is>
          <t>tests-05</t>
        </is>
      </c>
      <c r="D915" t="n">
        <v>7722</v>
      </c>
      <c r="E915" t="inlineStr">
        <is>
          <t>TP</t>
        </is>
      </c>
      <c r="F915" t="inlineStr">
        <is>
          <t>store._collection_locks set directly on real store via __new__</t>
        </is>
      </c>
    </row>
    <row r="916">
      <c r="A916" t="inlineStr">
        <is>
          <t>archon-search</t>
        </is>
      </c>
      <c r="B916" t="inlineStr">
        <is>
          <t>/Users/manczg/Documents/development/archon-search/tests/test_store.py</t>
        </is>
      </c>
      <c r="C916" t="inlineStr">
        <is>
          <t>tests-05</t>
        </is>
      </c>
      <c r="D916" t="n">
        <v>7723</v>
      </c>
      <c r="E916" t="inlineStr">
        <is>
          <t>TP</t>
        </is>
      </c>
      <c r="F916" t="inlineStr">
        <is>
          <t>store._validate_collection monkeypatched on real store</t>
        </is>
      </c>
    </row>
    <row r="917">
      <c r="A917" t="inlineStr">
        <is>
          <t>archon-search</t>
        </is>
      </c>
      <c r="B917" t="inlineStr">
        <is>
          <t>/Users/manczg/Documents/development/archon-search/tests/test_store.py</t>
        </is>
      </c>
      <c r="C917" t="inlineStr">
        <is>
          <t>tests-05</t>
        </is>
      </c>
      <c r="D917" t="n">
        <v>7747</v>
      </c>
      <c r="E917" t="inlineStr">
        <is>
          <t>TP</t>
        </is>
      </c>
      <c r="F917" t="inlineStr">
        <is>
          <t>store._require_connected monkeypatched on real store</t>
        </is>
      </c>
    </row>
    <row r="918">
      <c r="A918" t="inlineStr">
        <is>
          <t>archon-search</t>
        </is>
      </c>
      <c r="B918" t="inlineStr">
        <is>
          <t>/Users/manczg/Documents/development/archon-search/tests/test_store.py</t>
        </is>
      </c>
      <c r="C918" t="inlineStr">
        <is>
          <t>tests-05</t>
        </is>
      </c>
      <c r="D918" t="n">
        <v>7793</v>
      </c>
      <c r="E918" t="inlineStr">
        <is>
          <t>TP</t>
        </is>
      </c>
      <c r="F918" t="inlineStr">
        <is>
          <t>store._collection_locks set directly on real store via __new__</t>
        </is>
      </c>
    </row>
    <row r="919">
      <c r="A919" t="inlineStr">
        <is>
          <t>archon-search</t>
        </is>
      </c>
      <c r="B919" t="inlineStr">
        <is>
          <t>/Users/manczg/Documents/development/archon-search/tests/test_store.py</t>
        </is>
      </c>
      <c r="C919" t="inlineStr">
        <is>
          <t>tests-05</t>
        </is>
      </c>
      <c r="D919" t="n">
        <v>7794</v>
      </c>
      <c r="E919" t="inlineStr">
        <is>
          <t>TP</t>
        </is>
      </c>
      <c r="F919" t="inlineStr">
        <is>
          <t>store._validate_collection monkeypatched on real store</t>
        </is>
      </c>
    </row>
    <row r="920">
      <c r="A920" t="inlineStr">
        <is>
          <t>archon-search</t>
        </is>
      </c>
      <c r="B920" t="inlineStr">
        <is>
          <t>/Users/manczg/Documents/development/archon-search/tests/test_store.py</t>
        </is>
      </c>
      <c r="C920" t="inlineStr">
        <is>
          <t>tests-05</t>
        </is>
      </c>
      <c r="D920" t="n">
        <v>7819</v>
      </c>
      <c r="E920" t="inlineStr">
        <is>
          <t>TP</t>
        </is>
      </c>
      <c r="F920" t="inlineStr">
        <is>
          <t>store._require_connected monkeypatched on real store</t>
        </is>
      </c>
    </row>
    <row r="921">
      <c r="A921" t="inlineStr">
        <is>
          <t>archon-search</t>
        </is>
      </c>
      <c r="B921" t="inlineStr">
        <is>
          <t>/Users/manczg/Documents/development/archon-search/tests/test_store.py</t>
        </is>
      </c>
      <c r="C921" t="inlineStr">
        <is>
          <t>tests-05</t>
        </is>
      </c>
      <c r="D921" t="n">
        <v>7848</v>
      </c>
      <c r="E921" t="inlineStr">
        <is>
          <t>TP</t>
        </is>
      </c>
      <c r="F921" t="inlineStr">
        <is>
          <t>store._collection_locks set directly on real store via __new__</t>
        </is>
      </c>
    </row>
    <row r="922">
      <c r="A922" t="inlineStr">
        <is>
          <t>archon-search</t>
        </is>
      </c>
      <c r="B922" t="inlineStr">
        <is>
          <t>/Users/manczg/Documents/development/archon-search/tests/test_store.py</t>
        </is>
      </c>
      <c r="C922" t="inlineStr">
        <is>
          <t>tests-05</t>
        </is>
      </c>
      <c r="D922" t="n">
        <v>7849</v>
      </c>
      <c r="E922" t="inlineStr">
        <is>
          <t>TP</t>
        </is>
      </c>
      <c r="F922" t="inlineStr">
        <is>
          <t>store._validate_collection monkeypatched on real store</t>
        </is>
      </c>
    </row>
    <row r="923">
      <c r="A923" t="inlineStr">
        <is>
          <t>archon-search</t>
        </is>
      </c>
      <c r="B923" t="inlineStr">
        <is>
          <t>/Users/manczg/Documents/development/archon-search/tests/test_store.py</t>
        </is>
      </c>
      <c r="C923" t="inlineStr">
        <is>
          <t>tests-05</t>
        </is>
      </c>
      <c r="D923" t="n">
        <v>7869</v>
      </c>
      <c r="E923" t="inlineStr">
        <is>
          <t>TP</t>
        </is>
      </c>
      <c r="F923" t="inlineStr">
        <is>
          <t>store._require_connected monkeypatched on real store</t>
        </is>
      </c>
    </row>
    <row r="924">
      <c r="A924" t="inlineStr">
        <is>
          <t>archon-search</t>
        </is>
      </c>
      <c r="B924" t="inlineStr">
        <is>
          <t>/Users/manczg/Documents/development/archon-search/tests/test_store.py</t>
        </is>
      </c>
      <c r="C924" t="inlineStr">
        <is>
          <t>tests-05</t>
        </is>
      </c>
      <c r="D924" t="n">
        <v>7897</v>
      </c>
      <c r="E924" t="inlineStr">
        <is>
          <t>TP</t>
        </is>
      </c>
      <c r="F924" t="inlineStr">
        <is>
          <t>store._collection_locks set directly on real store via __new__</t>
        </is>
      </c>
    </row>
    <row r="925">
      <c r="A925" t="inlineStr">
        <is>
          <t>archon-search</t>
        </is>
      </c>
      <c r="B925" t="inlineStr">
        <is>
          <t>/Users/manczg/Documents/development/archon-search/tests/test_store.py</t>
        </is>
      </c>
      <c r="C925" t="inlineStr">
        <is>
          <t>tests-05</t>
        </is>
      </c>
      <c r="D925" t="n">
        <v>7898</v>
      </c>
      <c r="E925" t="inlineStr">
        <is>
          <t>TP</t>
        </is>
      </c>
      <c r="F925" t="inlineStr">
        <is>
          <t>store._validate_collection monkeypatched on real store</t>
        </is>
      </c>
    </row>
    <row r="926">
      <c r="A926" t="inlineStr">
        <is>
          <t>archon-search</t>
        </is>
      </c>
      <c r="B926" t="inlineStr">
        <is>
          <t>/Users/manczg/Documents/development/archon-search/tests/test_store.py</t>
        </is>
      </c>
      <c r="C926" t="inlineStr">
        <is>
          <t>tests-05</t>
        </is>
      </c>
      <c r="D926" t="n">
        <v>7925</v>
      </c>
      <c r="E926" t="inlineStr">
        <is>
          <t>TP</t>
        </is>
      </c>
      <c r="F926" t="inlineStr">
        <is>
          <t>store._require_connected monkeypatched on real store</t>
        </is>
      </c>
    </row>
    <row r="927">
      <c r="A927" t="inlineStr">
        <is>
          <t>archon-search</t>
        </is>
      </c>
      <c r="B927" t="inlineStr">
        <is>
          <t>/Users/manczg/Documents/development/archon-search/tests/test_store.py</t>
        </is>
      </c>
      <c r="C927" t="inlineStr">
        <is>
          <t>tests-05</t>
        </is>
      </c>
      <c r="D927" t="n">
        <v>7997</v>
      </c>
      <c r="E927" t="inlineStr">
        <is>
          <t>TP</t>
        </is>
      </c>
      <c r="F927" t="inlineStr">
        <is>
          <t>store._require_connected private method called directly</t>
        </is>
      </c>
    </row>
    <row r="928">
      <c r="A928" t="inlineStr">
        <is>
          <t>archon-search</t>
        </is>
      </c>
      <c r="B928" t="inlineStr">
        <is>
          <t>/Users/manczg/Documents/development/archon-search/tests/test_store.py</t>
        </is>
      </c>
      <c r="C928" t="inlineStr">
        <is>
          <t>tests-09</t>
        </is>
      </c>
      <c r="D928" t="n">
        <v>196</v>
      </c>
      <c r="E928" t="inlineStr">
        <is>
          <t>TP</t>
        </is>
      </c>
      <c r="F928" t="inlineStr">
        <is>
          <t>body has zero assertions (only a comment "should not raise")</t>
        </is>
      </c>
    </row>
    <row r="929">
      <c r="A929" t="inlineStr">
        <is>
          <t>archon-search</t>
        </is>
      </c>
      <c r="B929" t="inlineStr">
        <is>
          <t>/Users/manczg/Documents/development/archon-search/tests/test_store.py</t>
        </is>
      </c>
      <c r="C929" t="inlineStr">
        <is>
          <t>tests-09</t>
        </is>
      </c>
      <c r="D929" t="n">
        <v>236</v>
      </c>
      <c r="E929" t="inlineStr">
        <is>
          <t>TP</t>
        </is>
      </c>
      <c r="F929" t="inlineStr">
        <is>
          <t>body has zero assertions (only a comment "should not raise")</t>
        </is>
      </c>
    </row>
    <row r="930">
      <c r="A930" t="inlineStr">
        <is>
          <t>archon-search</t>
        </is>
      </c>
      <c r="B930" t="inlineStr">
        <is>
          <t>/Users/manczg/Documents/development/archon-search/tests/test_store.py</t>
        </is>
      </c>
      <c r="C930" t="inlineStr">
        <is>
          <t>tests-09</t>
        </is>
      </c>
      <c r="D930" t="n">
        <v>444</v>
      </c>
      <c r="E930" t="inlineStr">
        <is>
          <t>TP</t>
        </is>
      </c>
      <c r="F930" t="inlineStr">
        <is>
          <t>body has zero assertions</t>
        </is>
      </c>
    </row>
    <row r="931">
      <c r="A931" t="inlineStr">
        <is>
          <t>archon-search</t>
        </is>
      </c>
      <c r="B931" t="inlineStr">
        <is>
          <t>/Users/manczg/Documents/development/archon-search/tests/test_store.py</t>
        </is>
      </c>
      <c r="C931" t="inlineStr">
        <is>
          <t>tests-09</t>
        </is>
      </c>
      <c r="D931" t="n">
        <v>973</v>
      </c>
      <c r="E931" t="inlineStr">
        <is>
          <t>TP</t>
        </is>
      </c>
      <c r="F931" t="inlineStr">
        <is>
          <t>body has zero assertions</t>
        </is>
      </c>
    </row>
    <row r="932">
      <c r="A932" t="inlineStr">
        <is>
          <t>archon-search</t>
        </is>
      </c>
      <c r="B932" t="inlineStr">
        <is>
          <t>/Users/manczg/Documents/development/archon-search/tests/test_store.py</t>
        </is>
      </c>
      <c r="C932" t="inlineStr">
        <is>
          <t>tests-09</t>
        </is>
      </c>
      <c r="D932" t="n">
        <v>1049</v>
      </c>
      <c r="E932" t="inlineStr">
        <is>
          <t>TP</t>
        </is>
      </c>
      <c r="F932" t="inlineStr">
        <is>
          <t>body has zero assertions</t>
        </is>
      </c>
    </row>
    <row r="933">
      <c r="A933" t="inlineStr">
        <is>
          <t>archon-search</t>
        </is>
      </c>
      <c r="B933" t="inlineStr">
        <is>
          <t>/Users/manczg/Documents/development/archon-search/tests/test_store.py</t>
        </is>
      </c>
      <c r="C933" t="inlineStr">
        <is>
          <t>tests-09</t>
        </is>
      </c>
      <c r="D933" t="n">
        <v>1134</v>
      </c>
      <c r="E933" t="inlineStr">
        <is>
          <t>TP</t>
        </is>
      </c>
      <c r="F933" t="inlineStr">
        <is>
          <t>body has zero assertions</t>
        </is>
      </c>
    </row>
    <row r="934">
      <c r="A934" t="inlineStr">
        <is>
          <t>archon-search</t>
        </is>
      </c>
      <c r="B934" t="inlineStr">
        <is>
          <t>/Users/manczg/Documents/development/archon-search/tests/test_store.py</t>
        </is>
      </c>
      <c r="C934" t="inlineStr">
        <is>
          <t>tests-09</t>
        </is>
      </c>
      <c r="D934" t="n">
        <v>1222</v>
      </c>
      <c r="E934" t="inlineStr">
        <is>
          <t>TP</t>
        </is>
      </c>
      <c r="F934" t="inlineStr">
        <is>
          <t>body has zero assertions</t>
        </is>
      </c>
    </row>
    <row r="935">
      <c r="A935" t="inlineStr">
        <is>
          <t>archon-search</t>
        </is>
      </c>
      <c r="B935" t="inlineStr">
        <is>
          <t>/Users/manczg/Documents/development/archon-search/tests/test_store.py</t>
        </is>
      </c>
      <c r="C935" t="inlineStr">
        <is>
          <t>tests-09</t>
        </is>
      </c>
      <c r="D935" t="n">
        <v>1583</v>
      </c>
      <c r="E935" t="inlineStr">
        <is>
          <t>TP</t>
        </is>
      </c>
      <c r="F935" t="inlineStr">
        <is>
          <t>body has zero assertions</t>
        </is>
      </c>
    </row>
    <row r="936">
      <c r="A936" t="inlineStr">
        <is>
          <t>archon-search</t>
        </is>
      </c>
      <c r="B936" t="inlineStr">
        <is>
          <t>/Users/manczg/Documents/development/archon-search/tests/test_store.py</t>
        </is>
      </c>
      <c r="C936" t="inlineStr">
        <is>
          <t>tests-09</t>
        </is>
      </c>
      <c r="D936" t="n">
        <v>2894</v>
      </c>
      <c r="E936" t="inlineStr">
        <is>
          <t>TP</t>
        </is>
      </c>
      <c r="F936" t="inlineStr">
        <is>
          <t>body has zero assertions</t>
        </is>
      </c>
    </row>
    <row r="937">
      <c r="A937" t="inlineStr">
        <is>
          <t>archon-search</t>
        </is>
      </c>
      <c r="B937" t="inlineStr">
        <is>
          <t>/Users/manczg/Documents/development/archon-search/tests/test_store.py</t>
        </is>
      </c>
      <c r="C937" t="inlineStr">
        <is>
          <t>tests-09</t>
        </is>
      </c>
      <c r="D937" t="n">
        <v>2905</v>
      </c>
      <c r="E937" t="inlineStr">
        <is>
          <t>TP</t>
        </is>
      </c>
      <c r="F937" t="inlineStr">
        <is>
          <t>body has zero assertions</t>
        </is>
      </c>
    </row>
    <row r="938">
      <c r="A938" t="inlineStr">
        <is>
          <t>archon-search</t>
        </is>
      </c>
      <c r="B938" t="inlineStr">
        <is>
          <t>/Users/manczg/Documents/development/archon-search/tests/test_store.py</t>
        </is>
      </c>
      <c r="C938" t="inlineStr">
        <is>
          <t>tests-09</t>
        </is>
      </c>
      <c r="D938" t="n">
        <v>2947</v>
      </c>
      <c r="E938" t="inlineStr">
        <is>
          <t>TP</t>
        </is>
      </c>
      <c r="F938" t="inlineStr">
        <is>
          <t>body has zero assertions</t>
        </is>
      </c>
    </row>
    <row r="939">
      <c r="A939" t="inlineStr">
        <is>
          <t>archon-search</t>
        </is>
      </c>
      <c r="B939" t="inlineStr">
        <is>
          <t>/Users/manczg/Documents/development/archon-search/tests/test_store.py</t>
        </is>
      </c>
      <c r="C939" t="inlineStr">
        <is>
          <t>tests-09</t>
        </is>
      </c>
      <c r="D939" t="n">
        <v>4716</v>
      </c>
      <c r="E939" t="inlineStr">
        <is>
          <t>TP</t>
        </is>
      </c>
      <c r="F939" t="inlineStr">
        <is>
          <t>body has zero assertions</t>
        </is>
      </c>
    </row>
    <row r="940">
      <c r="A940" t="inlineStr">
        <is>
          <t>archon-search</t>
        </is>
      </c>
      <c r="B940" t="inlineStr">
        <is>
          <t>/Users/manczg/Documents/development/archon-search/tests/test_store.py</t>
        </is>
      </c>
      <c r="C940" t="inlineStr">
        <is>
          <t>tests-09</t>
        </is>
      </c>
      <c r="D940" t="n">
        <v>6142</v>
      </c>
      <c r="E940" t="inlineStr">
        <is>
          <t>FP</t>
        </is>
      </c>
      <c r="F940" t="inlineStr">
        <is>
          <t>patch side_effect=AssertionError provides real failure-capable verification</t>
        </is>
      </c>
    </row>
    <row r="941">
      <c r="A941" t="inlineStr">
        <is>
          <t>archon-search</t>
        </is>
      </c>
      <c r="B941" t="inlineStr">
        <is>
          <t>/Users/manczg/Documents/development/archon-search/tests/test_store.py</t>
        </is>
      </c>
      <c r="C941" t="inlineStr">
        <is>
          <t>tests-09</t>
        </is>
      </c>
      <c r="D941" t="n">
        <v>6934</v>
      </c>
      <c r="E941" t="inlineStr">
        <is>
          <t>TP</t>
        </is>
      </c>
      <c r="F941" t="inlineStr">
        <is>
          <t>results list built but never asserted on; zero verification</t>
        </is>
      </c>
    </row>
    <row r="942">
      <c r="A942" t="inlineStr">
        <is>
          <t>archon-search</t>
        </is>
      </c>
      <c r="B942" t="inlineStr">
        <is>
          <t>/Users/manczg/Documents/development/archon-search/tests/test_sync.py</t>
        </is>
      </c>
      <c r="C942" t="inlineStr">
        <is>
          <t>safety-07</t>
        </is>
      </c>
      <c r="D942" t="n">
        <v>1010</v>
      </c>
      <c r="E942" t="inlineStr">
        <is>
          <t>TP</t>
        </is>
      </c>
      <c r="F942" t="inlineStr">
        <is>
          <t>ruff noqa:PLC0415 suppresses import-order lint without documented justification</t>
        </is>
      </c>
    </row>
    <row r="943">
      <c r="A943" t="inlineStr">
        <is>
          <t>archon-search</t>
        </is>
      </c>
      <c r="B943" t="inlineStr">
        <is>
          <t>/Users/manczg/Documents/development/archon-search/tests/test_sync.py</t>
        </is>
      </c>
      <c r="C943" t="inlineStr">
        <is>
          <t>safety-07</t>
        </is>
      </c>
      <c r="D943" t="n">
        <v>1022</v>
      </c>
      <c r="E943" t="inlineStr">
        <is>
          <t>TP</t>
        </is>
      </c>
      <c r="F943" t="inlineStr">
        <is>
          <t>same undocumented noqa:PLC0415 suppression</t>
        </is>
      </c>
    </row>
    <row r="944">
      <c r="A944" t="inlineStr">
        <is>
          <t>archon-search</t>
        </is>
      </c>
      <c r="B944" t="inlineStr">
        <is>
          <t>/Users/manczg/Documents/development/archon-search/tests/test_sync.py</t>
        </is>
      </c>
      <c r="C944" t="inlineStr">
        <is>
          <t>safety-07</t>
        </is>
      </c>
      <c r="D944" t="n">
        <v>1023</v>
      </c>
      <c r="E944" t="inlineStr">
        <is>
          <t>TP</t>
        </is>
      </c>
      <c r="F944" t="inlineStr">
        <is>
          <t>same undocumented noqa:PLC0415 suppression</t>
        </is>
      </c>
    </row>
    <row r="945">
      <c r="A945" t="inlineStr">
        <is>
          <t>archon-search</t>
        </is>
      </c>
      <c r="B945" t="inlineStr">
        <is>
          <t>/Users/manczg/Documents/development/archon-search/tests/test_sync.py</t>
        </is>
      </c>
      <c r="C945" t="inlineStr">
        <is>
          <t>safety-07</t>
        </is>
      </c>
      <c r="D945" t="n">
        <v>1035</v>
      </c>
      <c r="E945" t="inlineStr">
        <is>
          <t>TP</t>
        </is>
      </c>
      <c r="F945" t="inlineStr">
        <is>
          <t>same undocumented noqa:PLC0415 suppression</t>
        </is>
      </c>
    </row>
    <row r="946">
      <c r="A946" t="inlineStr">
        <is>
          <t>archon-search</t>
        </is>
      </c>
      <c r="B946" t="inlineStr">
        <is>
          <t>/Users/manczg/Documents/development/archon-search/tests/test_sync.py</t>
        </is>
      </c>
      <c r="C946" t="inlineStr">
        <is>
          <t>safety-07</t>
        </is>
      </c>
      <c r="D946" t="n">
        <v>1046</v>
      </c>
      <c r="E946" t="inlineStr">
        <is>
          <t>TP</t>
        </is>
      </c>
      <c r="F946" t="inlineStr">
        <is>
          <t>same undocumented noqa:PLC0415 suppression</t>
        </is>
      </c>
    </row>
    <row r="947">
      <c r="A947" t="inlineStr">
        <is>
          <t>archon-search</t>
        </is>
      </c>
      <c r="B947" t="inlineStr">
        <is>
          <t>/Users/manczg/Documents/development/archon-search/tests/test_sync.py</t>
        </is>
      </c>
      <c r="C947" t="inlineStr">
        <is>
          <t>safety-07</t>
        </is>
      </c>
      <c r="D947" t="n">
        <v>1053</v>
      </c>
      <c r="E947" t="inlineStr">
        <is>
          <t>TP</t>
        </is>
      </c>
      <c r="F947" t="inlineStr">
        <is>
          <t>same undocumented noqa:PLC0415 suppression</t>
        </is>
      </c>
    </row>
    <row r="948">
      <c r="A948" t="inlineStr">
        <is>
          <t>archon-search</t>
        </is>
      </c>
      <c r="B948" t="inlineStr">
        <is>
          <t>/Users/manczg/Documents/development/archon-search/tests/test_sync.py</t>
        </is>
      </c>
      <c r="C948" t="inlineStr">
        <is>
          <t>safety-07</t>
        </is>
      </c>
      <c r="D948" t="n">
        <v>2963</v>
      </c>
      <c r="E948" t="inlineStr">
        <is>
          <t>TP</t>
        </is>
      </c>
      <c r="F948" t="inlineStr">
        <is>
          <t>noqa:ANN001 suppresses missing-type-annotation warning undocumented</t>
        </is>
      </c>
    </row>
    <row r="949">
      <c r="A949" t="inlineStr">
        <is>
          <t>archon-search</t>
        </is>
      </c>
      <c r="B949" t="inlineStr">
        <is>
          <t>/Users/manczg/Documents/development/archon-search/tests/test_sync.py</t>
        </is>
      </c>
      <c r="C949" t="inlineStr">
        <is>
          <t>safety-07</t>
        </is>
      </c>
      <c r="D949" t="n">
        <v>3059</v>
      </c>
      <c r="E949" t="inlineStr">
        <is>
          <t>TP</t>
        </is>
      </c>
      <c r="F949" t="inlineStr">
        <is>
          <t>noqa:ANN001 suppression undocumented</t>
        </is>
      </c>
    </row>
    <row r="950">
      <c r="A950" t="inlineStr">
        <is>
          <t>archon-search</t>
        </is>
      </c>
      <c r="B950" t="inlineStr">
        <is>
          <t>/Users/manczg/Documents/development/archon-search/tests/test_sync.py</t>
        </is>
      </c>
      <c r="C950" t="inlineStr">
        <is>
          <t>safety-07</t>
        </is>
      </c>
      <c r="D950" t="n">
        <v>3098</v>
      </c>
      <c r="E950" t="inlineStr">
        <is>
          <t>TP</t>
        </is>
      </c>
      <c r="F950" t="inlineStr">
        <is>
          <t>noqa:ANN001 suppression undocumented</t>
        </is>
      </c>
    </row>
    <row r="951">
      <c r="A951" t="inlineStr">
        <is>
          <t>archon-search</t>
        </is>
      </c>
      <c r="B951" t="inlineStr">
        <is>
          <t>/Users/manczg/Documents/development/archon-search/tests/test_sync.py</t>
        </is>
      </c>
      <c r="C951" t="inlineStr">
        <is>
          <t>smells-01</t>
        </is>
      </c>
      <c r="D951" t="n">
        <v>1</v>
      </c>
      <c r="E951" t="inlineStr">
        <is>
          <t>TP</t>
        </is>
      </c>
      <c r="F951" t="inlineStr">
        <is>
          <t>file is 5742 lines, exceeds 1000-line threshold</t>
        </is>
      </c>
    </row>
    <row r="952">
      <c r="A952" t="inlineStr">
        <is>
          <t>archon-search</t>
        </is>
      </c>
      <c r="B952" t="inlineStr">
        <is>
          <t>/Users/manczg/Documents/development/archon-search/tests/test_sync.py</t>
        </is>
      </c>
      <c r="C952" t="inlineStr">
        <is>
          <t>smells-02</t>
        </is>
      </c>
      <c r="D952" t="n">
        <v>781</v>
      </c>
      <c r="E952" t="inlineStr">
        <is>
          <t>TP</t>
        </is>
      </c>
      <c r="F952" t="inlineStr">
        <is>
          <t>StubChunker.chunk has 7 params excl self (text, doc_id, source_path, file_type, updated_at, ingested_by, language)</t>
        </is>
      </c>
    </row>
    <row r="953">
      <c r="A953" t="inlineStr">
        <is>
          <t>archon-search</t>
        </is>
      </c>
      <c r="B953" t="inlineStr">
        <is>
          <t>/Users/manczg/Documents/development/archon-search/tests/test_sync.py</t>
        </is>
      </c>
      <c r="C953" t="inlineStr">
        <is>
          <t>smells-02</t>
        </is>
      </c>
      <c r="D953" t="n">
        <v>1070</v>
      </c>
      <c r="E953" t="inlineStr">
        <is>
          <t>TP</t>
        </is>
      </c>
      <c r="F953" t="inlineStr">
        <is>
          <t>_make_syncer_with_state has 5 params excl self</t>
        </is>
      </c>
    </row>
    <row r="954">
      <c r="A954" t="inlineStr">
        <is>
          <t>archon-search</t>
        </is>
      </c>
      <c r="B954" t="inlineStr">
        <is>
          <t>/Users/manczg/Documents/development/archon-search/tests/test_sync.py</t>
        </is>
      </c>
      <c r="C954" t="inlineStr">
        <is>
          <t>smells-02</t>
        </is>
      </c>
      <c r="D954" t="n">
        <v>3251</v>
      </c>
      <c r="E954" t="inlineStr">
        <is>
          <t>TP</t>
        </is>
      </c>
      <c r="F954" t="inlineStr">
        <is>
          <t>_make_syncer has 4 params excl self</t>
        </is>
      </c>
    </row>
    <row r="955">
      <c r="A955" t="inlineStr">
        <is>
          <t>archon-search</t>
        </is>
      </c>
      <c r="B955" t="inlineStr">
        <is>
          <t>/Users/manczg/Documents/development/archon-search/tests/test_sync.py</t>
        </is>
      </c>
      <c r="C955" t="inlineStr">
        <is>
          <t>smells-02</t>
        </is>
      </c>
      <c r="D955" t="n">
        <v>3603</v>
      </c>
      <c r="E955" t="inlineStr">
        <is>
          <t>TP</t>
        </is>
      </c>
      <c r="F955" t="inlineStr">
        <is>
          <t>standalone _make_done_state has 5 params</t>
        </is>
      </c>
    </row>
    <row r="956">
      <c r="A956" t="inlineStr">
        <is>
          <t>archon-search</t>
        </is>
      </c>
      <c r="B956" t="inlineStr">
        <is>
          <t>/Users/manczg/Documents/development/archon-search/tests/test_sync.py</t>
        </is>
      </c>
      <c r="C956" t="inlineStr">
        <is>
          <t>smells-02</t>
        </is>
      </c>
      <c r="D956" t="n">
        <v>4953</v>
      </c>
      <c r="E956" t="inlineStr">
        <is>
          <t>TP</t>
        </is>
      </c>
      <c r="F956" t="inlineStr">
        <is>
          <t>slow_apply has 6 named params plus **kwargs</t>
        </is>
      </c>
    </row>
    <row r="957">
      <c r="A957" t="inlineStr">
        <is>
          <t>archon-search</t>
        </is>
      </c>
      <c r="B957" t="inlineStr">
        <is>
          <t>/Users/manczg/Documents/development/archon-search/tests/test_sync.py</t>
        </is>
      </c>
      <c r="C957" t="inlineStr">
        <is>
          <t>smells-08</t>
        </is>
      </c>
      <c r="D957" t="n">
        <v>62</v>
      </c>
      <c r="E957" t="inlineStr">
        <is>
          <t>TP</t>
        </is>
      </c>
      <c r="F957" t="inlineStr">
        <is>
          <t>make_mock_pipeline: existing_collections=None, manifest=None null param defaults</t>
        </is>
      </c>
    </row>
    <row r="958">
      <c r="A958" t="inlineStr">
        <is>
          <t>archon-search</t>
        </is>
      </c>
      <c r="B958" t="inlineStr">
        <is>
          <t>/Users/manczg/Documents/development/archon-search/tests/test_sync.py</t>
        </is>
      </c>
      <c r="C958" t="inlineStr">
        <is>
          <t>smells-08</t>
        </is>
      </c>
      <c r="D958" t="n">
        <v>1070</v>
      </c>
      <c r="E958" t="inlineStr">
        <is>
          <t>TP</t>
        </is>
      </c>
      <c r="F958" t="inlineStr">
        <is>
          <t>_make_syncer_with_state: existing_collections/manifest/ingest_results=None param defaults</t>
        </is>
      </c>
    </row>
    <row r="959">
      <c r="A959" t="inlineStr">
        <is>
          <t>archon-search</t>
        </is>
      </c>
      <c r="B959" t="inlineStr">
        <is>
          <t>/Users/manczg/Documents/development/archon-search/tests/test_sync.py</t>
        </is>
      </c>
      <c r="C959" t="inlineStr">
        <is>
          <t>smells-08</t>
        </is>
      </c>
      <c r="D959" t="n">
        <v>3588</v>
      </c>
      <c r="E959" t="inlineStr">
        <is>
          <t>TP</t>
        </is>
      </c>
      <c r="F959" t="inlineStr">
        <is>
          <t>_make_mock_pipeline_with_ingest_file: existing_collections=None, manifest=None</t>
        </is>
      </c>
    </row>
    <row r="960">
      <c r="A960" t="inlineStr">
        <is>
          <t>archon-search</t>
        </is>
      </c>
      <c r="B960" t="inlineStr">
        <is>
          <t>/Users/manczg/Documents/development/archon-search/tests/test_sync.py</t>
        </is>
      </c>
      <c r="C960" t="inlineStr">
        <is>
          <t>smells-08</t>
        </is>
      </c>
      <c r="D960" t="n">
        <v>4959</v>
      </c>
      <c r="E960" t="inlineStr">
        <is>
          <t>TP</t>
        </is>
      </c>
      <c r="F960" t="inlineStr">
        <is>
          <t>explicit return None statement in slow_apply</t>
        </is>
      </c>
    </row>
    <row r="961">
      <c r="A961" t="inlineStr">
        <is>
          <t>archon-search</t>
        </is>
      </c>
      <c r="B961" t="inlineStr">
        <is>
          <t>/Users/manczg/Documents/development/archon-search/tests/test_sync.py</t>
        </is>
      </c>
      <c r="C961" t="inlineStr">
        <is>
          <t>smells-08</t>
        </is>
      </c>
      <c r="D961" t="n">
        <v>5079</v>
      </c>
      <c r="E961" t="inlineStr">
        <is>
          <t>TP</t>
        </is>
      </c>
      <c r="F961" t="inlineStr">
        <is>
          <t>_make_pipeline_for_sync_centroid: meta=None null param default</t>
        </is>
      </c>
    </row>
    <row r="962">
      <c r="A962" t="inlineStr">
        <is>
          <t>archon-search</t>
        </is>
      </c>
      <c r="B962" t="inlineStr">
        <is>
          <t>/Users/manczg/Documents/development/archon-search/tests/test_sync.py</t>
        </is>
      </c>
      <c r="C962" t="inlineStr">
        <is>
          <t>tests-04</t>
        </is>
      </c>
      <c r="D962" t="n">
        <v>801</v>
      </c>
      <c r="E962" t="inlineStr">
        <is>
          <t>FP</t>
        </is>
      </c>
      <c r="F962" t="inlineStr">
        <is>
          <t>datetime.now() is incidental timestamp value in a stub chunk record, not the tested behavior</t>
        </is>
      </c>
    </row>
    <row r="963">
      <c r="A963" t="inlineStr">
        <is>
          <t>archon-search</t>
        </is>
      </c>
      <c r="B963" t="inlineStr">
        <is>
          <t>/Users/manczg/Documents/development/archon-search/tests/test_sync.py</t>
        </is>
      </c>
      <c r="C963" t="inlineStr">
        <is>
          <t>tests-05</t>
        </is>
      </c>
      <c r="D963" t="n">
        <v>64</v>
      </c>
      <c r="E963" t="inlineStr">
        <is>
          <t>FP</t>
        </is>
      </c>
      <c r="F963" t="inlineStr">
        <is>
          <t>pipeline is a MagicMock; setting pipeline.store._db_path is on a test-double, not the real subject</t>
        </is>
      </c>
    </row>
    <row r="964">
      <c r="A964" t="inlineStr">
        <is>
          <t>archon-search</t>
        </is>
      </c>
      <c r="B964" t="inlineStr">
        <is>
          <t>/Users/manczg/Documents/development/archon-search/tests/test_sync.py</t>
        </is>
      </c>
      <c r="C964" t="inlineStr">
        <is>
          <t>tests-05</t>
        </is>
      </c>
      <c r="D964" t="n">
        <v>166</v>
      </c>
      <c r="E964" t="inlineStr">
        <is>
          <t>TP</t>
        </is>
      </c>
      <c r="F964" t="inlineStr">
        <is>
          <t>patch.object(syncer, "_check_collection_changes") reaches private method of real SUT</t>
        </is>
      </c>
    </row>
    <row r="965">
      <c r="A965" t="inlineStr">
        <is>
          <t>archon-search</t>
        </is>
      </c>
      <c r="B965" t="inlineStr">
        <is>
          <t>/Users/manczg/Documents/development/archon-search/tests/test_sync.py</t>
        </is>
      </c>
      <c r="C965" t="inlineStr">
        <is>
          <t>tests-05</t>
        </is>
      </c>
      <c r="D965" t="n">
        <v>483</v>
      </c>
      <c r="E965" t="inlineStr">
        <is>
          <t>TP</t>
        </is>
      </c>
      <c r="F965" t="inlineStr">
        <is>
          <t>direct assignment to syncer's private _check_collection_changes</t>
        </is>
      </c>
    </row>
    <row r="966">
      <c r="A966" t="inlineStr">
        <is>
          <t>archon-search</t>
        </is>
      </c>
      <c r="B966" t="inlineStr">
        <is>
          <t>/Users/manczg/Documents/development/archon-search/tests/test_sync.py</t>
        </is>
      </c>
      <c r="C966" t="inlineStr">
        <is>
          <t>tests-05</t>
        </is>
      </c>
      <c r="D966" t="n">
        <v>487</v>
      </c>
      <c r="E966" t="inlineStr">
        <is>
          <t>TP</t>
        </is>
      </c>
      <c r="F966" t="inlineStr">
        <is>
          <t>direct assignment to syncer's private _apply_collection_changes</t>
        </is>
      </c>
    </row>
    <row r="967">
      <c r="A967" t="inlineStr">
        <is>
          <t>archon-search</t>
        </is>
      </c>
      <c r="B967" t="inlineStr">
        <is>
          <t>/Users/manczg/Documents/development/archon-search/tests/test_sync.py</t>
        </is>
      </c>
      <c r="C967" t="inlineStr">
        <is>
          <t>tests-05</t>
        </is>
      </c>
      <c r="D967" t="n">
        <v>524</v>
      </c>
      <c r="E967" t="inlineStr">
        <is>
          <t>TP</t>
        </is>
      </c>
      <c r="F967" t="inlineStr">
        <is>
          <t>direct assignment to syncer's private _check_collection_changes</t>
        </is>
      </c>
    </row>
    <row r="968">
      <c r="A968" t="inlineStr">
        <is>
          <t>archon-search</t>
        </is>
      </c>
      <c r="B968" t="inlineStr">
        <is>
          <t>/Users/manczg/Documents/development/archon-search/tests/test_sync.py</t>
        </is>
      </c>
      <c r="C968" t="inlineStr">
        <is>
          <t>tests-05</t>
        </is>
      </c>
      <c r="D968" t="n">
        <v>528</v>
      </c>
      <c r="E968" t="inlineStr">
        <is>
          <t>TP</t>
        </is>
      </c>
      <c r="F968" t="inlineStr">
        <is>
          <t>direct assignment to syncer's private _apply_collection_changes</t>
        </is>
      </c>
    </row>
    <row r="969">
      <c r="A969" t="inlineStr">
        <is>
          <t>archon-search</t>
        </is>
      </c>
      <c r="B969" t="inlineStr">
        <is>
          <t>/Users/manczg/Documents/development/archon-search/tests/test_sync.py</t>
        </is>
      </c>
      <c r="C969" t="inlineStr">
        <is>
          <t>tests-05</t>
        </is>
      </c>
      <c r="D969" t="n">
        <v>635</v>
      </c>
      <c r="E969" t="inlineStr">
        <is>
          <t>TP</t>
        </is>
      </c>
      <c r="F969" t="inlineStr">
        <is>
          <t>direct call to syncer._load_file_mtimes private method</t>
        </is>
      </c>
    </row>
    <row r="970">
      <c r="A970" t="inlineStr">
        <is>
          <t>archon-search</t>
        </is>
      </c>
      <c r="B970" t="inlineStr">
        <is>
          <t>/Users/manczg/Documents/development/archon-search/tests/test_sync.py</t>
        </is>
      </c>
      <c r="C970" t="inlineStr">
        <is>
          <t>tests-05</t>
        </is>
      </c>
      <c r="D970" t="n">
        <v>879</v>
      </c>
      <c r="E970" t="inlineStr">
        <is>
          <t>TP</t>
        </is>
      </c>
      <c r="F970" t="inlineStr">
        <is>
          <t>direct call to syncer._get_lock private method</t>
        </is>
      </c>
    </row>
    <row r="971">
      <c r="A971" t="inlineStr">
        <is>
          <t>archon-search</t>
        </is>
      </c>
      <c r="B971" t="inlineStr">
        <is>
          <t>/Users/manczg/Documents/development/archon-search/tests/test_sync.py</t>
        </is>
      </c>
      <c r="C971" t="inlineStr">
        <is>
          <t>tests-05</t>
        </is>
      </c>
      <c r="D971" t="n">
        <v>880</v>
      </c>
      <c r="E971" t="inlineStr">
        <is>
          <t>TP</t>
        </is>
      </c>
      <c r="F971" t="inlineStr">
        <is>
          <t>direct call to syncer._get_lock private method</t>
        </is>
      </c>
    </row>
    <row r="972">
      <c r="A972" t="inlineStr">
        <is>
          <t>archon-search</t>
        </is>
      </c>
      <c r="B972" t="inlineStr">
        <is>
          <t>/Users/manczg/Documents/development/archon-search/tests/test_sync.py</t>
        </is>
      </c>
      <c r="C972" t="inlineStr">
        <is>
          <t>tests-05</t>
        </is>
      </c>
      <c r="D972" t="n">
        <v>891</v>
      </c>
      <c r="E972" t="inlineStr">
        <is>
          <t>TP</t>
        </is>
      </c>
      <c r="F972" t="inlineStr">
        <is>
          <t>direct call to syncer._get_lock private method</t>
        </is>
      </c>
    </row>
    <row r="973">
      <c r="A973" t="inlineStr">
        <is>
          <t>archon-search</t>
        </is>
      </c>
      <c r="B973" t="inlineStr">
        <is>
          <t>/Users/manczg/Documents/development/archon-search/tests/test_sync.py</t>
        </is>
      </c>
      <c r="C973" t="inlineStr">
        <is>
          <t>tests-05</t>
        </is>
      </c>
      <c r="D973" t="n">
        <v>892</v>
      </c>
      <c r="E973" t="inlineStr">
        <is>
          <t>TP</t>
        </is>
      </c>
      <c r="F973" t="inlineStr">
        <is>
          <t>direct call to syncer._get_lock private method</t>
        </is>
      </c>
    </row>
    <row r="974">
      <c r="A974" t="inlineStr">
        <is>
          <t>archon-search</t>
        </is>
      </c>
      <c r="B974" t="inlineStr">
        <is>
          <t>/Users/manczg/Documents/development/archon-search/tests/test_sync.py</t>
        </is>
      </c>
      <c r="C974" t="inlineStr">
        <is>
          <t>tests-05</t>
        </is>
      </c>
      <c r="D974" t="n">
        <v>910</v>
      </c>
      <c r="E974" t="inlineStr">
        <is>
          <t>TP</t>
        </is>
      </c>
      <c r="F974" t="inlineStr">
        <is>
          <t>direct call to syncer._get_lock private method</t>
        </is>
      </c>
    </row>
    <row r="975">
      <c r="A975" t="inlineStr">
        <is>
          <t>archon-search</t>
        </is>
      </c>
      <c r="B975" t="inlineStr">
        <is>
          <t>/Users/manczg/Documents/development/archon-search/tests/test_sync.py</t>
        </is>
      </c>
      <c r="C975" t="inlineStr">
        <is>
          <t>tests-05</t>
        </is>
      </c>
      <c r="D975" t="n">
        <v>1017</v>
      </c>
      <c r="E975" t="inlineStr">
        <is>
          <t>TP</t>
        </is>
      </c>
      <c r="F975" t="inlineStr">
        <is>
          <t>direct call to syncer._write_manifest private method</t>
        </is>
      </c>
    </row>
    <row r="976">
      <c r="A976" t="inlineStr">
        <is>
          <t>archon-search</t>
        </is>
      </c>
      <c r="B976" t="inlineStr">
        <is>
          <t>/Users/manczg/Documents/development/archon-search/tests/test_sync.py</t>
        </is>
      </c>
      <c r="C976" t="inlineStr">
        <is>
          <t>tests-05</t>
        </is>
      </c>
      <c r="D976" t="n">
        <v>1030</v>
      </c>
      <c r="E976" t="inlineStr">
        <is>
          <t>TP</t>
        </is>
      </c>
      <c r="F976" t="inlineStr">
        <is>
          <t>direct call to syncer._safe_state_update private method</t>
        </is>
      </c>
    </row>
    <row r="977">
      <c r="A977" t="inlineStr">
        <is>
          <t>archon-search</t>
        </is>
      </c>
      <c r="B977" t="inlineStr">
        <is>
          <t>/Users/manczg/Documents/development/archon-search/tests/test_sync.py</t>
        </is>
      </c>
      <c r="C977" t="inlineStr">
        <is>
          <t>tests-05</t>
        </is>
      </c>
      <c r="D977" t="n">
        <v>2138</v>
      </c>
      <c r="E977" t="inlineStr">
        <is>
          <t>TP</t>
        </is>
      </c>
      <c r="F977" t="inlineStr">
        <is>
          <t>direct call to syncer._load_processed_paths private method</t>
        </is>
      </c>
    </row>
    <row r="978">
      <c r="A978" t="inlineStr">
        <is>
          <t>archon-search</t>
        </is>
      </c>
      <c r="B978" t="inlineStr">
        <is>
          <t>/Users/manczg/Documents/development/archon-search/tests/test_sync.py</t>
        </is>
      </c>
      <c r="C978" t="inlineStr">
        <is>
          <t>tests-05</t>
        </is>
      </c>
      <c r="D978" t="n">
        <v>2149</v>
      </c>
      <c r="E978" t="inlineStr">
        <is>
          <t>TP</t>
        </is>
      </c>
      <c r="F978" t="inlineStr">
        <is>
          <t>direct call to syncer._load_processed_paths private method</t>
        </is>
      </c>
    </row>
    <row r="979">
      <c r="A979" t="inlineStr">
        <is>
          <t>archon-search</t>
        </is>
      </c>
      <c r="B979" t="inlineStr">
        <is>
          <t>/Users/manczg/Documents/development/archon-search/tests/test_sync.py</t>
        </is>
      </c>
      <c r="C979" t="inlineStr">
        <is>
          <t>tests-05</t>
        </is>
      </c>
      <c r="D979" t="n">
        <v>2164</v>
      </c>
      <c r="E979" t="inlineStr">
        <is>
          <t>TP</t>
        </is>
      </c>
      <c r="F979" t="inlineStr">
        <is>
          <t>direct call to syncer._load_processed_paths private method</t>
        </is>
      </c>
    </row>
    <row r="980">
      <c r="A980" t="inlineStr">
        <is>
          <t>archon-search</t>
        </is>
      </c>
      <c r="B980" t="inlineStr">
        <is>
          <t>/Users/manczg/Documents/development/archon-search/tests/test_sync.py</t>
        </is>
      </c>
      <c r="C980" t="inlineStr">
        <is>
          <t>tests-05</t>
        </is>
      </c>
      <c r="D980" t="n">
        <v>2811</v>
      </c>
      <c r="E980" t="inlineStr">
        <is>
          <t>TP</t>
        </is>
      </c>
      <c r="F980" t="inlineStr">
        <is>
          <t>captures reference to syncer's private _safe_state_update</t>
        </is>
      </c>
    </row>
    <row r="981">
      <c r="A981" t="inlineStr">
        <is>
          <t>archon-search</t>
        </is>
      </c>
      <c r="B981" t="inlineStr">
        <is>
          <t>/Users/manczg/Documents/development/archon-search/tests/test_sync.py</t>
        </is>
      </c>
      <c r="C981" t="inlineStr">
        <is>
          <t>tests-05</t>
        </is>
      </c>
      <c r="D981" t="n">
        <v>2819</v>
      </c>
      <c r="E981" t="inlineStr">
        <is>
          <t>TP</t>
        </is>
      </c>
      <c r="F981" t="inlineStr">
        <is>
          <t>patch.object(syncer, "_safe_state_update") reaches private method</t>
        </is>
      </c>
    </row>
    <row r="982">
      <c r="A982" t="inlineStr">
        <is>
          <t>archon-search</t>
        </is>
      </c>
      <c r="B982" t="inlineStr">
        <is>
          <t>/Users/manczg/Documents/development/archon-search/tests/test_sync.py</t>
        </is>
      </c>
      <c r="C982" t="inlineStr">
        <is>
          <t>tests-05</t>
        </is>
      </c>
      <c r="D982" t="n">
        <v>2879</v>
      </c>
      <c r="E982" t="inlineStr">
        <is>
          <t>TP</t>
        </is>
      </c>
      <c r="F982" t="inlineStr">
        <is>
          <t>direct call to syncer._iter_eligible_files private method</t>
        </is>
      </c>
    </row>
    <row r="983">
      <c r="A983" t="inlineStr">
        <is>
          <t>archon-search</t>
        </is>
      </c>
      <c r="B983" t="inlineStr">
        <is>
          <t>/Users/manczg/Documents/development/archon-search/tests/test_sync.py</t>
        </is>
      </c>
      <c r="C983" t="inlineStr">
        <is>
          <t>tests-05</t>
        </is>
      </c>
      <c r="D983" t="n">
        <v>2899</v>
      </c>
      <c r="E983" t="inlineStr">
        <is>
          <t>TP</t>
        </is>
      </c>
      <c r="F983" t="inlineStr">
        <is>
          <t>direct call to syncer._iter_eligible_files private method</t>
        </is>
      </c>
    </row>
    <row r="984">
      <c r="A984" t="inlineStr">
        <is>
          <t>archon-search</t>
        </is>
      </c>
      <c r="B984" t="inlineStr">
        <is>
          <t>/Users/manczg/Documents/development/archon-search/tests/test_sync.py</t>
        </is>
      </c>
      <c r="C984" t="inlineStr">
        <is>
          <t>tests-05</t>
        </is>
      </c>
      <c r="D984" t="n">
        <v>2929</v>
      </c>
      <c r="E984" t="inlineStr">
        <is>
          <t>TP</t>
        </is>
      </c>
      <c r="F984" t="inlineStr">
        <is>
          <t>direct call to syncer._reset_stale_in_progress private method</t>
        </is>
      </c>
    </row>
    <row r="985">
      <c r="A985" t="inlineStr">
        <is>
          <t>archon-search</t>
        </is>
      </c>
      <c r="B985" t="inlineStr">
        <is>
          <t>/Users/manczg/Documents/development/archon-search/tests/test_sync.py</t>
        </is>
      </c>
      <c r="C985" t="inlineStr">
        <is>
          <t>tests-05</t>
        </is>
      </c>
      <c r="D985" t="n">
        <v>2971</v>
      </c>
      <c r="E985" t="inlineStr">
        <is>
          <t>TP</t>
        </is>
      </c>
      <c r="F985" t="inlineStr">
        <is>
          <t>direct call to syncer._reset_stale_in_progress private method</t>
        </is>
      </c>
    </row>
    <row r="986">
      <c r="A986" t="inlineStr">
        <is>
          <t>archon-search</t>
        </is>
      </c>
      <c r="B986" t="inlineStr">
        <is>
          <t>/Users/manczg/Documents/development/archon-search/tests/test_sync.py</t>
        </is>
      </c>
      <c r="C986" t="inlineStr">
        <is>
          <t>tests-05</t>
        </is>
      </c>
      <c r="D986" t="n">
        <v>2985</v>
      </c>
      <c r="E986" t="inlineStr">
        <is>
          <t>TP</t>
        </is>
      </c>
      <c r="F986" t="inlineStr">
        <is>
          <t>inspect.getsource on a private method is reflection-based internals access</t>
        </is>
      </c>
    </row>
    <row r="987">
      <c r="A987" t="inlineStr">
        <is>
          <t>archon-search</t>
        </is>
      </c>
      <c r="B987" t="inlineStr">
        <is>
          <t>/Users/manczg/Documents/development/archon-search/tests/test_sync.py</t>
        </is>
      </c>
      <c r="C987" t="inlineStr">
        <is>
          <t>tests-05</t>
        </is>
      </c>
      <c r="D987" t="n">
        <v>2993</v>
      </c>
      <c r="E987" t="inlineStr">
        <is>
          <t>TP</t>
        </is>
      </c>
      <c r="F987" t="inlineStr">
        <is>
          <t>assert condition checks reflected source text for private _state_store usage</t>
        </is>
      </c>
    </row>
    <row r="988">
      <c r="A988" t="inlineStr">
        <is>
          <t>archon-search</t>
        </is>
      </c>
      <c r="B988" t="inlineStr">
        <is>
          <t>/Users/manczg/Documents/development/archon-search/tests/test_sync.py</t>
        </is>
      </c>
      <c r="C988" t="inlineStr">
        <is>
          <t>tests-05</t>
        </is>
      </c>
      <c r="D988" t="n">
        <v>2994</v>
      </c>
      <c r="E988" t="inlineStr">
        <is>
          <t>TP</t>
        </is>
      </c>
      <c r="F988" t="inlineStr">
        <is>
          <t>assert condition checks reflected source text for private _state_store usage</t>
        </is>
      </c>
    </row>
    <row r="989">
      <c r="A989" t="inlineStr">
        <is>
          <t>archon-search</t>
        </is>
      </c>
      <c r="B989" t="inlineStr">
        <is>
          <t>/Users/manczg/Documents/development/archon-search/tests/test_sync.py</t>
        </is>
      </c>
      <c r="C989" t="inlineStr">
        <is>
          <t>tests-05</t>
        </is>
      </c>
      <c r="D989" t="n">
        <v>3002</v>
      </c>
      <c r="E989" t="inlineStr">
        <is>
          <t>FP</t>
        </is>
      </c>
      <c r="F989" t="inlineStr">
        <is>
          <t>private name appears only inside a docstring</t>
        </is>
      </c>
    </row>
    <row r="990">
      <c r="A990" t="inlineStr">
        <is>
          <t>archon-search</t>
        </is>
      </c>
      <c r="B990" t="inlineStr">
        <is>
          <t>/Users/manczg/Documents/development/archon-search/tests/test_sync.py</t>
        </is>
      </c>
      <c r="C990" t="inlineStr">
        <is>
          <t>tests-05</t>
        </is>
      </c>
      <c r="D990" t="n">
        <v>3015</v>
      </c>
      <c r="E990" t="inlineStr">
        <is>
          <t>TP</t>
        </is>
      </c>
      <c r="F990" t="inlineStr">
        <is>
          <t>direct call to syncer._reset_stale_in_progress private method</t>
        </is>
      </c>
    </row>
    <row r="991">
      <c r="A991" t="inlineStr">
        <is>
          <t>archon-search</t>
        </is>
      </c>
      <c r="B991" t="inlineStr">
        <is>
          <t>/Users/manczg/Documents/development/archon-search/tests/test_sync.py</t>
        </is>
      </c>
      <c r="C991" t="inlineStr">
        <is>
          <t>tests-05</t>
        </is>
      </c>
      <c r="D991" t="n">
        <v>3066</v>
      </c>
      <c r="E991" t="inlineStr">
        <is>
          <t>TP</t>
        </is>
      </c>
      <c r="F991" t="inlineStr">
        <is>
          <t>direct call to syncer._reset_stale_in_progress private method</t>
        </is>
      </c>
    </row>
    <row r="992">
      <c r="A992" t="inlineStr">
        <is>
          <t>archon-search</t>
        </is>
      </c>
      <c r="B992" t="inlineStr">
        <is>
          <t>/Users/manczg/Documents/development/archon-search/tests/test_sync.py</t>
        </is>
      </c>
      <c r="C992" t="inlineStr">
        <is>
          <t>tests-05</t>
        </is>
      </c>
      <c r="D992" t="n">
        <v>3107</v>
      </c>
      <c r="E992" t="inlineStr">
        <is>
          <t>TP</t>
        </is>
      </c>
      <c r="F992" t="inlineStr">
        <is>
          <t>direct call to syncer._reset_stale_in_progress private method</t>
        </is>
      </c>
    </row>
    <row r="993">
      <c r="A993" t="inlineStr">
        <is>
          <t>archon-search</t>
        </is>
      </c>
      <c r="B993" t="inlineStr">
        <is>
          <t>/Users/manczg/Documents/development/archon-search/tests/test_sync.py</t>
        </is>
      </c>
      <c r="C993" t="inlineStr">
        <is>
          <t>tests-05</t>
        </is>
      </c>
      <c r="D993" t="n">
        <v>3157</v>
      </c>
      <c r="E993" t="inlineStr">
        <is>
          <t>TP</t>
        </is>
      </c>
      <c r="F993" t="inlineStr">
        <is>
          <t>direct call to syncer._reset_stale_in_progress private method</t>
        </is>
      </c>
    </row>
    <row r="994">
      <c r="A994" t="inlineStr">
        <is>
          <t>archon-search</t>
        </is>
      </c>
      <c r="B994" t="inlineStr">
        <is>
          <t>/Users/manczg/Documents/development/archon-search/tests/test_sync.py</t>
        </is>
      </c>
      <c r="C994" t="inlineStr">
        <is>
          <t>tests-05</t>
        </is>
      </c>
      <c r="D994" t="n">
        <v>3199</v>
      </c>
      <c r="E994" t="inlineStr">
        <is>
          <t>TP</t>
        </is>
      </c>
      <c r="F994" t="inlineStr">
        <is>
          <t>direct call to syncer._load_file_mtimes private method</t>
        </is>
      </c>
    </row>
    <row r="995">
      <c r="A995" t="inlineStr">
        <is>
          <t>archon-search</t>
        </is>
      </c>
      <c r="B995" t="inlineStr">
        <is>
          <t>/Users/manczg/Documents/development/archon-search/tests/test_sync.py</t>
        </is>
      </c>
      <c r="C995" t="inlineStr">
        <is>
          <t>tests-05</t>
        </is>
      </c>
      <c r="D995" t="n">
        <v>3209</v>
      </c>
      <c r="E995" t="inlineStr">
        <is>
          <t>TP</t>
        </is>
      </c>
      <c r="F995" t="inlineStr">
        <is>
          <t>direct call to syncer._load_file_mtimes private method</t>
        </is>
      </c>
    </row>
    <row r="996">
      <c r="A996" t="inlineStr">
        <is>
          <t>archon-search</t>
        </is>
      </c>
      <c r="B996" t="inlineStr">
        <is>
          <t>/Users/manczg/Documents/development/archon-search/tests/test_sync.py</t>
        </is>
      </c>
      <c r="C996" t="inlineStr">
        <is>
          <t>tests-05</t>
        </is>
      </c>
      <c r="D996" t="n">
        <v>3220</v>
      </c>
      <c r="E996" t="inlineStr">
        <is>
          <t>TP</t>
        </is>
      </c>
      <c r="F996" t="inlineStr">
        <is>
          <t>direct call to syncer._load_file_mtimes private method</t>
        </is>
      </c>
    </row>
    <row r="997">
      <c r="A997" t="inlineStr">
        <is>
          <t>archon-search</t>
        </is>
      </c>
      <c r="B997" t="inlineStr">
        <is>
          <t>/Users/manczg/Documents/development/archon-search/tests/test_sync.py</t>
        </is>
      </c>
      <c r="C997" t="inlineStr">
        <is>
          <t>tests-05</t>
        </is>
      </c>
      <c r="D997" t="n">
        <v>3236</v>
      </c>
      <c r="E997" t="inlineStr">
        <is>
          <t>TP</t>
        </is>
      </c>
      <c r="F997" t="inlineStr">
        <is>
          <t>direct call to syncer._load_file_mtimes private method</t>
        </is>
      </c>
    </row>
    <row r="998">
      <c r="A998" t="inlineStr">
        <is>
          <t>archon-search</t>
        </is>
      </c>
      <c r="B998" t="inlineStr">
        <is>
          <t>/Users/manczg/Documents/development/archon-search/tests/test_sync.py</t>
        </is>
      </c>
      <c r="C998" t="inlineStr">
        <is>
          <t>tests-05</t>
        </is>
      </c>
      <c r="D998" t="n">
        <v>3247</v>
      </c>
      <c r="E998" t="inlineStr">
        <is>
          <t>TP</t>
        </is>
      </c>
      <c r="F998" t="inlineStr">
        <is>
          <t>direct call to syncer._load_file_mtimes private method</t>
        </is>
      </c>
    </row>
    <row r="999">
      <c r="A999" t="inlineStr">
        <is>
          <t>archon-search</t>
        </is>
      </c>
      <c r="B999" t="inlineStr">
        <is>
          <t>/Users/manczg/Documents/development/archon-search/tests/test_sync.py</t>
        </is>
      </c>
      <c r="C999" t="inlineStr">
        <is>
          <t>tests-05</t>
        </is>
      </c>
      <c r="D999" t="n">
        <v>3273</v>
      </c>
      <c r="E999" t="inlineStr">
        <is>
          <t>TP</t>
        </is>
      </c>
      <c r="F999" t="inlineStr">
        <is>
          <t>direct call to syncer._check_collection_changes private method</t>
        </is>
      </c>
    </row>
    <row r="1000">
      <c r="A1000" t="inlineStr">
        <is>
          <t>archon-search</t>
        </is>
      </c>
      <c r="B1000" t="inlineStr">
        <is>
          <t>/Users/manczg/Documents/development/archon-search/tests/test_sync.py</t>
        </is>
      </c>
      <c r="C1000" t="inlineStr">
        <is>
          <t>tests-05</t>
        </is>
      </c>
      <c r="D1000" t="n">
        <v>3291</v>
      </c>
      <c r="E1000" t="inlineStr">
        <is>
          <t>TP</t>
        </is>
      </c>
      <c r="F1000" t="inlineStr">
        <is>
          <t>direct call to syncer._check_collection_changes private method</t>
        </is>
      </c>
    </row>
    <row r="1001">
      <c r="A1001" t="inlineStr">
        <is>
          <t>archon-search</t>
        </is>
      </c>
      <c r="B1001" t="inlineStr">
        <is>
          <t>/Users/manczg/Documents/development/archon-search/tests/test_sync.py</t>
        </is>
      </c>
      <c r="C1001" t="inlineStr">
        <is>
          <t>tests-05</t>
        </is>
      </c>
      <c r="D1001" t="n">
        <v>3310</v>
      </c>
      <c r="E1001" t="inlineStr">
        <is>
          <t>TP</t>
        </is>
      </c>
      <c r="F1001" t="inlineStr">
        <is>
          <t>direct call to syncer._check_collection_changes private method</t>
        </is>
      </c>
    </row>
    <row r="1002">
      <c r="A1002" t="inlineStr">
        <is>
          <t>archon-search</t>
        </is>
      </c>
      <c r="B1002" t="inlineStr">
        <is>
          <t>/Users/manczg/Documents/development/archon-search/tests/test_sync.py</t>
        </is>
      </c>
      <c r="C1002" t="inlineStr">
        <is>
          <t>tests-05</t>
        </is>
      </c>
      <c r="D1002" t="n">
        <v>3326</v>
      </c>
      <c r="E1002" t="inlineStr">
        <is>
          <t>TP</t>
        </is>
      </c>
      <c r="F1002" t="inlineStr">
        <is>
          <t>direct call to syncer._check_collection_changes private method</t>
        </is>
      </c>
    </row>
    <row r="1003">
      <c r="A1003" t="inlineStr">
        <is>
          <t>archon-search</t>
        </is>
      </c>
      <c r="B1003" t="inlineStr">
        <is>
          <t>/Users/manczg/Documents/development/archon-search/tests/test_sync.py</t>
        </is>
      </c>
      <c r="C1003" t="inlineStr">
        <is>
          <t>tests-05</t>
        </is>
      </c>
      <c r="D1003" t="n">
        <v>3344</v>
      </c>
      <c r="E1003" t="inlineStr">
        <is>
          <t>TP</t>
        </is>
      </c>
      <c r="F1003" t="inlineStr">
        <is>
          <t>direct call to syncer._check_collection_changes private method</t>
        </is>
      </c>
    </row>
    <row r="1004">
      <c r="A1004" t="inlineStr">
        <is>
          <t>archon-search</t>
        </is>
      </c>
      <c r="B1004" t="inlineStr">
        <is>
          <t>/Users/manczg/Documents/development/archon-search/tests/test_sync.py</t>
        </is>
      </c>
      <c r="C1004" t="inlineStr">
        <is>
          <t>tests-05</t>
        </is>
      </c>
      <c r="D1004" t="n">
        <v>3360</v>
      </c>
      <c r="E1004" t="inlineStr">
        <is>
          <t>TP</t>
        </is>
      </c>
      <c r="F1004" t="inlineStr">
        <is>
          <t>direct call to syncer._check_collection_changes private method</t>
        </is>
      </c>
    </row>
    <row r="1005">
      <c r="A1005" t="inlineStr">
        <is>
          <t>archon-search</t>
        </is>
      </c>
      <c r="B1005" t="inlineStr">
        <is>
          <t>/Users/manczg/Documents/development/archon-search/tests/test_sync.py</t>
        </is>
      </c>
      <c r="C1005" t="inlineStr">
        <is>
          <t>tests-05</t>
        </is>
      </c>
      <c r="D1005" t="n">
        <v>3380</v>
      </c>
      <c r="E1005" t="inlineStr">
        <is>
          <t>TP</t>
        </is>
      </c>
      <c r="F1005" t="inlineStr">
        <is>
          <t>direct call to syncer._check_collection_changes private method</t>
        </is>
      </c>
    </row>
    <row r="1006">
      <c r="A1006" t="inlineStr">
        <is>
          <t>archon-search</t>
        </is>
      </c>
      <c r="B1006" t="inlineStr">
        <is>
          <t>/Users/manczg/Documents/development/archon-search/tests/test_sync.py</t>
        </is>
      </c>
      <c r="C1006" t="inlineStr">
        <is>
          <t>tests-05</t>
        </is>
      </c>
      <c r="D1006" t="n">
        <v>3402</v>
      </c>
      <c r="E1006" t="inlineStr">
        <is>
          <t>TP</t>
        </is>
      </c>
      <c r="F1006" t="inlineStr">
        <is>
          <t>direct call to syncer._check_collection_changes private method</t>
        </is>
      </c>
    </row>
    <row r="1007">
      <c r="A1007" t="inlineStr">
        <is>
          <t>archon-search</t>
        </is>
      </c>
      <c r="B1007" t="inlineStr">
        <is>
          <t>/Users/manczg/Documents/development/archon-search/tests/test_sync.py</t>
        </is>
      </c>
      <c r="C1007" t="inlineStr">
        <is>
          <t>tests-05</t>
        </is>
      </c>
      <c r="D1007" t="n">
        <v>3420</v>
      </c>
      <c r="E1007" t="inlineStr">
        <is>
          <t>TP</t>
        </is>
      </c>
      <c r="F1007" t="inlineStr">
        <is>
          <t>direct call to syncer._check_collection_changes private method</t>
        </is>
      </c>
    </row>
    <row r="1008">
      <c r="A1008" t="inlineStr">
        <is>
          <t>archon-search</t>
        </is>
      </c>
      <c r="B1008" t="inlineStr">
        <is>
          <t>/Users/manczg/Documents/development/archon-search/tests/test_sync.py</t>
        </is>
      </c>
      <c r="C1008" t="inlineStr">
        <is>
          <t>tests-05</t>
        </is>
      </c>
      <c r="D1008" t="n">
        <v>3436</v>
      </c>
      <c r="E1008" t="inlineStr">
        <is>
          <t>TP</t>
        </is>
      </c>
      <c r="F1008" t="inlineStr">
        <is>
          <t>assert on syncer's private _chunk_size attribute</t>
        </is>
      </c>
    </row>
    <row r="1009">
      <c r="A1009" t="inlineStr">
        <is>
          <t>archon-search</t>
        </is>
      </c>
      <c r="B1009" t="inlineStr">
        <is>
          <t>/Users/manczg/Documents/development/archon-search/tests/test_sync.py</t>
        </is>
      </c>
      <c r="C1009" t="inlineStr">
        <is>
          <t>tests-05</t>
        </is>
      </c>
      <c r="D1009" t="n">
        <v>3437</v>
      </c>
      <c r="E1009" t="inlineStr">
        <is>
          <t>TP</t>
        </is>
      </c>
      <c r="F1009" t="inlineStr">
        <is>
          <t>assert on syncer's private _auto_reindex_on_chunk_size_change attribute</t>
        </is>
      </c>
    </row>
    <row r="1010">
      <c r="A1010" t="inlineStr">
        <is>
          <t>archon-search</t>
        </is>
      </c>
      <c r="B1010" t="inlineStr">
        <is>
          <t>/Users/manczg/Documents/development/archon-search/tests/test_sync.py</t>
        </is>
      </c>
      <c r="C1010" t="inlineStr">
        <is>
          <t>tests-05</t>
        </is>
      </c>
      <c r="D1010" t="n">
        <v>3459</v>
      </c>
      <c r="E1010" t="inlineStr">
        <is>
          <t>TP</t>
        </is>
      </c>
      <c r="F1010" t="inlineStr">
        <is>
          <t>direct call to syncer._check_collection_changes private method</t>
        </is>
      </c>
    </row>
    <row r="1011">
      <c r="A1011" t="inlineStr">
        <is>
          <t>archon-search</t>
        </is>
      </c>
      <c r="B1011" t="inlineStr">
        <is>
          <t>/Users/manczg/Documents/development/archon-search/tests/test_sync.py</t>
        </is>
      </c>
      <c r="C1011" t="inlineStr">
        <is>
          <t>tests-05</t>
        </is>
      </c>
      <c r="D1011" t="n">
        <v>3480</v>
      </c>
      <c r="E1011" t="inlineStr">
        <is>
          <t>TP</t>
        </is>
      </c>
      <c r="F1011" t="inlineStr">
        <is>
          <t>direct call to syncer._load_file_mtimes private method</t>
        </is>
      </c>
    </row>
    <row r="1012">
      <c r="A1012" t="inlineStr">
        <is>
          <t>archon-search</t>
        </is>
      </c>
      <c r="B1012" t="inlineStr">
        <is>
          <t>/Users/manczg/Documents/development/archon-search/tests/test_sync.py</t>
        </is>
      </c>
      <c r="C1012" t="inlineStr">
        <is>
          <t>tests-05</t>
        </is>
      </c>
      <c r="D1012" t="n">
        <v>3495</v>
      </c>
      <c r="E1012" t="inlineStr">
        <is>
          <t>TP</t>
        </is>
      </c>
      <c r="F1012" t="inlineStr">
        <is>
          <t>captures reference to syncer's private _iter_eligible_files</t>
        </is>
      </c>
    </row>
    <row r="1013">
      <c r="A1013" t="inlineStr">
        <is>
          <t>archon-search</t>
        </is>
      </c>
      <c r="B1013" t="inlineStr">
        <is>
          <t>/Users/manczg/Documents/development/archon-search/tests/test_sync.py</t>
        </is>
      </c>
      <c r="C1013" t="inlineStr">
        <is>
          <t>tests-05</t>
        </is>
      </c>
      <c r="D1013" t="n">
        <v>3509</v>
      </c>
      <c r="E1013" t="inlineStr">
        <is>
          <t>FP</t>
        </is>
      </c>
      <c r="F1013" t="inlineStr">
        <is>
          <t>self._real is FakePath's own declared field within a local test helper class, not SUT access</t>
        </is>
      </c>
    </row>
    <row r="1014">
      <c r="A1014" t="inlineStr">
        <is>
          <t>archon-search</t>
        </is>
      </c>
      <c r="B1014" t="inlineStr">
        <is>
          <t>/Users/manczg/Documents/development/archon-search/tests/test_sync.py</t>
        </is>
      </c>
      <c r="C1014" t="inlineStr">
        <is>
          <t>tests-05</t>
        </is>
      </c>
      <c r="D1014" t="n">
        <v>3515</v>
      </c>
      <c r="E1014" t="inlineStr">
        <is>
          <t>FP</t>
        </is>
      </c>
      <c r="F1014" t="inlineStr">
        <is>
          <t>self._real used by FakePath itself, its own declared attribute</t>
        </is>
      </c>
    </row>
    <row r="1015">
      <c r="A1015" t="inlineStr">
        <is>
          <t>archon-search</t>
        </is>
      </c>
      <c r="B1015" t="inlineStr">
        <is>
          <t>/Users/manczg/Documents/development/archon-search/tests/test_sync.py</t>
        </is>
      </c>
      <c r="C1015" t="inlineStr">
        <is>
          <t>tests-05</t>
        </is>
      </c>
      <c r="D1015" t="n">
        <v>3518</v>
      </c>
      <c r="E1015" t="inlineStr">
        <is>
          <t>FP</t>
        </is>
      </c>
      <c r="F1015" t="inlineStr">
        <is>
          <t>self._real used by FakePath itself, its own declared attribute</t>
        </is>
      </c>
    </row>
    <row r="1016">
      <c r="A1016" t="inlineStr">
        <is>
          <t>archon-search</t>
        </is>
      </c>
      <c r="B1016" t="inlineStr">
        <is>
          <t>/Users/manczg/Documents/development/archon-search/tests/test_sync.py</t>
        </is>
      </c>
      <c r="C1016" t="inlineStr">
        <is>
          <t>tests-05</t>
        </is>
      </c>
      <c r="D1016" t="n">
        <v>3521</v>
      </c>
      <c r="E1016" t="inlineStr">
        <is>
          <t>FP</t>
        </is>
      </c>
      <c r="F1016" t="inlineStr">
        <is>
          <t>self._real used by FakePath itself, its own declared attribute</t>
        </is>
      </c>
    </row>
    <row r="1017">
      <c r="A1017" t="inlineStr">
        <is>
          <t>archon-search</t>
        </is>
      </c>
      <c r="B1017" t="inlineStr">
        <is>
          <t>/Users/manczg/Documents/development/archon-search/tests/test_sync.py</t>
        </is>
      </c>
      <c r="C1017" t="inlineStr">
        <is>
          <t>tests-05</t>
        </is>
      </c>
      <c r="D1017" t="n">
        <v>3526</v>
      </c>
      <c r="E1017" t="inlineStr">
        <is>
          <t>TP</t>
        </is>
      </c>
      <c r="F1017" t="inlineStr">
        <is>
          <t>assigns patched_iter to syncer's private _iter_eligible_files</t>
        </is>
      </c>
    </row>
    <row r="1018">
      <c r="A1018" t="inlineStr">
        <is>
          <t>archon-search</t>
        </is>
      </c>
      <c r="B1018" t="inlineStr">
        <is>
          <t>/Users/manczg/Documents/development/archon-search/tests/test_sync.py</t>
        </is>
      </c>
      <c r="C1018" t="inlineStr">
        <is>
          <t>tests-05</t>
        </is>
      </c>
      <c r="D1018" t="n">
        <v>3527</v>
      </c>
      <c r="E1018" t="inlineStr">
        <is>
          <t>TP</t>
        </is>
      </c>
      <c r="F1018" t="inlineStr">
        <is>
          <t>direct call to syncer._check_collection_changes private method</t>
        </is>
      </c>
    </row>
    <row r="1019">
      <c r="A1019" t="inlineStr">
        <is>
          <t>archon-search</t>
        </is>
      </c>
      <c r="B1019" t="inlineStr">
        <is>
          <t>/Users/manczg/Documents/development/archon-search/tests/test_sync.py</t>
        </is>
      </c>
      <c r="C1019" t="inlineStr">
        <is>
          <t>tests-05</t>
        </is>
      </c>
      <c r="D1019" t="n">
        <v>3547</v>
      </c>
      <c r="E1019" t="inlineStr">
        <is>
          <t>TP</t>
        </is>
      </c>
      <c r="F1019" t="inlineStr">
        <is>
          <t>direct call to syncer._check_collection_changes private method</t>
        </is>
      </c>
    </row>
    <row r="1020">
      <c r="A1020" t="inlineStr">
        <is>
          <t>archon-search</t>
        </is>
      </c>
      <c r="B1020" t="inlineStr">
        <is>
          <t>/Users/manczg/Documents/development/archon-search/tests/test_sync.py</t>
        </is>
      </c>
      <c r="C1020" t="inlineStr">
        <is>
          <t>tests-05</t>
        </is>
      </c>
      <c r="D1020" t="n">
        <v>3564</v>
      </c>
      <c r="E1020" t="inlineStr">
        <is>
          <t>TP</t>
        </is>
      </c>
      <c r="F1020" t="inlineStr">
        <is>
          <t>direct call to syncer._load_file_mtimes private method</t>
        </is>
      </c>
    </row>
    <row r="1021">
      <c r="A1021" t="inlineStr">
        <is>
          <t>archon-search</t>
        </is>
      </c>
      <c r="B1021" t="inlineStr">
        <is>
          <t>/Users/manczg/Documents/development/archon-search/tests/test_sync.py</t>
        </is>
      </c>
      <c r="C1021" t="inlineStr">
        <is>
          <t>tests-05</t>
        </is>
      </c>
      <c r="D1021" t="n">
        <v>3575</v>
      </c>
      <c r="E1021" t="inlineStr">
        <is>
          <t>TP</t>
        </is>
      </c>
      <c r="F1021" t="inlineStr">
        <is>
          <t>direct call to syncer._check_collection_changes private method</t>
        </is>
      </c>
    </row>
    <row r="1022">
      <c r="A1022" t="inlineStr">
        <is>
          <t>archon-search</t>
        </is>
      </c>
      <c r="B1022" t="inlineStr">
        <is>
          <t>/Users/manczg/Documents/development/archon-search/tests/test_sync.py</t>
        </is>
      </c>
      <c r="C1022" t="inlineStr">
        <is>
          <t>tests-05</t>
        </is>
      </c>
      <c r="D1022" t="n">
        <v>3920</v>
      </c>
      <c r="E1022" t="inlineStr">
        <is>
          <t>FP</t>
        </is>
      </c>
      <c r="F1022" t="inlineStr">
        <is>
          <t>pipeline is a MagicMock built via _make_mock_pipeline_with_ingest_file; setting store._config is on a test-double</t>
        </is>
      </c>
    </row>
    <row r="1023">
      <c r="A1023" t="inlineStr">
        <is>
          <t>archon-search</t>
        </is>
      </c>
      <c r="B1023" t="inlineStr">
        <is>
          <t>/Users/manczg/Documents/development/archon-search/tests/test_sync.py</t>
        </is>
      </c>
      <c r="C1023" t="inlineStr">
        <is>
          <t>tests-05</t>
        </is>
      </c>
      <c r="D1023" t="n">
        <v>4173</v>
      </c>
      <c r="E1023" t="inlineStr">
        <is>
          <t>TP</t>
        </is>
      </c>
      <c r="F1023" t="inlineStr">
        <is>
          <t>captures reference to syncer's private _safe_state_update</t>
        </is>
      </c>
    </row>
    <row r="1024">
      <c r="A1024" t="inlineStr">
        <is>
          <t>archon-search</t>
        </is>
      </c>
      <c r="B1024" t="inlineStr">
        <is>
          <t>/Users/manczg/Documents/development/archon-search/tests/test_sync.py</t>
        </is>
      </c>
      <c r="C1024" t="inlineStr">
        <is>
          <t>tests-05</t>
        </is>
      </c>
      <c r="D1024" t="n">
        <v>4180</v>
      </c>
      <c r="E1024" t="inlineStr">
        <is>
          <t>TP</t>
        </is>
      </c>
      <c r="F1024" t="inlineStr">
        <is>
          <t>patch.object(syncer, "_safe_state_update") reaches private method</t>
        </is>
      </c>
    </row>
    <row r="1025">
      <c r="A1025" t="inlineStr">
        <is>
          <t>archon-search</t>
        </is>
      </c>
      <c r="B1025" t="inlineStr">
        <is>
          <t>/Users/manczg/Documents/development/archon-search/tests/test_sync.py</t>
        </is>
      </c>
      <c r="C1025" t="inlineStr">
        <is>
          <t>tests-05</t>
        </is>
      </c>
      <c r="D1025" t="n">
        <v>4838</v>
      </c>
      <c r="E1025" t="inlineStr">
        <is>
          <t>TP</t>
        </is>
      </c>
      <c r="F1025" t="inlineStr">
        <is>
          <t>patch.object(syncer, "_check_collection_changes") reaches private method</t>
        </is>
      </c>
    </row>
    <row r="1026">
      <c r="A1026" t="inlineStr">
        <is>
          <t>archon-search</t>
        </is>
      </c>
      <c r="B1026" t="inlineStr">
        <is>
          <t>/Users/manczg/Documents/development/archon-search/tests/test_sync.py</t>
        </is>
      </c>
      <c r="C1026" t="inlineStr">
        <is>
          <t>tests-05</t>
        </is>
      </c>
      <c r="D1026" t="n">
        <v>4862</v>
      </c>
      <c r="E1026" t="inlineStr">
        <is>
          <t>TP</t>
        </is>
      </c>
      <c r="F1026" t="inlineStr">
        <is>
          <t>patch.object(syncer, "_check_collection_changes") reaches private method</t>
        </is>
      </c>
    </row>
    <row r="1027">
      <c r="A1027" t="inlineStr">
        <is>
          <t>archon-search</t>
        </is>
      </c>
      <c r="B1027" t="inlineStr">
        <is>
          <t>/Users/manczg/Documents/development/archon-search/tests/test_sync.py</t>
        </is>
      </c>
      <c r="C1027" t="inlineStr">
        <is>
          <t>tests-05</t>
        </is>
      </c>
      <c r="D1027" t="n">
        <v>4863</v>
      </c>
      <c r="E1027" t="inlineStr">
        <is>
          <t>TP</t>
        </is>
      </c>
      <c r="F1027" t="inlineStr">
        <is>
          <t>patch.object(syncer, "_apply_collection_changes") reaches private method</t>
        </is>
      </c>
    </row>
    <row r="1028">
      <c r="A1028" t="inlineStr">
        <is>
          <t>archon-search</t>
        </is>
      </c>
      <c r="B1028" t="inlineStr">
        <is>
          <t>/Users/manczg/Documents/development/archon-search/tests/test_sync.py</t>
        </is>
      </c>
      <c r="C1028" t="inlineStr">
        <is>
          <t>tests-05</t>
        </is>
      </c>
      <c r="D1028" t="n">
        <v>4887</v>
      </c>
      <c r="E1028" t="inlineStr">
        <is>
          <t>TP</t>
        </is>
      </c>
      <c r="F1028" t="inlineStr">
        <is>
          <t>patch.object(syncer, "_check_collection_changes") reaches private method</t>
        </is>
      </c>
    </row>
    <row r="1029">
      <c r="A1029" t="inlineStr">
        <is>
          <t>archon-search</t>
        </is>
      </c>
      <c r="B1029" t="inlineStr">
        <is>
          <t>/Users/manczg/Documents/development/archon-search/tests/test_sync.py</t>
        </is>
      </c>
      <c r="C1029" t="inlineStr">
        <is>
          <t>tests-05</t>
        </is>
      </c>
      <c r="D1029" t="n">
        <v>4888</v>
      </c>
      <c r="E1029" t="inlineStr">
        <is>
          <t>TP</t>
        </is>
      </c>
      <c r="F1029" t="inlineStr">
        <is>
          <t>patch.object(syncer, "_apply_collection_changes") reaches private method</t>
        </is>
      </c>
    </row>
    <row r="1030">
      <c r="A1030" t="inlineStr">
        <is>
          <t>archon-search</t>
        </is>
      </c>
      <c r="B1030" t="inlineStr">
        <is>
          <t>/Users/manczg/Documents/development/archon-search/tests/test_sync.py</t>
        </is>
      </c>
      <c r="C1030" t="inlineStr">
        <is>
          <t>tests-05</t>
        </is>
      </c>
      <c r="D1030" t="n">
        <v>4914</v>
      </c>
      <c r="E1030" t="inlineStr">
        <is>
          <t>TP</t>
        </is>
      </c>
      <c r="F1030" t="inlineStr">
        <is>
          <t>patch.object(syncer, "_check_collection_changes") reaches private method</t>
        </is>
      </c>
    </row>
    <row r="1031">
      <c r="A1031" t="inlineStr">
        <is>
          <t>archon-search</t>
        </is>
      </c>
      <c r="B1031" t="inlineStr">
        <is>
          <t>/Users/manczg/Documents/development/archon-search/tests/test_sync.py</t>
        </is>
      </c>
      <c r="C1031" t="inlineStr">
        <is>
          <t>tests-05</t>
        </is>
      </c>
      <c r="D1031" t="n">
        <v>4915</v>
      </c>
      <c r="E1031" t="inlineStr">
        <is>
          <t>TP</t>
        </is>
      </c>
      <c r="F1031" t="inlineStr">
        <is>
          <t>patch.object(syncer, "_apply_collection_changes") reaches private method</t>
        </is>
      </c>
    </row>
    <row r="1032">
      <c r="A1032" t="inlineStr">
        <is>
          <t>archon-search</t>
        </is>
      </c>
      <c r="B1032" t="inlineStr">
        <is>
          <t>/Users/manczg/Documents/development/archon-search/tests/test_sync.py</t>
        </is>
      </c>
      <c r="C1032" t="inlineStr">
        <is>
          <t>tests-05</t>
        </is>
      </c>
      <c r="D1032" t="n">
        <v>4954</v>
      </c>
      <c r="E1032" t="inlineStr">
        <is>
          <t>TP</t>
        </is>
      </c>
      <c r="F1032" t="inlineStr">
        <is>
          <t>direct call to syncer._get_lock private method</t>
        </is>
      </c>
    </row>
    <row r="1033">
      <c r="A1033" t="inlineStr">
        <is>
          <t>archon-search</t>
        </is>
      </c>
      <c r="B1033" t="inlineStr">
        <is>
          <t>/Users/manczg/Documents/development/archon-search/tests/test_sync.py</t>
        </is>
      </c>
      <c r="C1033" t="inlineStr">
        <is>
          <t>tests-05</t>
        </is>
      </c>
      <c r="D1033" t="n">
        <v>4961</v>
      </c>
      <c r="E1033" t="inlineStr">
        <is>
          <t>TP</t>
        </is>
      </c>
      <c r="F1033" t="inlineStr">
        <is>
          <t>patch.object(syncer, "_check_collection_changes") reaches private method</t>
        </is>
      </c>
    </row>
    <row r="1034">
      <c r="A1034" t="inlineStr">
        <is>
          <t>archon-search</t>
        </is>
      </c>
      <c r="B1034" t="inlineStr">
        <is>
          <t>/Users/manczg/Documents/development/archon-search/tests/test_sync.py</t>
        </is>
      </c>
      <c r="C1034" t="inlineStr">
        <is>
          <t>tests-05</t>
        </is>
      </c>
      <c r="D1034" t="n">
        <v>4962</v>
      </c>
      <c r="E1034" t="inlineStr">
        <is>
          <t>TP</t>
        </is>
      </c>
      <c r="F1034" t="inlineStr">
        <is>
          <t>patch.object(syncer, "_apply_collection_changes") reaches private method</t>
        </is>
      </c>
    </row>
    <row r="1035">
      <c r="A1035" t="inlineStr">
        <is>
          <t>archon-search</t>
        </is>
      </c>
      <c r="B1035" t="inlineStr">
        <is>
          <t>/Users/manczg/Documents/development/archon-search/tests/test_sync.py</t>
        </is>
      </c>
      <c r="C1035" t="inlineStr">
        <is>
          <t>tests-05</t>
        </is>
      </c>
      <c r="D1035" t="n">
        <v>4988</v>
      </c>
      <c r="E1035" t="inlineStr">
        <is>
          <t>TP</t>
        </is>
      </c>
      <c r="F1035" t="inlineStr">
        <is>
          <t>patch.object(syncer, "_check_collection_changes") reaches private method</t>
        </is>
      </c>
    </row>
    <row r="1036">
      <c r="A1036" t="inlineStr">
        <is>
          <t>archon-search</t>
        </is>
      </c>
      <c r="B1036" t="inlineStr">
        <is>
          <t>/Users/manczg/Documents/development/archon-search/tests/test_sync.py</t>
        </is>
      </c>
      <c r="C1036" t="inlineStr">
        <is>
          <t>tests-05</t>
        </is>
      </c>
      <c r="D1036" t="n">
        <v>5012</v>
      </c>
      <c r="E1036" t="inlineStr">
        <is>
          <t>TP</t>
        </is>
      </c>
      <c r="F1036" t="inlineStr">
        <is>
          <t>patch.object(syncer, "_check_collection_changes") reaches private method</t>
        </is>
      </c>
    </row>
    <row r="1037">
      <c r="A1037" t="inlineStr">
        <is>
          <t>archon-search</t>
        </is>
      </c>
      <c r="B1037" t="inlineStr">
        <is>
          <t>/Users/manczg/Documents/development/archon-search/tests/test_sync.py</t>
        </is>
      </c>
      <c r="C1037" t="inlineStr">
        <is>
          <t>tests-05</t>
        </is>
      </c>
      <c r="D1037" t="n">
        <v>5013</v>
      </c>
      <c r="E1037" t="inlineStr">
        <is>
          <t>TP</t>
        </is>
      </c>
      <c r="F1037" t="inlineStr">
        <is>
          <t>patch.object(syncer, "_apply_collection_changes") reaches private method</t>
        </is>
      </c>
    </row>
    <row r="1038">
      <c r="A1038" t="inlineStr">
        <is>
          <t>archon-search</t>
        </is>
      </c>
      <c r="B1038" t="inlineStr">
        <is>
          <t>/Users/manczg/Documents/development/archon-search/tests/test_sync.py</t>
        </is>
      </c>
      <c r="C1038" t="inlineStr">
        <is>
          <t>tests-05</t>
        </is>
      </c>
      <c r="D1038" t="n">
        <v>5038</v>
      </c>
      <c r="E1038" t="inlineStr">
        <is>
          <t>TP</t>
        </is>
      </c>
      <c r="F1038" t="inlineStr">
        <is>
          <t>patch.object(syncer, "_check_collection_changes") reaches private method</t>
        </is>
      </c>
    </row>
    <row r="1039">
      <c r="A1039" t="inlineStr">
        <is>
          <t>archon-search</t>
        </is>
      </c>
      <c r="B1039" t="inlineStr">
        <is>
          <t>/Users/manczg/Documents/development/archon-search/tests/test_sync.py</t>
        </is>
      </c>
      <c r="C1039" t="inlineStr">
        <is>
          <t>tests-05</t>
        </is>
      </c>
      <c r="D1039" t="n">
        <v>5039</v>
      </c>
      <c r="E1039" t="inlineStr">
        <is>
          <t>TP</t>
        </is>
      </c>
      <c r="F1039" t="inlineStr">
        <is>
          <t>patch.object(syncer, "_apply_collection_changes") reaches private method</t>
        </is>
      </c>
    </row>
    <row r="1040">
      <c r="A1040" t="inlineStr">
        <is>
          <t>archon-search</t>
        </is>
      </c>
      <c r="B1040" t="inlineStr">
        <is>
          <t>/Users/manczg/Documents/development/archon-search/tests/test_sync.py</t>
        </is>
      </c>
      <c r="C1040" t="inlineStr">
        <is>
          <t>tests-05</t>
        </is>
      </c>
      <c r="D1040" t="n">
        <v>5063</v>
      </c>
      <c r="E1040" t="inlineStr">
        <is>
          <t>TP</t>
        </is>
      </c>
      <c r="F1040" t="inlineStr">
        <is>
          <t>patch.object(syncer, "_check_collection_changes") reaches private method</t>
        </is>
      </c>
    </row>
    <row r="1041">
      <c r="A1041" t="inlineStr">
        <is>
          <t>archon-search</t>
        </is>
      </c>
      <c r="B1041" t="inlineStr">
        <is>
          <t>/Users/manczg/Documents/development/archon-search/tests/test_sync.py</t>
        </is>
      </c>
      <c r="C1041" t="inlineStr">
        <is>
          <t>tests-05</t>
        </is>
      </c>
      <c r="D1041" t="n">
        <v>5064</v>
      </c>
      <c r="E1041" t="inlineStr">
        <is>
          <t>TP</t>
        </is>
      </c>
      <c r="F1041" t="inlineStr">
        <is>
          <t>patch.object(syncer, "_apply_collection_changes") reaches private method</t>
        </is>
      </c>
    </row>
    <row r="1042">
      <c r="A1042" t="inlineStr">
        <is>
          <t>archon-search</t>
        </is>
      </c>
      <c r="B1042" t="inlineStr">
        <is>
          <t>/Users/manczg/Documents/development/archon-search/tests/test_sync.py</t>
        </is>
      </c>
      <c r="C1042" t="inlineStr">
        <is>
          <t>tests-05</t>
        </is>
      </c>
      <c r="D1042" t="n">
        <v>5082</v>
      </c>
      <c r="E1042" t="inlineStr">
        <is>
          <t>FP</t>
        </is>
      </c>
      <c r="F1042" t="inlineStr">
        <is>
          <t>private name appears only inside a docstring</t>
        </is>
      </c>
    </row>
    <row r="1043">
      <c r="A1043" t="inlineStr">
        <is>
          <t>archon-search</t>
        </is>
      </c>
      <c r="B1043" t="inlineStr">
        <is>
          <t>/Users/manczg/Documents/development/archon-search/tests/test_sync.py</t>
        </is>
      </c>
      <c r="C1043" t="inlineStr">
        <is>
          <t>tests-05</t>
        </is>
      </c>
      <c r="D1043" t="n">
        <v>5090</v>
      </c>
      <c r="E1043" t="inlineStr">
        <is>
          <t>FP</t>
        </is>
      </c>
      <c r="F1043" t="inlineStr">
        <is>
          <t>pipeline is a MagicMock built via _make_mock_pipeline_with_ingest_file; setting store._config is on a test-double</t>
        </is>
      </c>
    </row>
    <row r="1044">
      <c r="A1044" t="inlineStr">
        <is>
          <t>archon-search</t>
        </is>
      </c>
      <c r="B1044" t="inlineStr">
        <is>
          <t>/Users/manczg/Documents/development/archon-search/tests/test_sync.py</t>
        </is>
      </c>
      <c r="C1044" t="inlineStr">
        <is>
          <t>tests-05</t>
        </is>
      </c>
      <c r="D1044" t="n">
        <v>5214</v>
      </c>
      <c r="E1044" t="inlineStr">
        <is>
          <t>TP</t>
        </is>
      </c>
      <c r="F1044" t="inlineStr">
        <is>
          <t>direct call to syncer._check_collection_changes private method</t>
        </is>
      </c>
    </row>
    <row r="1045">
      <c r="A1045" t="inlineStr">
        <is>
          <t>archon-search</t>
        </is>
      </c>
      <c r="B1045" t="inlineStr">
        <is>
          <t>/Users/manczg/Documents/development/archon-search/tests/test_sync.py</t>
        </is>
      </c>
      <c r="C1045" t="inlineStr">
        <is>
          <t>tests-05</t>
        </is>
      </c>
      <c r="D1045" t="n">
        <v>5248</v>
      </c>
      <c r="E1045" t="inlineStr">
        <is>
          <t>TP</t>
        </is>
      </c>
      <c r="F1045" t="inlineStr">
        <is>
          <t>direct call to syncer._check_collection_changes private method</t>
        </is>
      </c>
    </row>
    <row r="1046">
      <c r="A1046" t="inlineStr">
        <is>
          <t>archon-search</t>
        </is>
      </c>
      <c r="B1046" t="inlineStr">
        <is>
          <t>/Users/manczg/Documents/development/archon-search/tests/test_sync.py</t>
        </is>
      </c>
      <c r="C1046" t="inlineStr">
        <is>
          <t>tests-05</t>
        </is>
      </c>
      <c r="D1046" t="n">
        <v>5277</v>
      </c>
      <c r="E1046" t="inlineStr">
        <is>
          <t>TP</t>
        </is>
      </c>
      <c r="F1046" t="inlineStr">
        <is>
          <t>direct call to syncer._check_collection_changes private method</t>
        </is>
      </c>
    </row>
    <row r="1047">
      <c r="A1047" t="inlineStr">
        <is>
          <t>archon-search</t>
        </is>
      </c>
      <c r="B1047" t="inlineStr">
        <is>
          <t>/Users/manczg/Documents/development/archon-search/tests/test_sync.py</t>
        </is>
      </c>
      <c r="C1047" t="inlineStr">
        <is>
          <t>tests-05</t>
        </is>
      </c>
      <c r="D1047" t="n">
        <v>5305</v>
      </c>
      <c r="E1047" t="inlineStr">
        <is>
          <t>TP</t>
        </is>
      </c>
      <c r="F1047" t="inlineStr">
        <is>
          <t>direct call to syncer._check_collection_changes private method</t>
        </is>
      </c>
    </row>
    <row r="1048">
      <c r="A1048" t="inlineStr">
        <is>
          <t>archon-search</t>
        </is>
      </c>
      <c r="B1048" t="inlineStr">
        <is>
          <t>/Users/manczg/Documents/development/archon-search/tests/test_sync.py</t>
        </is>
      </c>
      <c r="C1048" t="inlineStr">
        <is>
          <t>tests-05</t>
        </is>
      </c>
      <c r="D1048" t="n">
        <v>5318</v>
      </c>
      <c r="E1048" t="inlineStr">
        <is>
          <t>FP</t>
        </is>
      </c>
      <c r="F1048" t="inlineStr">
        <is>
          <t>private name appears only inside a docstring</t>
        </is>
      </c>
    </row>
    <row r="1049">
      <c r="A1049" t="inlineStr">
        <is>
          <t>archon-search</t>
        </is>
      </c>
      <c r="B1049" t="inlineStr">
        <is>
          <t>/Users/manczg/Documents/development/archon-search/tests/test_sync.py</t>
        </is>
      </c>
      <c r="C1049" t="inlineStr">
        <is>
          <t>tests-05</t>
        </is>
      </c>
      <c r="D1049" t="n">
        <v>5323</v>
      </c>
      <c r="E1049" t="inlineStr">
        <is>
          <t>TP</t>
        </is>
      </c>
      <c r="F1049" t="inlineStr">
        <is>
          <t>assert condition checks reflected module source text for private attribute name</t>
        </is>
      </c>
    </row>
    <row r="1050">
      <c r="A1050" t="inlineStr">
        <is>
          <t>archon-search</t>
        </is>
      </c>
      <c r="B1050" t="inlineStr">
        <is>
          <t>/Users/manczg/Documents/development/archon-search/tests/test_sync.py</t>
        </is>
      </c>
      <c r="C1050" t="inlineStr">
        <is>
          <t>tests-05</t>
        </is>
      </c>
      <c r="D1050" t="n">
        <v>5324</v>
      </c>
      <c r="E1050" t="inlineStr">
        <is>
          <t>FP</t>
        </is>
      </c>
      <c r="F1050" t="inlineStr">
        <is>
          <t>private name appears only inside the assertion-message string</t>
        </is>
      </c>
    </row>
    <row r="1051">
      <c r="A1051" t="inlineStr">
        <is>
          <t>archon-search</t>
        </is>
      </c>
      <c r="B1051" t="inlineStr">
        <is>
          <t>/Users/manczg/Documents/development/archon-search/tests/test_sync.py</t>
        </is>
      </c>
      <c r="C1051" t="inlineStr">
        <is>
          <t>tests-05</t>
        </is>
      </c>
      <c r="D1051" t="n">
        <v>5407</v>
      </c>
      <c r="E1051" t="inlineStr">
        <is>
          <t>TP</t>
        </is>
      </c>
      <c r="F1051" t="inlineStr">
        <is>
          <t>direct call to syncer._apply_collection_changes private method</t>
        </is>
      </c>
    </row>
    <row r="1052">
      <c r="A1052" t="inlineStr">
        <is>
          <t>archon-search</t>
        </is>
      </c>
      <c r="B1052" t="inlineStr">
        <is>
          <t>/Users/manczg/Documents/development/archon-search/tests/test_sync.py</t>
        </is>
      </c>
      <c r="C1052" t="inlineStr">
        <is>
          <t>tests-05</t>
        </is>
      </c>
      <c r="D1052" t="n">
        <v>5450</v>
      </c>
      <c r="E1052" t="inlineStr">
        <is>
          <t>TP</t>
        </is>
      </c>
      <c r="F1052" t="inlineStr">
        <is>
          <t>direct call to syncer._apply_collection_changes private method</t>
        </is>
      </c>
    </row>
    <row r="1053">
      <c r="A1053" t="inlineStr">
        <is>
          <t>archon-search</t>
        </is>
      </c>
      <c r="B1053" t="inlineStr">
        <is>
          <t>/Users/manczg/Documents/development/archon-search/tests/test_sync.py</t>
        </is>
      </c>
      <c r="C1053" t="inlineStr">
        <is>
          <t>tests-05</t>
        </is>
      </c>
      <c r="D1053" t="n">
        <v>5470</v>
      </c>
      <c r="E1053" t="inlineStr">
        <is>
          <t>FP</t>
        </is>
      </c>
      <c r="F1053" t="inlineStr">
        <is>
          <t>private name appears only inside a docstring</t>
        </is>
      </c>
    </row>
    <row r="1054">
      <c r="A1054" t="inlineStr">
        <is>
          <t>archon-search</t>
        </is>
      </c>
      <c r="B1054" t="inlineStr">
        <is>
          <t>/Users/manczg/Documents/development/archon-search/tests/test_sync.py</t>
        </is>
      </c>
      <c r="C1054" t="inlineStr">
        <is>
          <t>tests-05</t>
        </is>
      </c>
      <c r="D1054" t="n">
        <v>5475</v>
      </c>
      <c r="E1054" t="inlineStr">
        <is>
          <t>TP</t>
        </is>
      </c>
      <c r="F1054" t="inlineStr">
        <is>
          <t>assert condition checks reflected module source text for private attribute name</t>
        </is>
      </c>
    </row>
    <row r="1055">
      <c r="A1055" t="inlineStr">
        <is>
          <t>archon-search</t>
        </is>
      </c>
      <c r="B1055" t="inlineStr">
        <is>
          <t>/Users/manczg/Documents/development/archon-search/tests/test_sync.py</t>
        </is>
      </c>
      <c r="C1055" t="inlineStr">
        <is>
          <t>tests-05</t>
        </is>
      </c>
      <c r="D1055" t="n">
        <v>5476</v>
      </c>
      <c r="E1055" t="inlineStr">
        <is>
          <t>FP</t>
        </is>
      </c>
      <c r="F1055" t="inlineStr">
        <is>
          <t>private name appears only inside the assertion-message string</t>
        </is>
      </c>
    </row>
    <row r="1056">
      <c r="A1056" t="inlineStr">
        <is>
          <t>archon-search</t>
        </is>
      </c>
      <c r="B1056" t="inlineStr">
        <is>
          <t>/Users/manczg/Documents/development/archon-search/tests/test_sync.py</t>
        </is>
      </c>
      <c r="C1056" t="inlineStr">
        <is>
          <t>tests-05</t>
        </is>
      </c>
      <c r="D1056" t="n">
        <v>5516</v>
      </c>
      <c r="E1056" t="inlineStr">
        <is>
          <t>TP</t>
        </is>
      </c>
      <c r="F1056" t="inlineStr">
        <is>
          <t>direct call to syncer._ingest_collection private method</t>
        </is>
      </c>
    </row>
    <row r="1057">
      <c r="A1057" t="inlineStr">
        <is>
          <t>archon-search</t>
        </is>
      </c>
      <c r="B1057" t="inlineStr">
        <is>
          <t>/Users/manczg/Documents/development/archon-search/tests/test_sync.py</t>
        </is>
      </c>
      <c r="C1057" t="inlineStr">
        <is>
          <t>tests-05</t>
        </is>
      </c>
      <c r="D1057" t="n">
        <v>5530</v>
      </c>
      <c r="E1057" t="inlineStr">
        <is>
          <t>TP</t>
        </is>
      </c>
      <c r="F1057" t="inlineStr">
        <is>
          <t>direct call to syncer._apply_collection_changes private method</t>
        </is>
      </c>
    </row>
    <row r="1058">
      <c r="A1058" t="inlineStr">
        <is>
          <t>archon-search</t>
        </is>
      </c>
      <c r="B1058" t="inlineStr">
        <is>
          <t>/Users/manczg/Documents/development/archon-search/tests/test_sync.py</t>
        </is>
      </c>
      <c r="C1058" t="inlineStr">
        <is>
          <t>tests-05</t>
        </is>
      </c>
      <c r="D1058" t="n">
        <v>5545</v>
      </c>
      <c r="E1058" t="inlineStr">
        <is>
          <t>TP</t>
        </is>
      </c>
      <c r="F1058" t="inlineStr">
        <is>
          <t>direct call to syncer._apply_collection_changes private method</t>
        </is>
      </c>
    </row>
    <row r="1059">
      <c r="A1059" t="inlineStr">
        <is>
          <t>archon-search</t>
        </is>
      </c>
      <c r="B1059" t="inlineStr">
        <is>
          <t>/Users/manczg/Documents/development/archon-search/tests/test_sync.py</t>
        </is>
      </c>
      <c r="C1059" t="inlineStr">
        <is>
          <t>tests-05</t>
        </is>
      </c>
      <c r="D1059" t="n">
        <v>5586</v>
      </c>
      <c r="E1059" t="inlineStr">
        <is>
          <t>TP</t>
        </is>
      </c>
      <c r="F1059" t="inlineStr">
        <is>
          <t>direct call to syncer._ingest_collection private method</t>
        </is>
      </c>
    </row>
    <row r="1060">
      <c r="A1060" t="inlineStr">
        <is>
          <t>archon-search</t>
        </is>
      </c>
      <c r="B1060" t="inlineStr">
        <is>
          <t>/Users/manczg/Documents/development/archon-search/tests/test_sync.py</t>
        </is>
      </c>
      <c r="C1060" t="inlineStr">
        <is>
          <t>tests-05</t>
        </is>
      </c>
      <c r="D1060" t="n">
        <v>5591</v>
      </c>
      <c r="E1060" t="inlineStr">
        <is>
          <t>TP</t>
        </is>
      </c>
      <c r="F1060" t="inlineStr">
        <is>
          <t>direct call to syncer._apply_collection_changes private method</t>
        </is>
      </c>
    </row>
    <row r="1061">
      <c r="A1061" t="inlineStr">
        <is>
          <t>archon-search</t>
        </is>
      </c>
      <c r="B1061" t="inlineStr">
        <is>
          <t>/Users/manczg/Documents/development/archon-search/tests/test_sync.py</t>
        </is>
      </c>
      <c r="C1061" t="inlineStr">
        <is>
          <t>tests-05</t>
        </is>
      </c>
      <c r="D1061" t="n">
        <v>5621</v>
      </c>
      <c r="E1061" t="inlineStr">
        <is>
          <t>TP</t>
        </is>
      </c>
      <c r="F1061" t="inlineStr">
        <is>
          <t>direct call to syncer._ingest_collection private method</t>
        </is>
      </c>
    </row>
    <row r="1062">
      <c r="A1062" t="inlineStr">
        <is>
          <t>archon-search</t>
        </is>
      </c>
      <c r="B1062" t="inlineStr">
        <is>
          <t>/Users/manczg/Documents/development/archon-search/tests/test_sync.py</t>
        </is>
      </c>
      <c r="C1062" t="inlineStr">
        <is>
          <t>tests-05</t>
        </is>
      </c>
      <c r="D1062" t="n">
        <v>5652</v>
      </c>
      <c r="E1062" t="inlineStr">
        <is>
          <t>TP</t>
        </is>
      </c>
      <c r="F1062" t="inlineStr">
        <is>
          <t>direct call to syncer._apply_collection_changes private method</t>
        </is>
      </c>
    </row>
    <row r="1063">
      <c r="A1063" t="inlineStr">
        <is>
          <t>archon-search</t>
        </is>
      </c>
      <c r="B1063" t="inlineStr">
        <is>
          <t>/Users/manczg/Documents/development/archon-search/tests/test_sync.py</t>
        </is>
      </c>
      <c r="C1063" t="inlineStr">
        <is>
          <t>tests-05</t>
        </is>
      </c>
      <c r="D1063" t="n">
        <v>5693</v>
      </c>
      <c r="E1063" t="inlineStr">
        <is>
          <t>TP</t>
        </is>
      </c>
      <c r="F1063" t="inlineStr">
        <is>
          <t>direct call to syncer._apply_collection_changes private method</t>
        </is>
      </c>
    </row>
    <row r="1064">
      <c r="A1064" t="inlineStr">
        <is>
          <t>archon-search</t>
        </is>
      </c>
      <c r="B1064" t="inlineStr">
        <is>
          <t>/Users/manczg/Documents/development/archon-search/tests/test_sync.py</t>
        </is>
      </c>
      <c r="C1064" t="inlineStr">
        <is>
          <t>tests-05</t>
        </is>
      </c>
      <c r="D1064" t="n">
        <v>5710</v>
      </c>
      <c r="E1064" t="inlineStr">
        <is>
          <t>FP</t>
        </is>
      </c>
      <c r="F1064" t="inlineStr">
        <is>
          <t>pipeline is a MagicMock test-double; _global_embedder read is on the mock, not the real subject</t>
        </is>
      </c>
    </row>
    <row r="1065">
      <c r="A1065" t="inlineStr">
        <is>
          <t>archon-search</t>
        </is>
      </c>
      <c r="B1065" t="inlineStr">
        <is>
          <t>/Users/manczg/Documents/development/archon-search/tests/test_sync.py</t>
        </is>
      </c>
      <c r="C1065" t="inlineStr">
        <is>
          <t>tests-05</t>
        </is>
      </c>
      <c r="D1065" t="n">
        <v>5726</v>
      </c>
      <c r="E1065" t="inlineStr">
        <is>
          <t>FP</t>
        </is>
      </c>
      <c r="F1065" t="inlineStr">
        <is>
          <t>pipeline is a MagicMock test-double; _global_embedder set is on the mock, not the real subject</t>
        </is>
      </c>
    </row>
    <row r="1066">
      <c r="A1066" t="inlineStr">
        <is>
          <t>archon-search</t>
        </is>
      </c>
      <c r="B1066" t="inlineStr">
        <is>
          <t>/Users/manczg/Documents/development/archon-search/tests/test_sync.py</t>
        </is>
      </c>
      <c r="C1066" t="inlineStr">
        <is>
          <t>tests-05</t>
        </is>
      </c>
      <c r="D1066" t="n">
        <v>5731</v>
      </c>
      <c r="E1066" t="inlineStr">
        <is>
          <t>TP</t>
        </is>
      </c>
      <c r="F1066" t="inlineStr">
        <is>
          <t>direct call to syncer._ingest_collection private method</t>
        </is>
      </c>
    </row>
    <row r="1067">
      <c r="A1067" t="inlineStr">
        <is>
          <t>archon-search</t>
        </is>
      </c>
      <c r="B1067" t="inlineStr">
        <is>
          <t>/Users/manczg/Documents/development/archon-search/tests/test_sync.py</t>
        </is>
      </c>
      <c r="C1067" t="inlineStr">
        <is>
          <t>tests-06</t>
        </is>
      </c>
      <c r="D1067" t="n">
        <v>3509</v>
      </c>
      <c r="E1067" t="inlineStr">
        <is>
          <t>FP</t>
        </is>
      </c>
      <c r="F1067" t="inlineStr">
        <is>
          <t>self._real is a one-off local FakePath helper's field inside a single test, not a shared test-class fixture field</t>
        </is>
      </c>
    </row>
    <row r="1068">
      <c r="A1068" t="inlineStr">
        <is>
          <t>archon-search</t>
        </is>
      </c>
      <c r="B1068" t="inlineStr">
        <is>
          <t>/Users/manczg/Documents/development/archon-search/tests/test_sync.py</t>
        </is>
      </c>
      <c r="C1068" t="inlineStr">
        <is>
          <t>tests-09</t>
        </is>
      </c>
      <c r="D1068" t="n">
        <v>1021</v>
      </c>
      <c r="E1068" t="inlineStr">
        <is>
          <t>TP</t>
        </is>
      </c>
      <c r="F1068" t="inlineStr">
        <is>
          <t>test body contains zero assert statements, only a bare call under a patched context</t>
        </is>
      </c>
    </row>
    <row r="1069">
      <c r="A1069" t="inlineStr">
        <is>
          <t>archon-search</t>
        </is>
      </c>
      <c r="B1069" t="inlineStr">
        <is>
          <t>/Users/manczg/Documents/development/archon-search/tests/test_sync.py</t>
        </is>
      </c>
      <c r="C1069" t="inlineStr">
        <is>
          <t>tests-09</t>
        </is>
      </c>
      <c r="D1069" t="n">
        <v>1045</v>
      </c>
      <c r="E1069" t="inlineStr">
        <is>
          <t>TP</t>
        </is>
      </c>
      <c r="F1069" t="inlineStr">
        <is>
          <t>test body contains zero assert statements, only a bare call</t>
        </is>
      </c>
    </row>
    <row r="1070">
      <c r="A1070" t="inlineStr">
        <is>
          <t>archon-search</t>
        </is>
      </c>
      <c r="B1070" t="inlineStr">
        <is>
          <t>/Users/manczg/Documents/development/archon-search/tests/test_sync.py</t>
        </is>
      </c>
      <c r="C1070" t="inlineStr">
        <is>
          <t>tests-09</t>
        </is>
      </c>
      <c r="D1070" t="n">
        <v>1052</v>
      </c>
      <c r="E1070" t="inlineStr">
        <is>
          <t>TP</t>
        </is>
      </c>
      <c r="F1070" t="inlineStr">
        <is>
          <t>test body contains zero assert statements, only a bare call under a patched context</t>
        </is>
      </c>
    </row>
    <row r="1071">
      <c r="A1071" t="inlineStr">
        <is>
          <t>moonset</t>
        </is>
      </c>
      <c r="B1071" t="inlineStr">
        <is>
          <t>/Users/manczg/Documents/development/moonset/moonset-app/MoonsetApp/Presentation/ViewModels/SleepTimerViewModel.swift</t>
        </is>
      </c>
      <c r="C1071" t="inlineStr">
        <is>
          <t>arch-05</t>
        </is>
      </c>
      <c r="D1071" t="n">
        <v>447</v>
      </c>
      <c r="E1071" t="inlineStr">
        <is>
          <t>TP</t>
        </is>
      </c>
      <c r="F1071" t="inlineStr">
        <is>
          <t>assigns error.localizedDescription to error-named state property, leaking Foundation error text</t>
        </is>
      </c>
    </row>
    <row r="1072">
      <c r="A1072" t="inlineStr">
        <is>
          <t>moonset</t>
        </is>
      </c>
      <c r="B1072" t="inlineStr">
        <is>
          <t>/Users/manczg/Documents/development/moonset/moonset-app/MoonsetApp/Presentation/ViewModels/SleepTimerViewModel.swift</t>
        </is>
      </c>
      <c r="C1072" t="inlineStr">
        <is>
          <t>arch-05</t>
        </is>
      </c>
      <c r="D1072" t="n">
        <v>490</v>
      </c>
      <c r="E1072" t="inlineStr">
        <is>
          <t>TP</t>
        </is>
      </c>
      <c r="F1072" t="inlineStr">
        <is>
          <t>same leak pattern in pauseTimer catch</t>
        </is>
      </c>
    </row>
    <row r="1073">
      <c r="A1073" t="inlineStr">
        <is>
          <t>moonset</t>
        </is>
      </c>
      <c r="B1073" t="inlineStr">
        <is>
          <t>/Users/manczg/Documents/development/moonset/moonset-app/MoonsetApp/Presentation/ViewModels/SleepTimerViewModel.swift</t>
        </is>
      </c>
      <c r="C1073" t="inlineStr">
        <is>
          <t>arch-05</t>
        </is>
      </c>
      <c r="D1073" t="n">
        <v>543</v>
      </c>
      <c r="E1073" t="inlineStr">
        <is>
          <t>TP</t>
        </is>
      </c>
      <c r="F1073" t="inlineStr">
        <is>
          <t>same leak pattern in resumeTimer catch</t>
        </is>
      </c>
    </row>
    <row r="1074">
      <c r="A1074" t="inlineStr">
        <is>
          <t>moonset</t>
        </is>
      </c>
      <c r="B1074" t="inlineStr">
        <is>
          <t>/Users/manczg/Documents/development/moonset/moonset-app/MoonsetApp/Presentation/ViewModels/SleepTimerViewModel.swift</t>
        </is>
      </c>
      <c r="C1074" t="inlineStr">
        <is>
          <t>arch-05</t>
        </is>
      </c>
      <c r="D1074" t="n">
        <v>918</v>
      </c>
      <c r="E1074" t="inlineStr">
        <is>
          <t>TP</t>
        </is>
      </c>
      <c r="F1074" t="inlineStr">
        <is>
          <t>same leak pattern in confirmPicker catch</t>
        </is>
      </c>
    </row>
    <row r="1075">
      <c r="A1075" t="inlineStr">
        <is>
          <t>moonset</t>
        </is>
      </c>
      <c r="B1075" t="inlineStr">
        <is>
          <t>/Users/manczg/Documents/development/moonset/moonset-app/MoonsetApp/Presentation/ViewModels/SleepTimerViewModel.swift</t>
        </is>
      </c>
      <c r="C1075" t="inlineStr">
        <is>
          <t>safety-03</t>
        </is>
      </c>
      <c r="D1075" t="n">
        <v>354</v>
      </c>
      <c r="E1075" t="inlineStr">
        <is>
          <t>TP</t>
        </is>
      </c>
      <c r="F1075" t="inlineStr">
        <is>
          <t>Task body has no catch and is not assigned to a variable, error via try? is dropped</t>
        </is>
      </c>
    </row>
    <row r="1076">
      <c r="A1076" t="inlineStr">
        <is>
          <t>moonset</t>
        </is>
      </c>
      <c r="B1076" t="inlineStr">
        <is>
          <t>/Users/manczg/Documents/development/moonset/moonset-app/MoonsetApp/Presentation/ViewModels/SleepTimerViewModel.swift</t>
        </is>
      </c>
      <c r="C1076" t="inlineStr">
        <is>
          <t>safety-03</t>
        </is>
      </c>
      <c r="D1076" t="n">
        <v>671</v>
      </c>
      <c r="E1076" t="inlineStr">
        <is>
          <t>TP</t>
        </is>
      </c>
      <c r="F1076" t="inlineStr">
        <is>
          <t>same fire-and-forget Task pattern in saveSoundPreference</t>
        </is>
      </c>
    </row>
    <row r="1077">
      <c r="A1077" t="inlineStr">
        <is>
          <t>moonset</t>
        </is>
      </c>
      <c r="B1077" t="inlineStr">
        <is>
          <t>/Users/manczg/Documents/development/moonset/moonset-app/MoonsetApp/Presentation/ViewModels/SleepTimerViewModel.swift</t>
        </is>
      </c>
      <c r="C1077" t="inlineStr">
        <is>
          <t>smells-01</t>
        </is>
      </c>
      <c r="D1077" t="n">
        <v>1</v>
      </c>
      <c r="E1077" t="inlineStr">
        <is>
          <t>TP</t>
        </is>
      </c>
      <c r="F1077" t="inlineStr">
        <is>
          <t>file is 1003 lines, exceeds 1000-line threshold</t>
        </is>
      </c>
    </row>
    <row r="1078">
      <c r="A1078" t="inlineStr">
        <is>
          <t>moonset</t>
        </is>
      </c>
      <c r="B1078" t="inlineStr">
        <is>
          <t>/Users/manczg/Documents/development/moonset/moonset-app/MoonsetApp/Presentation/ViewModels/SleepTimerViewModel.swift</t>
        </is>
      </c>
      <c r="C1078" t="inlineStr">
        <is>
          <t>smells-02</t>
        </is>
      </c>
      <c r="D1078" t="n">
        <v>212</v>
      </c>
      <c r="E1078" t="inlineStr">
        <is>
          <t>TP</t>
        </is>
      </c>
      <c r="F1078" t="inlineStr">
        <is>
          <t>init has 7 parameters, exceeds limit of 3</t>
        </is>
      </c>
    </row>
    <row r="1079">
      <c r="A1079" t="inlineStr">
        <is>
          <t>moonset</t>
        </is>
      </c>
      <c r="B1079" t="inlineStr">
        <is>
          <t>/Users/manczg/Documents/development/moonset/moonset-app/MoonsetApp/Presentation/ViewModels/SleepTimerViewModel.swift</t>
        </is>
      </c>
      <c r="C1079" t="inlineStr">
        <is>
          <t>smells-08</t>
        </is>
      </c>
      <c r="D1079" t="n">
        <v>189</v>
      </c>
      <c r="E1079" t="inlineStr">
        <is>
          <t>FP</t>
        </is>
      </c>
      <c r="F1079" t="inlineStr">
        <is>
          <t>idiomatic guard-return nil from computed property representing legitimate absence, not error hiding</t>
        </is>
      </c>
    </row>
    <row r="1080">
      <c r="A1080" t="inlineStr">
        <is>
          <t>moonset</t>
        </is>
      </c>
      <c r="B1080" t="inlineStr">
        <is>
          <t>/Users/manczg/Documents/development/moonset/moonset-app/MoonsetApp/Presentation/ViewModels/SleepTimerViewModel.swift</t>
        </is>
      </c>
      <c r="C1080" t="inlineStr">
        <is>
          <t>smells-08</t>
        </is>
      </c>
      <c r="D1080" t="n">
        <v>217</v>
      </c>
      <c r="E1080" t="inlineStr">
        <is>
          <t>FP</t>
        </is>
      </c>
      <c r="F1080" t="inlineStr">
        <is>
          <t>documented Optional DI parameter with nil default, check's own remedy shape</t>
        </is>
      </c>
    </row>
    <row r="1081">
      <c r="A1081" t="inlineStr">
        <is>
          <t>moonset</t>
        </is>
      </c>
      <c r="B1081" t="inlineStr">
        <is>
          <t>/Users/manczg/Documents/development/moonset/moonset-app/MoonsetApp/Presentation/ViewModels/SleepTimerViewModel.swift</t>
        </is>
      </c>
      <c r="C1081" t="inlineStr">
        <is>
          <t>smells-08</t>
        </is>
      </c>
      <c r="D1081" t="n">
        <v>218</v>
      </c>
      <c r="E1081" t="inlineStr">
        <is>
          <t>FP</t>
        </is>
      </c>
      <c r="F1081" t="inlineStr">
        <is>
          <t>documented Optional DI parameter with nil default</t>
        </is>
      </c>
    </row>
    <row r="1082">
      <c r="A1082" t="inlineStr">
        <is>
          <t>moonset</t>
        </is>
      </c>
      <c r="B1082" t="inlineStr">
        <is>
          <t>/Users/manczg/Documents/development/moonset/moonset-app/MoonsetApp/Presentation/ViewModels/SleepTimerViewModel.swift</t>
        </is>
      </c>
      <c r="C1082" t="inlineStr">
        <is>
          <t>smells-08</t>
        </is>
      </c>
      <c r="D1082" t="n">
        <v>219</v>
      </c>
      <c r="E1082" t="inlineStr">
        <is>
          <t>FP</t>
        </is>
      </c>
      <c r="F1082" t="inlineStr">
        <is>
          <t>documented Optional DI parameter with nil default</t>
        </is>
      </c>
    </row>
    <row r="1083">
      <c r="A1083" t="inlineStr">
        <is>
          <t>moonset</t>
        </is>
      </c>
      <c r="B1083" t="inlineStr">
        <is>
          <t>/Users/manczg/Documents/development/moonset/moonset-app/MoonsetApp/Presentation/ViewModels/SleepTimerViewModel.swift</t>
        </is>
      </c>
      <c r="C1083" t="inlineStr">
        <is>
          <t>smells-12</t>
        </is>
      </c>
      <c r="D1083" t="n">
        <v>295</v>
      </c>
      <c r="E1083" t="inlineStr">
        <is>
          <t>TP</t>
        </is>
      </c>
      <c r="F1083" t="inlineStr">
        <is>
          <t>catch body only prints and continues, no rethrow</t>
        </is>
      </c>
    </row>
    <row r="1084">
      <c r="A1084" t="inlineStr">
        <is>
          <t>moonset</t>
        </is>
      </c>
      <c r="B1084" t="inlineStr">
        <is>
          <t>/Users/manczg/Documents/development/moonset/moonset-app/MoonsetApp/Presentation/ViewModels/SleepTimerViewModel.swift</t>
        </is>
      </c>
      <c r="C1084" t="inlineStr">
        <is>
          <t>smells-12</t>
        </is>
      </c>
      <c r="D1084" t="n">
        <v>339</v>
      </c>
      <c r="E1084" t="inlineStr">
        <is>
          <t>TP</t>
        </is>
      </c>
      <c r="F1084" t="inlineStr">
        <is>
          <t>discarded try? on audioService.play, not the Task.sleep exception</t>
        </is>
      </c>
    </row>
    <row r="1085">
      <c r="A1085" t="inlineStr">
        <is>
          <t>moonset</t>
        </is>
      </c>
      <c r="B1085" t="inlineStr">
        <is>
          <t>/Users/manczg/Documents/development/moonset/moonset-app/MoonsetApp/Presentation/ViewModels/SleepTimerViewModel.swift</t>
        </is>
      </c>
      <c r="C1085" t="inlineStr">
        <is>
          <t>smells-12</t>
        </is>
      </c>
      <c r="D1085" t="n">
        <v>380</v>
      </c>
      <c r="E1085" t="inlineStr">
        <is>
          <t>TP</t>
        </is>
      </c>
      <c r="F1085" t="inlineStr">
        <is>
          <t>discarded try? on audioService.play with no logging</t>
        </is>
      </c>
    </row>
    <row r="1086">
      <c r="A1086" t="inlineStr">
        <is>
          <t>moonset</t>
        </is>
      </c>
      <c r="B1086" t="inlineStr">
        <is>
          <t>/Users/manczg/Documents/development/moonset/moonset-app/MoonsetApp/Presentation/ViewModels/SleepTimerViewModel.swift</t>
        </is>
      </c>
      <c r="C1086" t="inlineStr">
        <is>
          <t>smells-12</t>
        </is>
      </c>
      <c r="D1086" t="n">
        <v>399</v>
      </c>
      <c r="E1086" t="inlineStr">
        <is>
          <t>TP</t>
        </is>
      </c>
      <c r="F1086" t="inlineStr">
        <is>
          <t>discarded try? on audioService.play with no logging</t>
        </is>
      </c>
    </row>
    <row r="1087">
      <c r="A1087" t="inlineStr">
        <is>
          <t>moonset</t>
        </is>
      </c>
      <c r="B1087" t="inlineStr">
        <is>
          <t>/Users/manczg/Documents/development/moonset/moonset-app/MoonsetApp/Presentation/ViewModels/SleepTimerViewModel.swift</t>
        </is>
      </c>
      <c r="C1087" t="inlineStr">
        <is>
          <t>smells-12</t>
        </is>
      </c>
      <c r="D1087" t="n">
        <v>441</v>
      </c>
      <c r="E1087" t="inlineStr">
        <is>
          <t>TP</t>
        </is>
      </c>
      <c r="F1087" t="inlineStr">
        <is>
          <t>discarded try? on audioService.play with no logging</t>
        </is>
      </c>
    </row>
    <row r="1088">
      <c r="A1088" t="inlineStr">
        <is>
          <t>moonset</t>
        </is>
      </c>
      <c r="B1088" t="inlineStr">
        <is>
          <t>/Users/manczg/Documents/development/moonset/moonset-app/MoonsetApp/Presentation/ViewModels/SleepTimerViewModel.swift</t>
        </is>
      </c>
      <c r="C1088" t="inlineStr">
        <is>
          <t>smells-12</t>
        </is>
      </c>
      <c r="D1088" t="n">
        <v>526</v>
      </c>
      <c r="E1088" t="inlineStr">
        <is>
          <t>TP</t>
        </is>
      </c>
      <c r="F1088" t="inlineStr">
        <is>
          <t>discarded try? on audioService.play with no logging</t>
        </is>
      </c>
    </row>
    <row r="1089">
      <c r="A1089" t="inlineStr">
        <is>
          <t>moonset</t>
        </is>
      </c>
      <c r="B1089" t="inlineStr">
        <is>
          <t>/Users/manczg/Documents/development/moonset/moonset-app/MoonsetApp/Presentation/ViewModels/SleepTimerViewModel.swift</t>
        </is>
      </c>
      <c r="C1089" t="inlineStr">
        <is>
          <t>smells-12</t>
        </is>
      </c>
      <c r="D1089" t="n">
        <v>590</v>
      </c>
      <c r="E1089" t="inlineStr">
        <is>
          <t>TP</t>
        </is>
      </c>
      <c r="F1089" t="inlineStr">
        <is>
          <t>discarded try? on audioService.play with no logging</t>
        </is>
      </c>
    </row>
    <row r="1090">
      <c r="A1090" t="inlineStr">
        <is>
          <t>moonset</t>
        </is>
      </c>
      <c r="B1090" t="inlineStr">
        <is>
          <t>/Users/manczg/Documents/development/moonset/moonset-app/MoonsetApp/Presentation/ViewModels/SleepTimerViewModel.swift</t>
        </is>
      </c>
      <c r="C1090" t="inlineStr">
        <is>
          <t>smells-12</t>
        </is>
      </c>
      <c r="D1090" t="n">
        <v>597</v>
      </c>
      <c r="E1090" t="inlineStr">
        <is>
          <t>TP</t>
        </is>
      </c>
      <c r="F1090" t="inlineStr">
        <is>
          <t>catch body only prints and continues, no rethrow</t>
        </is>
      </c>
    </row>
    <row r="1091">
      <c r="A1091" t="inlineStr">
        <is>
          <t>moonset</t>
        </is>
      </c>
      <c r="B1091" t="inlineStr">
        <is>
          <t>/Users/manczg/Documents/development/moonset/moonset-app/MoonsetApp/Presentation/ViewModels/SleepTimerViewModel.swift</t>
        </is>
      </c>
      <c r="C1091" t="inlineStr">
        <is>
          <t>smells-12</t>
        </is>
      </c>
      <c r="D1091" t="n">
        <v>629</v>
      </c>
      <c r="E1091" t="inlineStr">
        <is>
          <t>TP</t>
        </is>
      </c>
      <c r="F1091" t="inlineStr">
        <is>
          <t>catch body only prints and continues, no rethrow</t>
        </is>
      </c>
    </row>
    <row r="1092">
      <c r="A1092" t="inlineStr">
        <is>
          <t>moonset</t>
        </is>
      </c>
      <c r="B1092" t="inlineStr">
        <is>
          <t>/Users/manczg/Documents/development/moonset/moonset-app/MoonsetApp/Presentation/ViewModels/SleepTimerViewModel.swift</t>
        </is>
      </c>
      <c r="C1092" t="inlineStr">
        <is>
          <t>smells-12</t>
        </is>
      </c>
      <c r="D1092" t="n">
        <v>672</v>
      </c>
      <c r="E1092" t="inlineStr">
        <is>
          <t>TP</t>
        </is>
      </c>
      <c r="F1092" t="inlineStr">
        <is>
          <t>discarded try? on savePreference with no logging</t>
        </is>
      </c>
    </row>
    <row r="1093">
      <c r="A1093" t="inlineStr">
        <is>
          <t>moonset</t>
        </is>
      </c>
      <c r="B1093" t="inlineStr">
        <is>
          <t>/Users/manczg/Documents/development/moonset/moonset-app/MoonsetApp/Presentation/ViewModels/SleepTimerViewModel.swift</t>
        </is>
      </c>
      <c r="C1093" t="inlineStr">
        <is>
          <t>smells-12</t>
        </is>
      </c>
      <c r="D1093" t="n">
        <v>776</v>
      </c>
      <c r="E1093" t="inlineStr">
        <is>
          <t>TP</t>
        </is>
      </c>
      <c r="F1093" t="inlineStr">
        <is>
          <t>catch body only prints and continues, no rethrow</t>
        </is>
      </c>
    </row>
    <row r="1094">
      <c r="A1094" t="inlineStr">
        <is>
          <t>moonset</t>
        </is>
      </c>
      <c r="B1094" t="inlineStr">
        <is>
          <t>/Users/manczg/Documents/development/moonset/moonset-app/MoonsetApp/Presentation/ViewModels/SleepTimerViewModel.swift</t>
        </is>
      </c>
      <c r="C1094" t="inlineStr">
        <is>
          <t>solid-06</t>
        </is>
      </c>
      <c r="D1094" t="n">
        <v>102</v>
      </c>
      <c r="E1094" t="inlineStr">
        <is>
          <t>TP</t>
        </is>
      </c>
      <c r="F1094" t="inlineStr">
        <is>
          <t>public mutable Published, view only reads it, should be private(set)</t>
        </is>
      </c>
    </row>
    <row r="1095">
      <c r="A1095" t="inlineStr">
        <is>
          <t>moonset</t>
        </is>
      </c>
      <c r="B1095" t="inlineStr">
        <is>
          <t>/Users/manczg/Documents/development/moonset/moonset-app/MoonsetApp/Presentation/ViewModels/SleepTimerViewModel.swift</t>
        </is>
      </c>
      <c r="C1095" t="inlineStr">
        <is>
          <t>solid-06</t>
        </is>
      </c>
      <c r="D1095" t="n">
        <v>105</v>
      </c>
      <c r="E1095" t="inlineStr">
        <is>
          <t>TP</t>
        </is>
      </c>
      <c r="F1095" t="inlineStr">
        <is>
          <t>View binds directly with $viewModel.pickerHours and writes back</t>
        </is>
      </c>
    </row>
    <row r="1096">
      <c r="A1096" t="inlineStr">
        <is>
          <t>moonset</t>
        </is>
      </c>
      <c r="B1096" t="inlineStr">
        <is>
          <t>/Users/manczg/Documents/development/moonset/moonset-app/MoonsetApp/Presentation/ViewModels/SleepTimerViewModel.swift</t>
        </is>
      </c>
      <c r="C1096" t="inlineStr">
        <is>
          <t>solid-06</t>
        </is>
      </c>
      <c r="D1096" t="n">
        <v>108</v>
      </c>
      <c r="E1096" t="inlineStr">
        <is>
          <t>TP</t>
        </is>
      </c>
      <c r="F1096" t="inlineStr">
        <is>
          <t>View binds directly with $viewModel.pickerMinutes and writes back</t>
        </is>
      </c>
    </row>
    <row r="1097">
      <c r="A1097" t="inlineStr">
        <is>
          <t>moonset</t>
        </is>
      </c>
      <c r="B1097" t="inlineStr">
        <is>
          <t>/Users/manczg/Documents/development/moonset/moonset-app/MoonsetApp/Presentation/ViewModels/SleepTimerViewModel.swift</t>
        </is>
      </c>
      <c r="C1097" t="inlineStr">
        <is>
          <t>solid-06</t>
        </is>
      </c>
      <c r="D1097" t="n">
        <v>114</v>
      </c>
      <c r="E1097" t="inlineStr">
        <is>
          <t>TP</t>
        </is>
      </c>
      <c r="F1097" t="inlineStr">
        <is>
          <t>View only reads selectedTrackIndices as initial value, should be private(set)</t>
        </is>
      </c>
    </row>
    <row r="1098">
      <c r="A1098" t="inlineStr">
        <is>
          <t>moonset</t>
        </is>
      </c>
      <c r="B1098" t="inlineStr">
        <is>
          <t>/Users/manczg/Documents/development/moonset/moonset-app/MoonsetApp/Presentation/ViewModels/SleepTimerViewModel.swift</t>
        </is>
      </c>
      <c r="C1098" t="inlineStr">
        <is>
          <t>solid-06</t>
        </is>
      </c>
      <c r="D1098" t="n">
        <v>121</v>
      </c>
      <c r="E1098" t="inlineStr">
        <is>
          <t>TP</t>
        </is>
      </c>
      <c r="F1098" t="inlineStr">
        <is>
          <t>View only reads selectedMusicIndex as initial value, should be private(set)</t>
        </is>
      </c>
    </row>
    <row r="1099">
      <c r="A1099" t="inlineStr">
        <is>
          <t>moonset</t>
        </is>
      </c>
      <c r="B1099" t="inlineStr">
        <is>
          <t>/Users/manczg/Documents/development/moonset/moonset-app/MoonsetApp/Presentation/ViewModels/SleepTimerViewModel.swift</t>
        </is>
      </c>
      <c r="C1099" t="inlineStr">
        <is>
          <t>solid-06</t>
        </is>
      </c>
      <c r="D1099" t="n">
        <v>126</v>
      </c>
      <c r="E1099" t="inlineStr">
        <is>
          <t>TP</t>
        </is>
      </c>
      <c r="F1099" t="inlineStr">
        <is>
          <t>View only reads isAudioSetupPresented, should be private(set)</t>
        </is>
      </c>
    </row>
    <row r="1100">
      <c r="A1100" t="inlineStr">
        <is>
          <t>moonset</t>
        </is>
      </c>
      <c r="B1100" t="inlineStr">
        <is>
          <t>/Users/manczg/Documents/development/moonset/moonset-app/MoonsetApp/Presentation/ViewModels/SleepTimerViewModel.swift</t>
        </is>
      </c>
      <c r="C1100" t="inlineStr">
        <is>
          <t>solid-08</t>
        </is>
      </c>
      <c r="D1100" t="n">
        <v>181</v>
      </c>
      <c r="E1100" t="inlineStr">
        <is>
          <t>FP</t>
        </is>
      </c>
      <c r="F1100" t="inlineStr">
        <is>
          <t>computed property (getter), not a single-assignment variable</t>
        </is>
      </c>
    </row>
    <row r="1101">
      <c r="A1101" t="inlineStr">
        <is>
          <t>moonset</t>
        </is>
      </c>
      <c r="B1101" t="inlineStr">
        <is>
          <t>/Users/manczg/Documents/development/moonset/moonset-app/MoonsetApp/Presentation/Views/SleepTimerView.swift</t>
        </is>
      </c>
      <c r="C1101" t="inlineStr">
        <is>
          <t>clarity-17</t>
        </is>
      </c>
      <c r="D1101" t="n">
        <v>147</v>
      </c>
      <c r="E1101" t="inlineStr">
        <is>
          <t>TP</t>
        </is>
      </c>
      <c r="F1101" t="inlineStr">
        <is>
          <t>body spans roughly 188 lines, exceeds 150-line threshold</t>
        </is>
      </c>
    </row>
    <row r="1102">
      <c r="A1102" t="inlineStr">
        <is>
          <t>moonset</t>
        </is>
      </c>
      <c r="B1102" t="inlineStr">
        <is>
          <t>/Users/manczg/Documents/development/moonset/moonset-app/MoonsetApp/Presentation/Views/SleepTimerView.swift</t>
        </is>
      </c>
      <c r="C1102" t="inlineStr">
        <is>
          <t>safety-11</t>
        </is>
      </c>
      <c r="D1102" t="n">
        <v>253</v>
      </c>
      <c r="E1102" t="inlineStr">
        <is>
          <t>FP</t>
        </is>
      </c>
      <c r="F1102" t="inlineStr">
        <is>
          <t>decorative star-field rotation timing, purely cosmetic animation, injecting a clock buys nothing</t>
        </is>
      </c>
    </row>
    <row r="1103">
      <c r="A1103" t="inlineStr">
        <is>
          <t>moonset</t>
        </is>
      </c>
      <c r="B1103" t="inlineStr">
        <is>
          <t>/Users/manczg/Documents/development/moonset/moonset-app/MoonsetApp/Presentation/Views/SleepTimerView.swift</t>
        </is>
      </c>
      <c r="C1103" t="inlineStr">
        <is>
          <t>safety-11</t>
        </is>
      </c>
      <c r="D1103" t="n">
        <v>257</v>
      </c>
      <c r="E1103" t="inlineStr">
        <is>
          <t>FP</t>
        </is>
      </c>
      <c r="F1103" t="inlineStr">
        <is>
          <t>same decorative rotation animation timing, not a business decision or observable record</t>
        </is>
      </c>
    </row>
    <row r="1104">
      <c r="A1104" t="inlineStr">
        <is>
          <t>moonset</t>
        </is>
      </c>
      <c r="B1104" t="inlineStr">
        <is>
          <t>/Users/manczg/Documents/development/moonset/moonset-app/MoonsetApp/Presentation/Views/SleepTimerView.swift</t>
        </is>
      </c>
      <c r="C1104" t="inlineStr">
        <is>
          <t>solid-15</t>
        </is>
      </c>
      <c r="D1104" t="n">
        <v>346</v>
      </c>
      <c r="E1104" t="inlineStr">
        <is>
          <t>TP</t>
        </is>
      </c>
      <c r="F1104" t="inlineStr">
        <is>
          <t>switch on timerState dispatches distinct start/pause/resume/restart behavior per case</t>
        </is>
      </c>
    </row>
    <row r="1105">
      <c r="A1105" t="inlineStr">
        <is>
          <t>moonset</t>
        </is>
      </c>
      <c r="B1105" t="inlineStr">
        <is>
          <t>/Users/manczg/Documents/development/moonset/moonset-app/MoonsetApp/Presentation/Views/Components/ControlButtonsView.swift</t>
        </is>
      </c>
      <c r="C1105" t="inlineStr">
        <is>
          <t>solid-10</t>
        </is>
      </c>
      <c r="D1105" t="n">
        <v>85</v>
      </c>
      <c r="E1105" t="inlineStr">
        <is>
          <t>FP</t>
        </is>
      </c>
      <c r="F1105" t="inlineStr">
        <is>
          <t>presentation-layer View struct property init, not domain/application service method body</t>
        </is>
      </c>
    </row>
    <row r="1106">
      <c r="A1106" t="inlineStr">
        <is>
          <t>moonset</t>
        </is>
      </c>
      <c r="B1106" t="inlineStr">
        <is>
          <t>/Users/manczg/Documents/development/moonset/moonset-app/MoonsetApp/Presentation/Views/Components/ControlButtonsView.swift</t>
        </is>
      </c>
      <c r="C1106" t="inlineStr">
        <is>
          <t>solid-10</t>
        </is>
      </c>
      <c r="D1106" t="n">
        <v>86</v>
      </c>
      <c r="E1106" t="inlineStr">
        <is>
          <t>FP</t>
        </is>
      </c>
      <c r="F1106" t="inlineStr">
        <is>
          <t>presentation-layer View struct property init, not domain/application service method body</t>
        </is>
      </c>
    </row>
    <row r="1107">
      <c r="A1107" t="inlineStr">
        <is>
          <t>moonset</t>
        </is>
      </c>
      <c r="B1107" t="inlineStr">
        <is>
          <t>/Users/manczg/Documents/development/moonset/moonset-app/MoonsetApp/Presentation/Views/Components/ControlButtonsView.swift</t>
        </is>
      </c>
      <c r="C1107" t="inlineStr">
        <is>
          <t>tests-01</t>
        </is>
      </c>
      <c r="D1107" t="n">
        <v>44</v>
      </c>
      <c r="E1107" t="inlineStr">
        <is>
          <t>TP</t>
        </is>
      </c>
      <c r="F1107" t="inlineStr">
        <is>
          <t>no test file with stem ControlButtonsView exists (only unrelated PickerControlButtonsViewTests.swift)</t>
        </is>
      </c>
    </row>
    <row r="1108">
      <c r="A1108" t="inlineStr">
        <is>
          <t>moonset</t>
        </is>
      </c>
      <c r="B1108" t="inlineStr">
        <is>
          <t>/Users/manczg/Documents/development/moonset/moonset-app/MoonsetApp/Infrastructure/Audio/AVFoundationAudioService.swift</t>
        </is>
      </c>
      <c r="C1108" t="inlineStr">
        <is>
          <t>clarity-16</t>
        </is>
      </c>
      <c r="D1108" t="n">
        <v>62</v>
      </c>
      <c r="E1108" t="inlineStr">
        <is>
          <t>TP</t>
        </is>
      </c>
      <c r="F1108" t="inlineStr">
        <is>
          <t>play(tracks:) has 12 branch lines, exceeds 10-branch threshold</t>
        </is>
      </c>
    </row>
    <row r="1109">
      <c r="A1109" t="inlineStr">
        <is>
          <t>moonset</t>
        </is>
      </c>
      <c r="B1109" t="inlineStr">
        <is>
          <t>/Users/manczg/Documents/development/moonset/moonset-app/MoonsetApp/Infrastructure/Audio/AVFoundationAudioService.swift</t>
        </is>
      </c>
      <c r="C1109" t="inlineStr">
        <is>
          <t>safety-05</t>
        </is>
      </c>
      <c r="D1109" t="n">
        <v>249</v>
      </c>
      <c r="E1109" t="inlineStr">
        <is>
          <t>FP</t>
        </is>
      </c>
      <c r="F1109" t="inlineStr">
        <is>
          <t>conditional check on local interruption-options bitmask value, not a check-then-act race on shared state</t>
        </is>
      </c>
    </row>
    <row r="1110">
      <c r="A1110" t="inlineStr">
        <is>
          <t>moonset</t>
        </is>
      </c>
      <c r="B1110" t="inlineStr">
        <is>
          <t>/Users/manczg/Documents/development/moonset/moonset-app/MoonsetApp/Infrastructure/Audio/AVFoundationAudioService.swift</t>
        </is>
      </c>
      <c r="C1110" t="inlineStr">
        <is>
          <t>smells-03</t>
        </is>
      </c>
      <c r="D1110" t="n">
        <v>172</v>
      </c>
      <c r="E1110" t="inlineStr">
        <is>
          <t>FP</t>
        </is>
      </c>
      <c r="F1110" t="inlineStr">
        <is>
          <t>overridden AVAudioPlayerDelegate protocol method, signature is fixed</t>
        </is>
      </c>
    </row>
    <row r="1111">
      <c r="A1111" t="inlineStr">
        <is>
          <t>moonset</t>
        </is>
      </c>
      <c r="B1111" t="inlineStr">
        <is>
          <t>/Users/manczg/Documents/development/moonset/moonset-app/MoonsetApp/Infrastructure/Audio/AVFoundationAudioService.swift</t>
        </is>
      </c>
      <c r="C1111" t="inlineStr">
        <is>
          <t>smells-12</t>
        </is>
      </c>
      <c r="D1111" t="n">
        <v>150</v>
      </c>
      <c r="E1111" t="inlineStr">
        <is>
          <t>TP</t>
        </is>
      </c>
      <c r="F1111" t="inlineStr">
        <is>
          <t>discarded try? on session deactivation with no logging or rethrow</t>
        </is>
      </c>
    </row>
    <row r="1112">
      <c r="A1112" t="inlineStr">
        <is>
          <t>moonset</t>
        </is>
      </c>
      <c r="B1112" t="inlineStr">
        <is>
          <t>/Users/manczg/Documents/development/moonset/moonset-app/MoonsetApp/Infrastructure/Audio/AVFoundationAudioService.swift</t>
        </is>
      </c>
      <c r="C1112" t="inlineStr">
        <is>
          <t>solid-07</t>
        </is>
      </c>
      <c r="D1112" t="n">
        <v>42</v>
      </c>
      <c r="E1112" t="inlineStr">
        <is>
          <t>FP</t>
        </is>
      </c>
      <c r="F1112" t="inlineStr">
        <is>
          <t>infrastructure pass-through of AudioTrack.id, which is itself a raw String by domain design; test hook accessor</t>
        </is>
      </c>
    </row>
    <row r="1113">
      <c r="A1113" t="inlineStr">
        <is>
          <t>moonset</t>
        </is>
      </c>
      <c r="B1113" t="inlineStr">
        <is>
          <t>/Users/manczg/Documents/development/moonset/moonset-app/MoonsetApp/Infrastructure/Audio/AVFoundationAudioService.swift</t>
        </is>
      </c>
      <c r="C1113" t="inlineStr">
        <is>
          <t>solid-07</t>
        </is>
      </c>
      <c r="D1113" t="n">
        <v>188</v>
      </c>
      <c r="E1113" t="inlineStr">
        <is>
          <t>FP</t>
        </is>
      </c>
      <c r="F1113" t="inlineStr">
        <is>
          <t>private helper propagating existing String track id used as dictionary key</t>
        </is>
      </c>
    </row>
    <row r="1114">
      <c r="A1114" t="inlineStr">
        <is>
          <t>moonset</t>
        </is>
      </c>
      <c r="B1114" t="inlineStr">
        <is>
          <t>/Users/manczg/Documents/development/moonset/moonset-app/MoonsetApp/Infrastructure/Audio/AVFoundationAudioService.swift</t>
        </is>
      </c>
      <c r="C1114" t="inlineStr">
        <is>
          <t>solid-07</t>
        </is>
      </c>
      <c r="D1114" t="n">
        <v>196</v>
      </c>
      <c r="E1114" t="inlineStr">
        <is>
          <t>FP</t>
        </is>
      </c>
      <c r="F1114" t="inlineStr">
        <is>
          <t>private helper propagating existing String track id used as dictionary key</t>
        </is>
      </c>
    </row>
    <row r="1115">
      <c r="A1115" t="inlineStr">
        <is>
          <t>moonset</t>
        </is>
      </c>
      <c r="B1115" t="inlineStr">
        <is>
          <t>/Users/manczg/Documents/development/moonset/moonset-app/MoonsetApp/Infrastructure/Audio/AVFoundationAudioService.swift</t>
        </is>
      </c>
      <c r="C1115" t="inlineStr">
        <is>
          <t>solid-07</t>
        </is>
      </c>
      <c r="D1115" t="n">
        <v>208</v>
      </c>
      <c r="E1115" t="inlineStr">
        <is>
          <t>FP</t>
        </is>
      </c>
      <c r="F1115" t="inlineStr">
        <is>
          <t>private helper propagating existing String track id used as dictionary key</t>
        </is>
      </c>
    </row>
    <row r="1116">
      <c r="A1116" t="inlineStr">
        <is>
          <t>moonset</t>
        </is>
      </c>
      <c r="B1116" t="inlineStr">
        <is>
          <t>/Users/manczg/Documents/development/moonset/moonset-app/MoonsetApp/Infrastructure/Audio/AVFoundationAudioService.swift</t>
        </is>
      </c>
      <c r="C1116" t="inlineStr">
        <is>
          <t>solid-15</t>
        </is>
      </c>
      <c r="D1116" t="n">
        <v>244</v>
      </c>
      <c r="E1116" t="inlineStr">
        <is>
          <t>FP</t>
        </is>
      </c>
      <c r="F1116" t="inlineStr">
        <is>
          <t>switch on system AVAudioSession.InterruptionType, a fixed framework enum handled in a delegate callback</t>
        </is>
      </c>
    </row>
    <row r="1117">
      <c r="A1117" t="inlineStr">
        <is>
          <t>moonset</t>
        </is>
      </c>
      <c r="B1117" t="inlineStr">
        <is>
          <t>/Users/manczg/Documents/development/moonset/moonset-app/MoonsetApp/Presentation/Views/Components/TimerDisplayView.swift</t>
        </is>
      </c>
      <c r="C1117" t="inlineStr">
        <is>
          <t>solid-08</t>
        </is>
      </c>
      <c r="D1117" t="n">
        <v>85</v>
      </c>
      <c r="E1117" t="inlineStr">
        <is>
          <t>FP</t>
        </is>
      </c>
      <c r="F1117" t="inlineStr">
        <is>
          <t>str is mutated via subscript in a loop (str[range].foregroundColor = ...), not assigned exactly once</t>
        </is>
      </c>
    </row>
    <row r="1118">
      <c r="A1118" t="inlineStr">
        <is>
          <t>moonset</t>
        </is>
      </c>
      <c r="B1118" t="inlineStr">
        <is>
          <t>/Users/manczg/Documents/development/moonset/moonset-app/MoonsetApp/Presentation/Views/Components/TimerDisplayView.swift</t>
        </is>
      </c>
      <c r="C1118" t="inlineStr">
        <is>
          <t>solid-08</t>
        </is>
      </c>
      <c r="D1118" t="n">
        <v>103</v>
      </c>
      <c r="E1118" t="inlineStr">
        <is>
          <t>FP</t>
        </is>
      </c>
      <c r="F1118" t="inlineStr">
        <is>
          <t>str is mutated via subscript in a loop, not assigned exactly once</t>
        </is>
      </c>
    </row>
    <row r="1119">
      <c r="A1119" t="inlineStr">
        <is>
          <t>moonset</t>
        </is>
      </c>
      <c r="B1119" t="inlineStr">
        <is>
          <t>/Users/manczg/Documents/development/moonset/moonset-app/MoonsetApp/Presentation/Views/Components/TimerDisplayView.swift</t>
        </is>
      </c>
      <c r="C1119" t="inlineStr">
        <is>
          <t>tests-01</t>
        </is>
      </c>
      <c r="D1119" t="n">
        <v>17</v>
      </c>
      <c r="E1119" t="inlineStr">
        <is>
          <t>TP</t>
        </is>
      </c>
      <c r="F1119" t="inlineStr">
        <is>
          <t>no test file exists for TimerDisplayView</t>
        </is>
      </c>
    </row>
    <row r="1120">
      <c r="A1120" t="inlineStr">
        <is>
          <t>moonset</t>
        </is>
      </c>
      <c r="B1120" t="inlineStr">
        <is>
          <t>/Users/manczg/Documents/development/moonset/moonset-app/MoonsetApp/Presentation/Views/Components/OverlayPanelContainer.swift</t>
        </is>
      </c>
      <c r="C1120" t="inlineStr">
        <is>
          <t>smells-02</t>
        </is>
      </c>
      <c r="D1120" t="n">
        <v>42</v>
      </c>
      <c r="E1120" t="inlineStr">
        <is>
          <t>TP</t>
        </is>
      </c>
      <c r="F1120" t="inlineStr">
        <is>
          <t>init has 4 parameters, exceeds limit of 3</t>
        </is>
      </c>
    </row>
    <row r="1121">
      <c r="A1121" t="inlineStr">
        <is>
          <t>moonset</t>
        </is>
      </c>
      <c r="B1121" t="inlineStr">
        <is>
          <t>/Users/manczg/Documents/development/moonset/moonset-app/MoonsetApp/Presentation/Views/Components/OverlayPanelContainer.swift</t>
        </is>
      </c>
      <c r="C1121" t="inlineStr">
        <is>
          <t>tests-01</t>
        </is>
      </c>
      <c r="D1121" t="n">
        <v>31</v>
      </c>
      <c r="E1121" t="inlineStr">
        <is>
          <t>TP</t>
        </is>
      </c>
      <c r="F1121" t="inlineStr">
        <is>
          <t>no test file exists for OverlayPanelContainer</t>
        </is>
      </c>
    </row>
    <row r="1122">
      <c r="A1122" t="inlineStr">
        <is>
          <t>moonset</t>
        </is>
      </c>
      <c r="B1122" t="inlineStr">
        <is>
          <t>/Users/manczg/Documents/development/moonset/moonset-app/MoonsetApp/Presentation/Views/Components/StarAnimationView.swift</t>
        </is>
      </c>
      <c r="C1122" t="inlineStr">
        <is>
          <t>safety-11</t>
        </is>
      </c>
      <c r="D1122" t="n">
        <v>55</v>
      </c>
      <c r="E1122" t="inlineStr">
        <is>
          <t>TP</t>
        </is>
      </c>
      <c r="F1122" t="inlineStr">
        <is>
          <t>Date() feeds resume/pause timestamps stored on starField, an observable behavior input</t>
        </is>
      </c>
    </row>
    <row r="1123">
      <c r="A1123" t="inlineStr">
        <is>
          <t>moonset</t>
        </is>
      </c>
      <c r="B1123" t="inlineStr">
        <is>
          <t>/Users/manczg/Documents/development/moonset/moonset-app/MoonsetApp/Presentation/Views/Components/StarAnimationView.swift</t>
        </is>
      </c>
      <c r="C1123" t="inlineStr">
        <is>
          <t>solid-06</t>
        </is>
      </c>
      <c r="D1123" t="n">
        <v>21</v>
      </c>
      <c r="E1123" t="inlineStr">
        <is>
          <t>FP</t>
        </is>
      </c>
      <c r="F1123" t="inlineStr">
        <is>
          <t>@StateObject var on a View struct (plain data holder), var required by property wrapper, comment explains internal access for @testable</t>
        </is>
      </c>
    </row>
    <row r="1124">
      <c r="A1124" t="inlineStr">
        <is>
          <t>moonset</t>
        </is>
      </c>
      <c r="B1124" t="inlineStr">
        <is>
          <t>/Users/manczg/Documents/development/moonset/moonset-app/MoonsetApp/Presentation/Views/Components/SymbolButton/SymbolButtonModifiers.swift</t>
        </is>
      </c>
      <c r="C1124" t="inlineStr">
        <is>
          <t>smells-03</t>
        </is>
      </c>
      <c r="D1124" t="n">
        <v>23</v>
      </c>
      <c r="E1124" t="inlineStr">
        <is>
          <t>FP</t>
        </is>
      </c>
      <c r="F1124" t="inlineStr">
        <is>
          <t>selected(_:Bool) is a fluent state-setter like isActive/isSelected, not a behavior-branching flag</t>
        </is>
      </c>
    </row>
    <row r="1125">
      <c r="A1125" t="inlineStr">
        <is>
          <t>moonset</t>
        </is>
      </c>
      <c r="B1125" t="inlineStr">
        <is>
          <t>/Users/manczg/Documents/development/moonset/moonset-app/MoonsetApp/Presentation/Views/Components/SymbolButton/SymbolButtonModifiers.swift</t>
        </is>
      </c>
      <c r="C1125" t="inlineStr">
        <is>
          <t>smells-03</t>
        </is>
      </c>
      <c r="D1125" t="n">
        <v>27</v>
      </c>
      <c r="E1125" t="inlineStr">
        <is>
          <t>FP</t>
        </is>
      </c>
      <c r="F1125" t="inlineStr">
        <is>
          <t>disabled(_:Bool) name matches explicitly dismissed "disabled" state parameter</t>
        </is>
      </c>
    </row>
    <row r="1126">
      <c r="A1126" t="inlineStr">
        <is>
          <t>moonset</t>
        </is>
      </c>
      <c r="B1126" t="inlineStr">
        <is>
          <t>/Users/manczg/Documents/development/moonset/moonset-app/MoonsetApp/Presentation/Views/Components/SymbolButton/SymbolButtonModifiers.swift</t>
        </is>
      </c>
      <c r="C1126" t="inlineStr">
        <is>
          <t>smells-03</t>
        </is>
      </c>
      <c r="D1126" t="n">
        <v>31</v>
      </c>
      <c r="E1126" t="inlineStr">
        <is>
          <t>FP</t>
        </is>
      </c>
      <c r="F1126" t="inlineStr">
        <is>
          <t>loading(_:Bool) name matches explicitly dismissed "isLoading" state parameter</t>
        </is>
      </c>
    </row>
    <row r="1127">
      <c r="A1127" t="inlineStr">
        <is>
          <t>moonset</t>
        </is>
      </c>
      <c r="B1127" t="inlineStr">
        <is>
          <t>/Users/manczg/Documents/development/moonset/moonset-app/MoonsetApp/Presentation/Views/Components/SymbolButton/SymbolButtonModifiers.swift</t>
        </is>
      </c>
      <c r="C1127" t="inlineStr">
        <is>
          <t>tests-01</t>
        </is>
      </c>
      <c r="D1127" t="n">
        <v>11</v>
      </c>
      <c r="E1127" t="inlineStr">
        <is>
          <t>TP</t>
        </is>
      </c>
      <c r="F1127" t="inlineStr">
        <is>
          <t>no test file exists anywhere for SymbolButtonModifiers.swift</t>
        </is>
      </c>
    </row>
    <row r="1128">
      <c r="A1128" t="inlineStr">
        <is>
          <t>moonset</t>
        </is>
      </c>
      <c r="B1128" t="inlineStr">
        <is>
          <t>/Users/manczg/Documents/development/moonset/moonset-app/MoonsetAppTests/Presentation/ViewModels/SleepTimerViewModelMusicSetupTests.swift</t>
        </is>
      </c>
      <c r="C1128" t="inlineStr">
        <is>
          <t>smells-01</t>
        </is>
      </c>
      <c r="D1128" t="n">
        <v>1</v>
      </c>
      <c r="E1128" t="inlineStr">
        <is>
          <t>TP</t>
        </is>
      </c>
      <c r="F1128" t="inlineStr">
        <is>
          <t>file is 1086 lines, exceeds 1000-line threshold</t>
        </is>
      </c>
    </row>
    <row r="1129">
      <c r="A1129" t="inlineStr">
        <is>
          <t>moonset</t>
        </is>
      </c>
      <c r="B1129" t="inlineStr">
        <is>
          <t>/Users/manczg/Documents/development/moonset/moonset-app/MoonsetAppTests/Presentation/ViewModels/SleepTimerViewModelMusicSetupTests.swift</t>
        </is>
      </c>
      <c r="C1129" t="inlineStr">
        <is>
          <t>tests-04</t>
        </is>
      </c>
      <c r="D1129" t="n">
        <v>131</v>
      </c>
      <c r="E1129" t="inlineStr">
        <is>
          <t>TP</t>
        </is>
      </c>
      <c r="F1129" t="inlineStr">
        <is>
          <t>real Task.sleep fixed-duration wait to let async state settle, flaky</t>
        </is>
      </c>
    </row>
    <row r="1130">
      <c r="A1130" t="inlineStr">
        <is>
          <t>moonset</t>
        </is>
      </c>
      <c r="B1130" t="inlineStr">
        <is>
          <t>/Users/manczg/Documents/development/moonset/moonset-app/MoonsetAppTests/Presentation/ViewModels/SleepTimerViewModelMusicSetupTests.swift</t>
        </is>
      </c>
      <c r="C1130" t="inlineStr">
        <is>
          <t>tests-04</t>
        </is>
      </c>
      <c r="D1130" t="n">
        <v>135</v>
      </c>
      <c r="E1130" t="inlineStr">
        <is>
          <t>TP</t>
        </is>
      </c>
      <c r="F1130" t="inlineStr">
        <is>
          <t>real Task.sleep fixed-duration wait to let async state settle, flaky</t>
        </is>
      </c>
    </row>
    <row r="1131">
      <c r="A1131" t="inlineStr">
        <is>
          <t>moonset</t>
        </is>
      </c>
      <c r="B1131" t="inlineStr">
        <is>
          <t>/Users/manczg/Documents/development/moonset/moonset-app/MoonsetAppTests/Presentation/ViewModels/SleepTimerViewModelMusicSetupTests.swift</t>
        </is>
      </c>
      <c r="C1131" t="inlineStr">
        <is>
          <t>tests-04</t>
        </is>
      </c>
      <c r="D1131" t="n">
        <v>146</v>
      </c>
      <c r="E1131" t="inlineStr">
        <is>
          <t>TP</t>
        </is>
      </c>
      <c r="F1131" t="inlineStr">
        <is>
          <t>real Task.sleep fixed-duration wait to let async state settle, flaky</t>
        </is>
      </c>
    </row>
    <row r="1132">
      <c r="A1132" t="inlineStr">
        <is>
          <t>moonset</t>
        </is>
      </c>
      <c r="B1132" t="inlineStr">
        <is>
          <t>/Users/manczg/Documents/development/moonset/moonset-app/MoonsetAppTests/Presentation/ViewModels/SleepTimerViewModelMusicSetupTests.swift</t>
        </is>
      </c>
      <c r="C1132" t="inlineStr">
        <is>
          <t>tests-04</t>
        </is>
      </c>
      <c r="D1132" t="n">
        <v>178</v>
      </c>
      <c r="E1132" t="inlineStr">
        <is>
          <t>TP</t>
        </is>
      </c>
      <c r="F1132" t="inlineStr">
        <is>
          <t>real Task.sleep fixed-duration wait to let async state settle, flaky</t>
        </is>
      </c>
    </row>
    <row r="1133">
      <c r="A1133" t="inlineStr">
        <is>
          <t>moonset</t>
        </is>
      </c>
      <c r="B1133" t="inlineStr">
        <is>
          <t>/Users/manczg/Documents/development/moonset/moonset-app/MoonsetAppTests/Presentation/ViewModels/SleepTimerViewModelMusicSetupTests.swift</t>
        </is>
      </c>
      <c r="C1133" t="inlineStr">
        <is>
          <t>tests-04</t>
        </is>
      </c>
      <c r="D1133" t="n">
        <v>188</v>
      </c>
      <c r="E1133" t="inlineStr">
        <is>
          <t>TP</t>
        </is>
      </c>
      <c r="F1133" t="inlineStr">
        <is>
          <t>real Task.sleep fixed-duration wait to let async state settle, flaky</t>
        </is>
      </c>
    </row>
    <row r="1134">
      <c r="A1134" t="inlineStr">
        <is>
          <t>moonset</t>
        </is>
      </c>
      <c r="B1134" t="inlineStr">
        <is>
          <t>/Users/manczg/Documents/development/moonset/moonset-app/MoonsetAppTests/Presentation/ViewModels/SleepTimerViewModelMusicSetupTests.swift</t>
        </is>
      </c>
      <c r="C1134" t="inlineStr">
        <is>
          <t>tests-04</t>
        </is>
      </c>
      <c r="D1134" t="n">
        <v>191</v>
      </c>
      <c r="E1134" t="inlineStr">
        <is>
          <t>TP</t>
        </is>
      </c>
      <c r="F1134" t="inlineStr">
        <is>
          <t>real Task.sleep fixed-duration wait to let async state settle, flaky</t>
        </is>
      </c>
    </row>
    <row r="1135">
      <c r="A1135" t="inlineStr">
        <is>
          <t>moonset</t>
        </is>
      </c>
      <c r="B1135" t="inlineStr">
        <is>
          <t>/Users/manczg/Documents/development/moonset/moonset-app/MoonsetAppTests/Presentation/ViewModels/SleepTimerViewModelMusicSetupTests.swift</t>
        </is>
      </c>
      <c r="C1135" t="inlineStr">
        <is>
          <t>tests-04</t>
        </is>
      </c>
      <c r="D1135" t="n">
        <v>195</v>
      </c>
      <c r="E1135" t="inlineStr">
        <is>
          <t>TP</t>
        </is>
      </c>
      <c r="F1135" t="inlineStr">
        <is>
          <t>real Task.sleep fixed-duration wait to let async state settle, flaky</t>
        </is>
      </c>
    </row>
    <row r="1136">
      <c r="A1136" t="inlineStr">
        <is>
          <t>moonset</t>
        </is>
      </c>
      <c r="B1136" t="inlineStr">
        <is>
          <t>/Users/manczg/Documents/development/moonset/moonset-app/MoonsetAppTests/Presentation/ViewModels/SleepTimerViewModelMusicSetupTests.swift</t>
        </is>
      </c>
      <c r="C1136" t="inlineStr">
        <is>
          <t>tests-04</t>
        </is>
      </c>
      <c r="D1136" t="n">
        <v>204</v>
      </c>
      <c r="E1136" t="inlineStr">
        <is>
          <t>TP</t>
        </is>
      </c>
      <c r="F1136" t="inlineStr">
        <is>
          <t>real Task.sleep fixed-duration wait to let async state settle, flaky</t>
        </is>
      </c>
    </row>
    <row r="1137">
      <c r="A1137" t="inlineStr">
        <is>
          <t>moonset</t>
        </is>
      </c>
      <c r="B1137" t="inlineStr">
        <is>
          <t>/Users/manczg/Documents/development/moonset/moonset-app/MoonsetAppTests/Presentation/ViewModels/SleepTimerViewModelMusicSetupTests.swift</t>
        </is>
      </c>
      <c r="C1137" t="inlineStr">
        <is>
          <t>tests-04</t>
        </is>
      </c>
      <c r="D1137" t="n">
        <v>207</v>
      </c>
      <c r="E1137" t="inlineStr">
        <is>
          <t>TP</t>
        </is>
      </c>
      <c r="F1137" t="inlineStr">
        <is>
          <t>real Task.sleep fixed-duration wait to let async state settle, flaky</t>
        </is>
      </c>
    </row>
    <row r="1138">
      <c r="A1138" t="inlineStr">
        <is>
          <t>moonset</t>
        </is>
      </c>
      <c r="B1138" t="inlineStr">
        <is>
          <t>/Users/manczg/Documents/development/moonset/moonset-app/MoonsetAppTests/Presentation/ViewModels/SleepTimerViewModelMusicSetupTests.swift</t>
        </is>
      </c>
      <c r="C1138" t="inlineStr">
        <is>
          <t>tests-04</t>
        </is>
      </c>
      <c r="D1138" t="n">
        <v>211</v>
      </c>
      <c r="E1138" t="inlineStr">
        <is>
          <t>TP</t>
        </is>
      </c>
      <c r="F1138" t="inlineStr">
        <is>
          <t>real Task.sleep fixed-duration wait to let async state settle, flaky</t>
        </is>
      </c>
    </row>
    <row r="1139">
      <c r="A1139" t="inlineStr">
        <is>
          <t>moonset</t>
        </is>
      </c>
      <c r="B1139" t="inlineStr">
        <is>
          <t>/Users/manczg/Documents/development/moonset/moonset-app/MoonsetAppTests/Presentation/ViewModels/SleepTimerViewModelMusicSetupTests.swift</t>
        </is>
      </c>
      <c r="C1139" t="inlineStr">
        <is>
          <t>tests-04</t>
        </is>
      </c>
      <c r="D1139" t="n">
        <v>220</v>
      </c>
      <c r="E1139" t="inlineStr">
        <is>
          <t>TP</t>
        </is>
      </c>
      <c r="F1139" t="inlineStr">
        <is>
          <t>real Task.sleep fixed-duration wait to let async state settle, flaky</t>
        </is>
      </c>
    </row>
    <row r="1140">
      <c r="A1140" t="inlineStr">
        <is>
          <t>moonset</t>
        </is>
      </c>
      <c r="B1140" t="inlineStr">
        <is>
          <t>/Users/manczg/Documents/development/moonset/moonset-app/MoonsetAppTests/Presentation/ViewModels/SleepTimerViewModelMusicSetupTests.swift</t>
        </is>
      </c>
      <c r="C1140" t="inlineStr">
        <is>
          <t>tests-04</t>
        </is>
      </c>
      <c r="D1140" t="n">
        <v>222</v>
      </c>
      <c r="E1140" t="inlineStr">
        <is>
          <t>TP</t>
        </is>
      </c>
      <c r="F1140" t="inlineStr">
        <is>
          <t>real Task.sleep fixed-duration wait to let async state settle, flaky</t>
        </is>
      </c>
    </row>
    <row r="1141">
      <c r="A1141" t="inlineStr">
        <is>
          <t>moonset</t>
        </is>
      </c>
      <c r="B1141" t="inlineStr">
        <is>
          <t>/Users/manczg/Documents/development/moonset/moonset-app/MoonsetAppTests/Presentation/ViewModels/SleepTimerViewModelMusicSetupTests.swift</t>
        </is>
      </c>
      <c r="C1141" t="inlineStr">
        <is>
          <t>tests-04</t>
        </is>
      </c>
      <c r="D1141" t="n">
        <v>227</v>
      </c>
      <c r="E1141" t="inlineStr">
        <is>
          <t>TP</t>
        </is>
      </c>
      <c r="F1141" t="inlineStr">
        <is>
          <t>real Task.sleep fixed-duration wait to let async state settle, flaky</t>
        </is>
      </c>
    </row>
    <row r="1142">
      <c r="A1142" t="inlineStr">
        <is>
          <t>moonset</t>
        </is>
      </c>
      <c r="B1142" t="inlineStr">
        <is>
          <t>/Users/manczg/Documents/development/moonset/moonset-app/MoonsetAppTests/Presentation/ViewModels/SleepTimerViewModelMusicSetupTests.swift</t>
        </is>
      </c>
      <c r="C1142" t="inlineStr">
        <is>
          <t>tests-04</t>
        </is>
      </c>
      <c r="D1142" t="n">
        <v>236</v>
      </c>
      <c r="E1142" t="inlineStr">
        <is>
          <t>TP</t>
        </is>
      </c>
      <c r="F1142" t="inlineStr">
        <is>
          <t>real Task.sleep fixed-duration wait to let async state settle, flaky</t>
        </is>
      </c>
    </row>
    <row r="1143">
      <c r="A1143" t="inlineStr">
        <is>
          <t>moonset</t>
        </is>
      </c>
      <c r="B1143" t="inlineStr">
        <is>
          <t>/Users/manczg/Documents/development/moonset/moonset-app/MoonsetAppTests/Presentation/ViewModels/SleepTimerViewModelMusicSetupTests.swift</t>
        </is>
      </c>
      <c r="C1143" t="inlineStr">
        <is>
          <t>tests-04</t>
        </is>
      </c>
      <c r="D1143" t="n">
        <v>238</v>
      </c>
      <c r="E1143" t="inlineStr">
        <is>
          <t>TP</t>
        </is>
      </c>
      <c r="F1143" t="inlineStr">
        <is>
          <t>real Task.sleep fixed-duration wait to let async state settle, flaky</t>
        </is>
      </c>
    </row>
    <row r="1144">
      <c r="A1144" t="inlineStr">
        <is>
          <t>moonset</t>
        </is>
      </c>
      <c r="B1144" t="inlineStr">
        <is>
          <t>/Users/manczg/Documents/development/moonset/moonset-app/MoonsetAppTests/Presentation/ViewModels/SleepTimerViewModelMusicSetupTests.swift</t>
        </is>
      </c>
      <c r="C1144" t="inlineStr">
        <is>
          <t>tests-04</t>
        </is>
      </c>
      <c r="D1144" t="n">
        <v>243</v>
      </c>
      <c r="E1144" t="inlineStr">
        <is>
          <t>TP</t>
        </is>
      </c>
      <c r="F1144" t="inlineStr">
        <is>
          <t>real Task.sleep fixed-duration wait to let async state settle, flaky</t>
        </is>
      </c>
    </row>
    <row r="1145">
      <c r="A1145" t="inlineStr">
        <is>
          <t>moonset</t>
        </is>
      </c>
      <c r="B1145" t="inlineStr">
        <is>
          <t>/Users/manczg/Documents/development/moonset/moonset-app/MoonsetAppTests/Presentation/ViewModels/SleepTimerViewModelMusicSetupTests.swift</t>
        </is>
      </c>
      <c r="C1145" t="inlineStr">
        <is>
          <t>tests-04</t>
        </is>
      </c>
      <c r="D1145" t="n">
        <v>252</v>
      </c>
      <c r="E1145" t="inlineStr">
        <is>
          <t>TP</t>
        </is>
      </c>
      <c r="F1145" t="inlineStr">
        <is>
          <t>real Task.sleep fixed-duration wait to let async state settle, flaky</t>
        </is>
      </c>
    </row>
    <row r="1146">
      <c r="A1146" t="inlineStr">
        <is>
          <t>moonset</t>
        </is>
      </c>
      <c r="B1146" t="inlineStr">
        <is>
          <t>/Users/manczg/Documents/development/moonset/moonset-app/MoonsetAppTests/Presentation/ViewModels/SleepTimerViewModelMusicSetupTests.swift</t>
        </is>
      </c>
      <c r="C1146" t="inlineStr">
        <is>
          <t>tests-04</t>
        </is>
      </c>
      <c r="D1146" t="n">
        <v>256</v>
      </c>
      <c r="E1146" t="inlineStr">
        <is>
          <t>TP</t>
        </is>
      </c>
      <c r="F1146" t="inlineStr">
        <is>
          <t>real Task.sleep fixed-duration wait to let async state settle, flaky</t>
        </is>
      </c>
    </row>
    <row r="1147">
      <c r="A1147" t="inlineStr">
        <is>
          <t>moonset</t>
        </is>
      </c>
      <c r="B1147" t="inlineStr">
        <is>
          <t>/Users/manczg/Documents/development/moonset/moonset-app/MoonsetAppTests/Presentation/ViewModels/SleepTimerViewModelMusicSetupTests.swift</t>
        </is>
      </c>
      <c r="C1147" t="inlineStr">
        <is>
          <t>tests-04</t>
        </is>
      </c>
      <c r="D1147" t="n">
        <v>260</v>
      </c>
      <c r="E1147" t="inlineStr">
        <is>
          <t>TP</t>
        </is>
      </c>
      <c r="F1147" t="inlineStr">
        <is>
          <t>real Task.sleep fixed-duration wait to let async state settle, flaky</t>
        </is>
      </c>
    </row>
    <row r="1148">
      <c r="A1148" t="inlineStr">
        <is>
          <t>moonset</t>
        </is>
      </c>
      <c r="B1148" t="inlineStr">
        <is>
          <t>/Users/manczg/Documents/development/moonset/moonset-app/MoonsetAppTests/Presentation/ViewModels/SleepTimerViewModelMusicSetupTests.swift</t>
        </is>
      </c>
      <c r="C1148" t="inlineStr">
        <is>
          <t>tests-04</t>
        </is>
      </c>
      <c r="D1148" t="n">
        <v>271</v>
      </c>
      <c r="E1148" t="inlineStr">
        <is>
          <t>TP</t>
        </is>
      </c>
      <c r="F1148" t="inlineStr">
        <is>
          <t>real Task.sleep fixed-duration wait to let async state settle, flaky</t>
        </is>
      </c>
    </row>
    <row r="1149">
      <c r="A1149" t="inlineStr">
        <is>
          <t>moonset</t>
        </is>
      </c>
      <c r="B1149" t="inlineStr">
        <is>
          <t>/Users/manczg/Documents/development/moonset/moonset-app/MoonsetAppTests/Presentation/ViewModels/SleepTimerViewModelMusicSetupTests.swift</t>
        </is>
      </c>
      <c r="C1149" t="inlineStr">
        <is>
          <t>tests-04</t>
        </is>
      </c>
      <c r="D1149" t="n">
        <v>274</v>
      </c>
      <c r="E1149" t="inlineStr">
        <is>
          <t>TP</t>
        </is>
      </c>
      <c r="F1149" t="inlineStr">
        <is>
          <t>real Task.sleep fixed-duration wait to let async state settle, flaky</t>
        </is>
      </c>
    </row>
    <row r="1150">
      <c r="A1150" t="inlineStr">
        <is>
          <t>moonset</t>
        </is>
      </c>
      <c r="B1150" t="inlineStr">
        <is>
          <t>/Users/manczg/Documents/development/moonset/moonset-app/MoonsetAppTests/Presentation/ViewModels/SleepTimerViewModelMusicSetupTests.swift</t>
        </is>
      </c>
      <c r="C1150" t="inlineStr">
        <is>
          <t>tests-04</t>
        </is>
      </c>
      <c r="D1150" t="n">
        <v>276</v>
      </c>
      <c r="E1150" t="inlineStr">
        <is>
          <t>TP</t>
        </is>
      </c>
      <c r="F1150" t="inlineStr">
        <is>
          <t>real Task.sleep fixed-duration wait to let async state settle, flaky</t>
        </is>
      </c>
    </row>
    <row r="1151">
      <c r="A1151" t="inlineStr">
        <is>
          <t>moonset</t>
        </is>
      </c>
      <c r="B1151" t="inlineStr">
        <is>
          <t>/Users/manczg/Documents/development/moonset/moonset-app/MoonsetAppTests/Presentation/ViewModels/SleepTimerViewModelMusicSetupTests.swift</t>
        </is>
      </c>
      <c r="C1151" t="inlineStr">
        <is>
          <t>tests-04</t>
        </is>
      </c>
      <c r="D1151" t="n">
        <v>280</v>
      </c>
      <c r="E1151" t="inlineStr">
        <is>
          <t>TP</t>
        </is>
      </c>
      <c r="F1151" t="inlineStr">
        <is>
          <t>real Task.sleep fixed-duration wait to let async state settle, flaky</t>
        </is>
      </c>
    </row>
    <row r="1152">
      <c r="A1152" t="inlineStr">
        <is>
          <t>moonset</t>
        </is>
      </c>
      <c r="B1152" t="inlineStr">
        <is>
          <t>/Users/manczg/Documents/development/moonset/moonset-app/MoonsetAppTests/Presentation/ViewModels/SleepTimerViewModelMusicSetupTests.swift</t>
        </is>
      </c>
      <c r="C1152" t="inlineStr">
        <is>
          <t>tests-04</t>
        </is>
      </c>
      <c r="D1152" t="n">
        <v>290</v>
      </c>
      <c r="E1152" t="inlineStr">
        <is>
          <t>TP</t>
        </is>
      </c>
      <c r="F1152" t="inlineStr">
        <is>
          <t>real Task.sleep fixed-duration wait to let async state settle, flaky</t>
        </is>
      </c>
    </row>
    <row r="1153">
      <c r="A1153" t="inlineStr">
        <is>
          <t>moonset</t>
        </is>
      </c>
      <c r="B1153" t="inlineStr">
        <is>
          <t>/Users/manczg/Documents/development/moonset/moonset-app/MoonsetAppTests/Presentation/ViewModels/SleepTimerViewModelMusicSetupTests.swift</t>
        </is>
      </c>
      <c r="C1153" t="inlineStr">
        <is>
          <t>tests-04</t>
        </is>
      </c>
      <c r="D1153" t="n">
        <v>293</v>
      </c>
      <c r="E1153" t="inlineStr">
        <is>
          <t>TP</t>
        </is>
      </c>
      <c r="F1153" t="inlineStr">
        <is>
          <t>real Task.sleep fixed-duration wait to let async state settle, flaky</t>
        </is>
      </c>
    </row>
    <row r="1154">
      <c r="A1154" t="inlineStr">
        <is>
          <t>moonset</t>
        </is>
      </c>
      <c r="B1154" t="inlineStr">
        <is>
          <t>/Users/manczg/Documents/development/moonset/moonset-app/MoonsetAppTests/Presentation/ViewModels/SleepTimerViewModelMusicSetupTests.swift</t>
        </is>
      </c>
      <c r="C1154" t="inlineStr">
        <is>
          <t>tests-04</t>
        </is>
      </c>
      <c r="D1154" t="n">
        <v>295</v>
      </c>
      <c r="E1154" t="inlineStr">
        <is>
          <t>TP</t>
        </is>
      </c>
      <c r="F1154" t="inlineStr">
        <is>
          <t>real Task.sleep fixed-duration wait to let async state settle, flaky</t>
        </is>
      </c>
    </row>
    <row r="1155">
      <c r="A1155" t="inlineStr">
        <is>
          <t>moonset</t>
        </is>
      </c>
      <c r="B1155" t="inlineStr">
        <is>
          <t>/Users/manczg/Documents/development/moonset/moonset-app/MoonsetAppTests/Presentation/ViewModels/SleepTimerViewModelMusicSetupTests.swift</t>
        </is>
      </c>
      <c r="C1155" t="inlineStr">
        <is>
          <t>tests-04</t>
        </is>
      </c>
      <c r="D1155" t="n">
        <v>299</v>
      </c>
      <c r="E1155" t="inlineStr">
        <is>
          <t>TP</t>
        </is>
      </c>
      <c r="F1155" t="inlineStr">
        <is>
          <t>real Task.sleep fixed-duration wait to let async state settle, flaky</t>
        </is>
      </c>
    </row>
    <row r="1156">
      <c r="A1156" t="inlineStr">
        <is>
          <t>moonset</t>
        </is>
      </c>
      <c r="B1156" t="inlineStr">
        <is>
          <t>/Users/manczg/Documents/development/moonset/moonset-app/MoonsetAppTests/Presentation/ViewModels/SleepTimerViewModelMusicSetupTests.swift</t>
        </is>
      </c>
      <c r="C1156" t="inlineStr">
        <is>
          <t>tests-04</t>
        </is>
      </c>
      <c r="D1156" t="n">
        <v>433</v>
      </c>
      <c r="E1156" t="inlineStr">
        <is>
          <t>TP</t>
        </is>
      </c>
      <c r="F1156" t="inlineStr">
        <is>
          <t>real Task.sleep fixed-duration wait to let async state settle, flaky</t>
        </is>
      </c>
    </row>
    <row r="1157">
      <c r="A1157" t="inlineStr">
        <is>
          <t>moonset</t>
        </is>
      </c>
      <c r="B1157" t="inlineStr">
        <is>
          <t>/Users/manczg/Documents/development/moonset/moonset-app/MoonsetAppTests/Presentation/ViewModels/SleepTimerViewModelMusicSetupTests.swift</t>
        </is>
      </c>
      <c r="C1157" t="inlineStr">
        <is>
          <t>tests-04</t>
        </is>
      </c>
      <c r="D1157" t="n">
        <v>461</v>
      </c>
      <c r="E1157" t="inlineStr">
        <is>
          <t>TP</t>
        </is>
      </c>
      <c r="F1157" t="inlineStr">
        <is>
          <t>real Task.sleep fixed-duration wait to let async state settle, flaky</t>
        </is>
      </c>
    </row>
    <row r="1158">
      <c r="A1158" t="inlineStr">
        <is>
          <t>moonset</t>
        </is>
      </c>
      <c r="B1158" t="inlineStr">
        <is>
          <t>/Users/manczg/Documents/development/moonset/moonset-app/MoonsetAppTests/Presentation/ViewModels/SleepTimerViewModelMusicSetupTests.swift</t>
        </is>
      </c>
      <c r="C1158" t="inlineStr">
        <is>
          <t>tests-04</t>
        </is>
      </c>
      <c r="D1158" t="n">
        <v>480</v>
      </c>
      <c r="E1158" t="inlineStr">
        <is>
          <t>TP</t>
        </is>
      </c>
      <c r="F1158" t="inlineStr">
        <is>
          <t>real Task.sleep fixed-duration wait to let async state settle, flaky</t>
        </is>
      </c>
    </row>
    <row r="1159">
      <c r="A1159" t="inlineStr">
        <is>
          <t>moonset</t>
        </is>
      </c>
      <c r="B1159" t="inlineStr">
        <is>
          <t>/Users/manczg/Documents/development/moonset/moonset-app/MoonsetAppTests/Presentation/ViewModels/SleepTimerViewModelMusicSetupTests.swift</t>
        </is>
      </c>
      <c r="C1159" t="inlineStr">
        <is>
          <t>tests-04</t>
        </is>
      </c>
      <c r="D1159" t="n">
        <v>482</v>
      </c>
      <c r="E1159" t="inlineStr">
        <is>
          <t>TP</t>
        </is>
      </c>
      <c r="F1159" t="inlineStr">
        <is>
          <t>real Task.sleep fixed-duration wait to let async state settle, flaky</t>
        </is>
      </c>
    </row>
    <row r="1160">
      <c r="A1160" t="inlineStr">
        <is>
          <t>moonset</t>
        </is>
      </c>
      <c r="B1160" t="inlineStr">
        <is>
          <t>/Users/manczg/Documents/development/moonset/moonset-app/MoonsetAppTests/Presentation/ViewModels/SleepTimerViewModelMusicSetupTests.swift</t>
        </is>
      </c>
      <c r="C1160" t="inlineStr">
        <is>
          <t>tests-04</t>
        </is>
      </c>
      <c r="D1160" t="n">
        <v>493</v>
      </c>
      <c r="E1160" t="inlineStr">
        <is>
          <t>TP</t>
        </is>
      </c>
      <c r="F1160" t="inlineStr">
        <is>
          <t>real Task.sleep fixed-duration wait to let async state settle, flaky</t>
        </is>
      </c>
    </row>
    <row r="1161">
      <c r="A1161" t="inlineStr">
        <is>
          <t>moonset</t>
        </is>
      </c>
      <c r="B1161" t="inlineStr">
        <is>
          <t>/Users/manczg/Documents/development/moonset/moonset-app/MoonsetAppTests/Presentation/ViewModels/SleepTimerViewModelMusicSetupTests.swift</t>
        </is>
      </c>
      <c r="C1161" t="inlineStr">
        <is>
          <t>tests-04</t>
        </is>
      </c>
      <c r="D1161" t="n">
        <v>563</v>
      </c>
      <c r="E1161" t="inlineStr">
        <is>
          <t>TP</t>
        </is>
      </c>
      <c r="F1161" t="inlineStr">
        <is>
          <t>real Task.sleep fixed-duration wait to let async state settle, flaky</t>
        </is>
      </c>
    </row>
    <row r="1162">
      <c r="A1162" t="inlineStr">
        <is>
          <t>moonset</t>
        </is>
      </c>
      <c r="B1162" t="inlineStr">
        <is>
          <t>/Users/manczg/Documents/development/moonset/moonset-app/MoonsetAppTests/Presentation/ViewModels/SleepTimerViewModelMusicSetupTests.swift</t>
        </is>
      </c>
      <c r="C1162" t="inlineStr">
        <is>
          <t>tests-04</t>
        </is>
      </c>
      <c r="D1162" t="n">
        <v>572</v>
      </c>
      <c r="E1162" t="inlineStr">
        <is>
          <t>TP</t>
        </is>
      </c>
      <c r="F1162" t="inlineStr">
        <is>
          <t>real Task.sleep fixed-duration wait to let async state settle, flaky</t>
        </is>
      </c>
    </row>
    <row r="1163">
      <c r="A1163" t="inlineStr">
        <is>
          <t>moonset</t>
        </is>
      </c>
      <c r="B1163" t="inlineStr">
        <is>
          <t>/Users/manczg/Documents/development/moonset/moonset-app/MoonsetAppTests/Presentation/ViewModels/SleepTimerViewModelMusicSetupTests.swift</t>
        </is>
      </c>
      <c r="C1163" t="inlineStr">
        <is>
          <t>tests-04</t>
        </is>
      </c>
      <c r="D1163" t="n">
        <v>578</v>
      </c>
      <c r="E1163" t="inlineStr">
        <is>
          <t>TP</t>
        </is>
      </c>
      <c r="F1163" t="inlineStr">
        <is>
          <t>real Task.sleep fixed-duration wait to let async state settle, flaky</t>
        </is>
      </c>
    </row>
    <row r="1164">
      <c r="A1164" t="inlineStr">
        <is>
          <t>moonset</t>
        </is>
      </c>
      <c r="B1164" t="inlineStr">
        <is>
          <t>/Users/manczg/Documents/development/moonset/moonset-app/MoonsetAppTests/Presentation/ViewModels/SleepTimerViewModelMusicSetupTests.swift</t>
        </is>
      </c>
      <c r="C1164" t="inlineStr">
        <is>
          <t>tests-04</t>
        </is>
      </c>
      <c r="D1164" t="n">
        <v>646</v>
      </c>
      <c r="E1164" t="inlineStr">
        <is>
          <t>TP</t>
        </is>
      </c>
      <c r="F1164" t="inlineStr">
        <is>
          <t>real Task.sleep fixed-duration wait to let async state settle, flaky</t>
        </is>
      </c>
    </row>
    <row r="1165">
      <c r="A1165" t="inlineStr">
        <is>
          <t>moonset</t>
        </is>
      </c>
      <c r="B1165" t="inlineStr">
        <is>
          <t>/Users/manczg/Documents/development/moonset/moonset-app/MoonsetAppTests/Presentation/ViewModels/SleepTimerViewModelMusicSetupTests.swift</t>
        </is>
      </c>
      <c r="C1165" t="inlineStr">
        <is>
          <t>tests-04</t>
        </is>
      </c>
      <c r="D1165" t="n">
        <v>649</v>
      </c>
      <c r="E1165" t="inlineStr">
        <is>
          <t>TP</t>
        </is>
      </c>
      <c r="F1165" t="inlineStr">
        <is>
          <t>real Task.sleep fixed-duration wait to let async state settle, flaky</t>
        </is>
      </c>
    </row>
    <row r="1166">
      <c r="A1166" t="inlineStr">
        <is>
          <t>moonset</t>
        </is>
      </c>
      <c r="B1166" t="inlineStr">
        <is>
          <t>/Users/manczg/Documents/development/moonset/moonset-app/MoonsetAppTests/Presentation/ViewModels/SleepTimerViewModelMusicSetupTests.swift</t>
        </is>
      </c>
      <c r="C1166" t="inlineStr">
        <is>
          <t>tests-04</t>
        </is>
      </c>
      <c r="D1166" t="n">
        <v>764</v>
      </c>
      <c r="E1166" t="inlineStr">
        <is>
          <t>TP</t>
        </is>
      </c>
      <c r="F1166" t="inlineStr">
        <is>
          <t>real Task.sleep fixed-duration wait to let async state settle, flaky</t>
        </is>
      </c>
    </row>
    <row r="1167">
      <c r="A1167" t="inlineStr">
        <is>
          <t>moonset</t>
        </is>
      </c>
      <c r="B1167" t="inlineStr">
        <is>
          <t>/Users/manczg/Documents/development/moonset/moonset-app/MoonsetAppTests/Presentation/ViewModels/SleepTimerViewModelMusicSetupTests.swift</t>
        </is>
      </c>
      <c r="C1167" t="inlineStr">
        <is>
          <t>tests-04</t>
        </is>
      </c>
      <c r="D1167" t="n">
        <v>767</v>
      </c>
      <c r="E1167" t="inlineStr">
        <is>
          <t>TP</t>
        </is>
      </c>
      <c r="F1167" t="inlineStr">
        <is>
          <t>real Task.sleep fixed-duration wait to let async state settle, flaky</t>
        </is>
      </c>
    </row>
    <row r="1168">
      <c r="A1168" t="inlineStr">
        <is>
          <t>moonset</t>
        </is>
      </c>
      <c r="B1168" t="inlineStr">
        <is>
          <t>/Users/manczg/Documents/development/moonset/moonset-app/MoonsetAppTests/Presentation/ViewModels/SleepTimerViewModelMusicSetupTests.swift</t>
        </is>
      </c>
      <c r="C1168" t="inlineStr">
        <is>
          <t>tests-04</t>
        </is>
      </c>
      <c r="D1168" t="n">
        <v>775</v>
      </c>
      <c r="E1168" t="inlineStr">
        <is>
          <t>TP</t>
        </is>
      </c>
      <c r="F1168" t="inlineStr">
        <is>
          <t>real Task.sleep fixed-duration wait to let async state settle, flaky</t>
        </is>
      </c>
    </row>
    <row r="1169">
      <c r="A1169" t="inlineStr">
        <is>
          <t>moonset</t>
        </is>
      </c>
      <c r="B1169" t="inlineStr">
        <is>
          <t>/Users/manczg/Documents/development/moonset/moonset-app/MoonsetAppTests/Presentation/ViewModels/SleepTimerViewModelMusicSetupTests.swift</t>
        </is>
      </c>
      <c r="C1169" t="inlineStr">
        <is>
          <t>tests-04</t>
        </is>
      </c>
      <c r="D1169" t="n">
        <v>786</v>
      </c>
      <c r="E1169" t="inlineStr">
        <is>
          <t>TP</t>
        </is>
      </c>
      <c r="F1169" t="inlineStr">
        <is>
          <t>real Task.sleep fixed-duration wait to let async state settle, flaky</t>
        </is>
      </c>
    </row>
    <row r="1170">
      <c r="A1170" t="inlineStr">
        <is>
          <t>moonset</t>
        </is>
      </c>
      <c r="B1170" t="inlineStr">
        <is>
          <t>/Users/manczg/Documents/development/moonset/moonset-app/MoonsetAppTests/Presentation/ViewModels/SleepTimerViewModelMusicSetupTests.swift</t>
        </is>
      </c>
      <c r="C1170" t="inlineStr">
        <is>
          <t>tests-04</t>
        </is>
      </c>
      <c r="D1170" t="n">
        <v>789</v>
      </c>
      <c r="E1170" t="inlineStr">
        <is>
          <t>TP</t>
        </is>
      </c>
      <c r="F1170" t="inlineStr">
        <is>
          <t>real Task.sleep fixed-duration wait to let async state settle, flaky</t>
        </is>
      </c>
    </row>
    <row r="1171">
      <c r="A1171" t="inlineStr">
        <is>
          <t>moonset</t>
        </is>
      </c>
      <c r="B1171" t="inlineStr">
        <is>
          <t>/Users/manczg/Documents/development/moonset/moonset-app/MoonsetAppTests/Presentation/ViewModels/SleepTimerViewModelMusicSetupTests.swift</t>
        </is>
      </c>
      <c r="C1171" t="inlineStr">
        <is>
          <t>tests-04</t>
        </is>
      </c>
      <c r="D1171" t="n">
        <v>793</v>
      </c>
      <c r="E1171" t="inlineStr">
        <is>
          <t>TP</t>
        </is>
      </c>
      <c r="F1171" t="inlineStr">
        <is>
          <t>real Task.sleep fixed-duration wait to let async state settle, flaky</t>
        </is>
      </c>
    </row>
    <row r="1172">
      <c r="A1172" t="inlineStr">
        <is>
          <t>moonset</t>
        </is>
      </c>
      <c r="B1172" t="inlineStr">
        <is>
          <t>/Users/manczg/Documents/development/moonset/moonset-app/MoonsetAppTests/Presentation/ViewModels/SleepTimerViewModelMusicSetupTests.swift</t>
        </is>
      </c>
      <c r="C1172" t="inlineStr">
        <is>
          <t>tests-04</t>
        </is>
      </c>
      <c r="D1172" t="n">
        <v>823</v>
      </c>
      <c r="E1172" t="inlineStr">
        <is>
          <t>TP</t>
        </is>
      </c>
      <c r="F1172" t="inlineStr">
        <is>
          <t>real Task.sleep fixed-duration wait to let async state settle, flaky</t>
        </is>
      </c>
    </row>
    <row r="1173">
      <c r="A1173" t="inlineStr">
        <is>
          <t>moonset</t>
        </is>
      </c>
      <c r="B1173" t="inlineStr">
        <is>
          <t>/Users/manczg/Documents/development/moonset/moonset-app/MoonsetAppTests/Presentation/ViewModels/SleepTimerViewModelMusicSetupTests.swift</t>
        </is>
      </c>
      <c r="C1173" t="inlineStr">
        <is>
          <t>tests-04</t>
        </is>
      </c>
      <c r="D1173" t="n">
        <v>869</v>
      </c>
      <c r="E1173" t="inlineStr">
        <is>
          <t>TP</t>
        </is>
      </c>
      <c r="F1173" t="inlineStr">
        <is>
          <t>real Task.sleep fixed-duration wait to let async state settle, flaky</t>
        </is>
      </c>
    </row>
    <row r="1174">
      <c r="A1174" t="inlineStr">
        <is>
          <t>moonset</t>
        </is>
      </c>
      <c r="B1174" t="inlineStr">
        <is>
          <t>/Users/manczg/Documents/development/moonset/moonset-app/MoonsetAppTests/Presentation/ViewModels/SleepTimerViewModelMusicSetupTests.swift</t>
        </is>
      </c>
      <c r="C1174" t="inlineStr">
        <is>
          <t>tests-04</t>
        </is>
      </c>
      <c r="D1174" t="n">
        <v>878</v>
      </c>
      <c r="E1174" t="inlineStr">
        <is>
          <t>TP</t>
        </is>
      </c>
      <c r="F1174" t="inlineStr">
        <is>
          <t>real Task.sleep fixed-duration wait to let async state settle, flaky</t>
        </is>
      </c>
    </row>
    <row r="1175">
      <c r="A1175" t="inlineStr">
        <is>
          <t>moonset</t>
        </is>
      </c>
      <c r="B1175" t="inlineStr">
        <is>
          <t>/Users/manczg/Documents/development/moonset/moonset-app/MoonsetAppTests/Presentation/ViewModels/SleepTimerViewModelMusicSetupTests.swift</t>
        </is>
      </c>
      <c r="C1175" t="inlineStr">
        <is>
          <t>tests-04</t>
        </is>
      </c>
      <c r="D1175" t="n">
        <v>880</v>
      </c>
      <c r="E1175" t="inlineStr">
        <is>
          <t>TP</t>
        </is>
      </c>
      <c r="F1175" t="inlineStr">
        <is>
          <t>real Task.sleep fixed-duration wait to let async state settle, flaky</t>
        </is>
      </c>
    </row>
    <row r="1176">
      <c r="A1176" t="inlineStr">
        <is>
          <t>moonset</t>
        </is>
      </c>
      <c r="B1176" t="inlineStr">
        <is>
          <t>/Users/manczg/Documents/development/moonset/moonset-app/MoonsetAppTests/Presentation/ViewModels/SleepTimerViewModelMusicSetupTests.swift</t>
        </is>
      </c>
      <c r="C1176" t="inlineStr">
        <is>
          <t>tests-04</t>
        </is>
      </c>
      <c r="D1176" t="n">
        <v>892</v>
      </c>
      <c r="E1176" t="inlineStr">
        <is>
          <t>TP</t>
        </is>
      </c>
      <c r="F1176" t="inlineStr">
        <is>
          <t>real Task.sleep fixed-duration wait to let async state settle, flaky</t>
        </is>
      </c>
    </row>
    <row r="1177">
      <c r="A1177" t="inlineStr">
        <is>
          <t>moonset</t>
        </is>
      </c>
      <c r="B1177" t="inlineStr">
        <is>
          <t>/Users/manczg/Documents/development/moonset/moonset-app/MoonsetAppTests/Presentation/ViewModels/SleepTimerViewModelMusicSetupTests.swift</t>
        </is>
      </c>
      <c r="C1177" t="inlineStr">
        <is>
          <t>tests-04</t>
        </is>
      </c>
      <c r="D1177" t="n">
        <v>895</v>
      </c>
      <c r="E1177" t="inlineStr">
        <is>
          <t>TP</t>
        </is>
      </c>
      <c r="F1177" t="inlineStr">
        <is>
          <t>real Task.sleep fixed-duration wait to let async state settle, flaky</t>
        </is>
      </c>
    </row>
    <row r="1178">
      <c r="A1178" t="inlineStr">
        <is>
          <t>moonset</t>
        </is>
      </c>
      <c r="B1178" t="inlineStr">
        <is>
          <t>/Users/manczg/Documents/development/moonset/moonset-app/MoonsetAppTests/Presentation/ViewModels/SleepTimerViewModelMusicSetupTests.swift</t>
        </is>
      </c>
      <c r="C1178" t="inlineStr">
        <is>
          <t>tests-04</t>
        </is>
      </c>
      <c r="D1178" t="n">
        <v>902</v>
      </c>
      <c r="E1178" t="inlineStr">
        <is>
          <t>TP</t>
        </is>
      </c>
      <c r="F1178" t="inlineStr">
        <is>
          <t>real Task.sleep fixed-duration wait to let async state settle, flaky</t>
        </is>
      </c>
    </row>
    <row r="1179">
      <c r="A1179" t="inlineStr">
        <is>
          <t>moonset</t>
        </is>
      </c>
      <c r="B1179" t="inlineStr">
        <is>
          <t>/Users/manczg/Documents/development/moonset/moonset-app/MoonsetAppTests/Presentation/ViewModels/SleepTimerViewModelMusicSetupTests.swift</t>
        </is>
      </c>
      <c r="C1179" t="inlineStr">
        <is>
          <t>tests-04</t>
        </is>
      </c>
      <c r="D1179" t="n">
        <v>930</v>
      </c>
      <c r="E1179" t="inlineStr">
        <is>
          <t>TP</t>
        </is>
      </c>
      <c r="F1179" t="inlineStr">
        <is>
          <t>real Task.sleep fixed-duration wait to let async state settle, flaky</t>
        </is>
      </c>
    </row>
    <row r="1180">
      <c r="A1180" t="inlineStr">
        <is>
          <t>moonset</t>
        </is>
      </c>
      <c r="B1180" t="inlineStr">
        <is>
          <t>/Users/manczg/Documents/development/moonset/moonset-app/MoonsetAppTests/Presentation/ViewModels/SleepTimerViewModelMusicSetupTests.swift</t>
        </is>
      </c>
      <c r="C1180" t="inlineStr">
        <is>
          <t>tests-04</t>
        </is>
      </c>
      <c r="D1180" t="n">
        <v>933</v>
      </c>
      <c r="E1180" t="inlineStr">
        <is>
          <t>TP</t>
        </is>
      </c>
      <c r="F1180" t="inlineStr">
        <is>
          <t>real Task.sleep fixed-duration wait to let async state settle, flaky</t>
        </is>
      </c>
    </row>
    <row r="1181">
      <c r="A1181" t="inlineStr">
        <is>
          <t>moonset</t>
        </is>
      </c>
      <c r="B1181" t="inlineStr">
        <is>
          <t>/Users/manczg/Documents/development/moonset/moonset-app/MoonsetAppTests/Presentation/ViewModels/SleepTimerViewModelMusicSetupTests.swift</t>
        </is>
      </c>
      <c r="C1181" t="inlineStr">
        <is>
          <t>tests-04</t>
        </is>
      </c>
      <c r="D1181" t="n">
        <v>937</v>
      </c>
      <c r="E1181" t="inlineStr">
        <is>
          <t>TP</t>
        </is>
      </c>
      <c r="F1181" t="inlineStr">
        <is>
          <t>real Task.sleep fixed-duration wait to let async state settle, flaky</t>
        </is>
      </c>
    </row>
    <row r="1182">
      <c r="A1182" t="inlineStr">
        <is>
          <t>moonset</t>
        </is>
      </c>
      <c r="B1182" t="inlineStr">
        <is>
          <t>/Users/manczg/Documents/development/moonset/moonset-app/MoonsetAppTests/Presentation/ViewModels/SleepTimerViewModelMusicSetupTests.swift</t>
        </is>
      </c>
      <c r="C1182" t="inlineStr">
        <is>
          <t>tests-04</t>
        </is>
      </c>
      <c r="D1182" t="n">
        <v>965</v>
      </c>
      <c r="E1182" t="inlineStr">
        <is>
          <t>TP</t>
        </is>
      </c>
      <c r="F1182" t="inlineStr">
        <is>
          <t>real Task.sleep fixed-duration wait to let async state settle, flaky</t>
        </is>
      </c>
    </row>
    <row r="1183">
      <c r="A1183" t="inlineStr">
        <is>
          <t>moonset</t>
        </is>
      </c>
      <c r="B1183" t="inlineStr">
        <is>
          <t>/Users/manczg/Documents/development/moonset/moonset-app/MoonsetAppTests/Presentation/ViewModels/SleepTimerViewModelMusicSetupTests.swift</t>
        </is>
      </c>
      <c r="C1183" t="inlineStr">
        <is>
          <t>tests-04</t>
        </is>
      </c>
      <c r="D1183" t="n">
        <v>982</v>
      </c>
      <c r="E1183" t="inlineStr">
        <is>
          <t>TP</t>
        </is>
      </c>
      <c r="F1183" t="inlineStr">
        <is>
          <t>real Task.sleep fixed-duration wait to let async state settle, flaky</t>
        </is>
      </c>
    </row>
    <row r="1184">
      <c r="A1184" t="inlineStr">
        <is>
          <t>moonset</t>
        </is>
      </c>
      <c r="B1184" t="inlineStr">
        <is>
          <t>/Users/manczg/Documents/development/moonset/moonset-app/MoonsetAppTests/Presentation/ViewModels/SleepTimerViewModelMusicSetupTests.swift</t>
        </is>
      </c>
      <c r="C1184" t="inlineStr">
        <is>
          <t>tests-04</t>
        </is>
      </c>
      <c r="D1184" t="n">
        <v>1014</v>
      </c>
      <c r="E1184" t="inlineStr">
        <is>
          <t>TP</t>
        </is>
      </c>
      <c r="F1184" t="inlineStr">
        <is>
          <t>real Task.sleep fixed-duration wait to let async state settle, flaky</t>
        </is>
      </c>
    </row>
    <row r="1185">
      <c r="A1185" t="inlineStr">
        <is>
          <t>moonset</t>
        </is>
      </c>
      <c r="B1185" t="inlineStr">
        <is>
          <t>/Users/manczg/Documents/development/moonset/moonset-app/MoonsetAppTests/Presentation/ViewModels/SleepTimerViewModelMusicSetupTests.swift</t>
        </is>
      </c>
      <c r="C1185" t="inlineStr">
        <is>
          <t>tests-04</t>
        </is>
      </c>
      <c r="D1185" t="n">
        <v>1017</v>
      </c>
      <c r="E1185" t="inlineStr">
        <is>
          <t>TP</t>
        </is>
      </c>
      <c r="F1185" t="inlineStr">
        <is>
          <t>real Task.sleep fixed-duration wait to let async state settle, flaky</t>
        </is>
      </c>
    </row>
    <row r="1186">
      <c r="A1186" t="inlineStr">
        <is>
          <t>moonset</t>
        </is>
      </c>
      <c r="B1186" t="inlineStr">
        <is>
          <t>/Users/manczg/Documents/development/moonset/moonset-app/MoonsetAppTests/Presentation/ViewModels/SleepTimerViewModelMusicSetupTests.swift</t>
        </is>
      </c>
      <c r="C1186" t="inlineStr">
        <is>
          <t>tests-04</t>
        </is>
      </c>
      <c r="D1186" t="n">
        <v>1067</v>
      </c>
      <c r="E1186" t="inlineStr">
        <is>
          <t>TP</t>
        </is>
      </c>
      <c r="F1186" t="inlineStr">
        <is>
          <t>real Task.sleep fixed-duration wait to let async state settle, flaky</t>
        </is>
      </c>
    </row>
    <row r="1187">
      <c r="A1187" t="inlineStr">
        <is>
          <t>moonset</t>
        </is>
      </c>
      <c r="B1187" t="inlineStr">
        <is>
          <t>/Users/manczg/Documents/development/moonset/moonset-app/MoonsetAppTests/Presentation/ViewModels/SleepTimerViewModelMusicSetupTests.swift</t>
        </is>
      </c>
      <c r="C1187" t="inlineStr">
        <is>
          <t>tests-04</t>
        </is>
      </c>
      <c r="D1187" t="n">
        <v>1070</v>
      </c>
      <c r="E1187" t="inlineStr">
        <is>
          <t>TP</t>
        </is>
      </c>
      <c r="F1187" t="inlineStr">
        <is>
          <t>real Task.sleep fixed-duration wait to let async state settle, flaky</t>
        </is>
      </c>
    </row>
    <row r="1188">
      <c r="A1188" t="inlineStr">
        <is>
          <t>moonset</t>
        </is>
      </c>
      <c r="B1188" t="inlineStr">
        <is>
          <t>/Users/manczg/Documents/development/moonset/moonset-app/MoonsetAppTests/Presentation/ViewModels/SleepTimerViewModelMusicSetupTests.swift</t>
        </is>
      </c>
      <c r="C1188" t="inlineStr">
        <is>
          <t>tests-06</t>
        </is>
      </c>
      <c r="D1188" t="n">
        <v>19</v>
      </c>
      <c r="E1188" t="inlineStr">
        <is>
          <t>FP</t>
        </is>
      </c>
      <c r="F1188" t="inlineStr">
        <is>
          <t>sut is nilled in tearDown; XCTest instantiates a fresh class instance per test so no cross-test leakage</t>
        </is>
      </c>
    </row>
    <row r="1189">
      <c r="A1189" t="inlineStr">
        <is>
          <t>moonset</t>
        </is>
      </c>
      <c r="B1189" t="inlineStr">
        <is>
          <t>/Users/manczg/Documents/development/moonset/moonset-app/MoonsetAppTests/Presentation/ViewModels/SleepTimerViewModelMusicSetupTests.swift</t>
        </is>
      </c>
      <c r="C1189" t="inlineStr">
        <is>
          <t>tests-06</t>
        </is>
      </c>
      <c r="D1189" t="n">
        <v>23</v>
      </c>
      <c r="E1189" t="inlineStr">
        <is>
          <t>FP</t>
        </is>
      </c>
      <c r="F1189" t="inlineStr">
        <is>
          <t>mockRepository freshly reassigned in setUp each test, correct reset pattern</t>
        </is>
      </c>
    </row>
    <row r="1190">
      <c r="A1190" t="inlineStr">
        <is>
          <t>moonset</t>
        </is>
      </c>
      <c r="B1190" t="inlineStr">
        <is>
          <t>/Users/manczg/Documents/development/moonset/moonset-app/MoonsetAppTests/Presentation/ViewModels/SleepTimerViewModelMusicSetupTests.swift</t>
        </is>
      </c>
      <c r="C1190" t="inlineStr">
        <is>
          <t>tests-06</t>
        </is>
      </c>
      <c r="D1190" t="n">
        <v>24</v>
      </c>
      <c r="E1190" t="inlineStr">
        <is>
          <t>FP</t>
        </is>
      </c>
      <c r="F1190" t="inlineStr">
        <is>
          <t>mockWakeLock freshly reassigned in setUp each test, correct reset pattern</t>
        </is>
      </c>
    </row>
    <row r="1191">
      <c r="A1191" t="inlineStr">
        <is>
          <t>moonset</t>
        </is>
      </c>
      <c r="B1191" t="inlineStr">
        <is>
          <t>/Users/manczg/Documents/development/moonset/moonset-app/MoonsetAppTests/Presentation/ViewModels/SleepTimerViewModelMusicSetupTests.swift</t>
        </is>
      </c>
      <c r="C1191" t="inlineStr">
        <is>
          <t>tests-06</t>
        </is>
      </c>
      <c r="D1191" t="n">
        <v>25</v>
      </c>
      <c r="E1191" t="inlineStr">
        <is>
          <t>FP</t>
        </is>
      </c>
      <c r="F1191" t="inlineStr">
        <is>
          <t>mockTimerPublisher freshly reassigned in setUp each test, correct reset pattern</t>
        </is>
      </c>
    </row>
    <row r="1192">
      <c r="A1192" t="inlineStr">
        <is>
          <t>moonset</t>
        </is>
      </c>
      <c r="B1192" t="inlineStr">
        <is>
          <t>/Users/manczg/Documents/development/moonset/moonset-app/MoonsetAppTests/Presentation/ViewModels/SleepTimerViewModelMusicSetupTests.swift</t>
        </is>
      </c>
      <c r="C1192" t="inlineStr">
        <is>
          <t>tests-06</t>
        </is>
      </c>
      <c r="D1192" t="n">
        <v>26</v>
      </c>
      <c r="E1192" t="inlineStr">
        <is>
          <t>FP</t>
        </is>
      </c>
      <c r="F1192" t="inlineStr">
        <is>
          <t>mockAudioService freshly reassigned in setUp each test, correct reset pattern</t>
        </is>
      </c>
    </row>
    <row r="1193">
      <c r="A1193" t="inlineStr">
        <is>
          <t>moonset</t>
        </is>
      </c>
      <c r="B1193" t="inlineStr">
        <is>
          <t>/Users/manczg/Documents/development/moonset/moonset-app/MoonsetAppTests/Presentation/ViewModels/SleepTimerViewModelMusicSetupTests.swift</t>
        </is>
      </c>
      <c r="C1193" t="inlineStr">
        <is>
          <t>tests-06</t>
        </is>
      </c>
      <c r="D1193" t="n">
        <v>27</v>
      </c>
      <c r="E1193" t="inlineStr">
        <is>
          <t>FP</t>
        </is>
      </c>
      <c r="F1193" t="inlineStr">
        <is>
          <t>mockSoundPreferenceService freshly reassigned in setUp each test, correct reset pattern</t>
        </is>
      </c>
    </row>
    <row r="1194">
      <c r="A1194" t="inlineStr">
        <is>
          <t>moonset</t>
        </is>
      </c>
      <c r="B1194" t="inlineStr">
        <is>
          <t>/Users/manczg/Documents/development/moonset/moonset-app/MoonsetAppTests/Presentation/ViewModels/SleepTimerViewModelMusicSetupTests.swift</t>
        </is>
      </c>
      <c r="C1194" t="inlineStr">
        <is>
          <t>tests-06</t>
        </is>
      </c>
      <c r="D1194" t="n">
        <v>28</v>
      </c>
      <c r="E1194" t="inlineStr">
        <is>
          <t>FP</t>
        </is>
      </c>
      <c r="F1194" t="inlineStr">
        <is>
          <t>mockMusicPreferenceService freshly reassigned in setUp each test, correct reset pattern</t>
        </is>
      </c>
    </row>
    <row r="1195">
      <c r="A1195" t="inlineStr">
        <is>
          <t>moonset</t>
        </is>
      </c>
      <c r="B1195" t="inlineStr">
        <is>
          <t>/Users/manczg/Documents/development/moonset/moonset-app/MoonsetAppTests/Presentation/ViewModels/SleepTimerViewModelMusicSetupTests.swift</t>
        </is>
      </c>
      <c r="C1195" t="inlineStr">
        <is>
          <t>tests-06</t>
        </is>
      </c>
      <c r="D1195" t="n">
        <v>30</v>
      </c>
      <c r="E1195" t="inlineStr">
        <is>
          <t>FP</t>
        </is>
      </c>
      <c r="F1195" t="inlineStr">
        <is>
          <t>timerService freshly reassigned in setUp each test, correct reset pattern</t>
        </is>
      </c>
    </row>
    <row r="1196">
      <c r="A1196" t="inlineStr">
        <is>
          <t>moonset</t>
        </is>
      </c>
      <c r="B1196" t="inlineStr">
        <is>
          <t>/Users/manczg/Documents/development/moonset/moonset-app/MoonsetAppTests/Presentation/ViewModels/SleepTimerViewModelMusicSetupTests.swift</t>
        </is>
      </c>
      <c r="C1196" t="inlineStr">
        <is>
          <t>tests-06</t>
        </is>
      </c>
      <c r="D1196" t="n">
        <v>31</v>
      </c>
      <c r="E1196" t="inlineStr">
        <is>
          <t>FP</t>
        </is>
      </c>
      <c r="F1196" t="inlineStr">
        <is>
          <t>preferenceService freshly reassigned in setUp each test, correct reset pattern</t>
        </is>
      </c>
    </row>
    <row r="1197">
      <c r="A1197" t="inlineStr">
        <is>
          <t>moonset</t>
        </is>
      </c>
      <c r="B1197" t="inlineStr">
        <is>
          <t>/Users/manczg/Documents/development/moonset/core/Tests/MoonsetCoreTests/Domain/Entities/SleepTimerTests.swift</t>
        </is>
      </c>
      <c r="C1197" t="inlineStr">
        <is>
          <t>safety-02</t>
        </is>
      </c>
      <c r="D1197" t="n">
        <v>554</v>
      </c>
      <c r="E1197" t="inlineStr">
        <is>
          <t>TP</t>
        </is>
      </c>
      <c r="F1197" t="inlineStr">
        <is>
          <t>force unwrap of lastStartDate after only a non-narrowing XCTAssertNotNil, genuine runtime dereference</t>
        </is>
      </c>
    </row>
    <row r="1198">
      <c r="A1198" t="inlineStr">
        <is>
          <t>moonset</t>
        </is>
      </c>
      <c r="B1198" t="inlineStr">
        <is>
          <t>/Users/manczg/Documents/development/moonset/core/Tests/MoonsetCoreTests/Domain/Entities/SleepTimerTests.swift</t>
        </is>
      </c>
      <c r="C1198" t="inlineStr">
        <is>
          <t>safety-02</t>
        </is>
      </c>
      <c r="D1198" t="n">
        <v>555</v>
      </c>
      <c r="E1198" t="inlineStr">
        <is>
          <t>TP</t>
        </is>
      </c>
      <c r="F1198" t="inlineStr">
        <is>
          <t>force unwrap of lastStartDate after only a non-narrowing XCTAssertNotNil, genuine runtime dereference</t>
        </is>
      </c>
    </row>
    <row r="1199">
      <c r="A1199" t="inlineStr">
        <is>
          <t>moonset</t>
        </is>
      </c>
      <c r="B1199" t="inlineStr">
        <is>
          <t>/Users/manczg/Documents/development/moonset/core/Tests/MoonsetCoreTests/Domain/Entities/SleepTimerTests.swift</t>
        </is>
      </c>
      <c r="C1199" t="inlineStr">
        <is>
          <t>tests-04</t>
        </is>
      </c>
      <c r="D1199" t="n">
        <v>201</v>
      </c>
      <c r="E1199" t="inlineStr">
        <is>
          <t>TP</t>
        </is>
      </c>
      <c r="F1199" t="inlineStr">
        <is>
          <t>real Thread.sleep to await elapsed time passing, flaky</t>
        </is>
      </c>
    </row>
    <row r="1200">
      <c r="A1200" t="inlineStr">
        <is>
          <t>moonset</t>
        </is>
      </c>
      <c r="B1200" t="inlineStr">
        <is>
          <t>/Users/manczg/Documents/development/moonset/core/Tests/MoonsetCoreTests/Domain/Entities/SleepTimerTests.swift</t>
        </is>
      </c>
      <c r="C1200" t="inlineStr">
        <is>
          <t>tests-04</t>
        </is>
      </c>
      <c r="D1200" t="n">
        <v>260</v>
      </c>
      <c r="E1200" t="inlineStr">
        <is>
          <t>TP</t>
        </is>
      </c>
      <c r="F1200" t="inlineStr">
        <is>
          <t>real Thread.sleep to await elapsed time passing, flaky</t>
        </is>
      </c>
    </row>
    <row r="1201">
      <c r="A1201" t="inlineStr">
        <is>
          <t>moonset</t>
        </is>
      </c>
      <c r="B1201" t="inlineStr">
        <is>
          <t>/Users/manczg/Documents/development/moonset/core/Tests/MoonsetCoreTests/Domain/Entities/SleepTimerTests.swift</t>
        </is>
      </c>
      <c r="C1201" t="inlineStr">
        <is>
          <t>tests-04</t>
        </is>
      </c>
      <c r="D1201" t="n">
        <v>326</v>
      </c>
      <c r="E1201" t="inlineStr">
        <is>
          <t>TP</t>
        </is>
      </c>
      <c r="F1201" t="inlineStr">
        <is>
          <t>real Thread.sleep to await elapsed time passing, flaky</t>
        </is>
      </c>
    </row>
    <row r="1202">
      <c r="A1202" t="inlineStr">
        <is>
          <t>moonset</t>
        </is>
      </c>
      <c r="B1202" t="inlineStr">
        <is>
          <t>/Users/manczg/Documents/development/moonset/core/Tests/MoonsetCoreTests/Domain/Entities/SleepTimerTests.swift</t>
        </is>
      </c>
      <c r="C1202" t="inlineStr">
        <is>
          <t>tests-04</t>
        </is>
      </c>
      <c r="D1202" t="n">
        <v>338</v>
      </c>
      <c r="E1202" t="inlineStr">
        <is>
          <t>TP</t>
        </is>
      </c>
      <c r="F1202" t="inlineStr">
        <is>
          <t>real Thread.sleep to await elapsed time passing, flaky</t>
        </is>
      </c>
    </row>
    <row r="1203">
      <c r="A1203" t="inlineStr">
        <is>
          <t>moonset</t>
        </is>
      </c>
      <c r="B1203" t="inlineStr">
        <is>
          <t>/Users/manczg/Documents/development/moonset/core/Tests/MoonsetCoreTests/Domain/Entities/SleepTimerTests.swift</t>
        </is>
      </c>
      <c r="C1203" t="inlineStr">
        <is>
          <t>tests-04</t>
        </is>
      </c>
      <c r="D1203" t="n">
        <v>343</v>
      </c>
      <c r="E1203" t="inlineStr">
        <is>
          <t>TP</t>
        </is>
      </c>
      <c r="F1203" t="inlineStr">
        <is>
          <t>real Thread.sleep to await elapsed time passing, flaky</t>
        </is>
      </c>
    </row>
    <row r="1204">
      <c r="A1204" t="inlineStr">
        <is>
          <t>moonset</t>
        </is>
      </c>
      <c r="B1204" t="inlineStr">
        <is>
          <t>/Users/manczg/Documents/development/moonset/core/Tests/MoonsetCoreTests/Domain/Entities/SleepTimerTests.swift</t>
        </is>
      </c>
      <c r="C1204" t="inlineStr">
        <is>
          <t>tests-04</t>
        </is>
      </c>
      <c r="D1204" t="n">
        <v>368</v>
      </c>
      <c r="E1204" t="inlineStr">
        <is>
          <t>TP</t>
        </is>
      </c>
      <c r="F1204" t="inlineStr">
        <is>
          <t>real Thread.sleep to await elapsed time passing, flaky</t>
        </is>
      </c>
    </row>
    <row r="1205">
      <c r="A1205" t="inlineStr">
        <is>
          <t>moonset</t>
        </is>
      </c>
      <c r="B1205" t="inlineStr">
        <is>
          <t>/Users/manczg/Documents/development/moonset/core/Tests/MoonsetCoreTests/Domain/Entities/SleepTimerTests.swift</t>
        </is>
      </c>
      <c r="C1205" t="inlineStr">
        <is>
          <t>tests-04</t>
        </is>
      </c>
      <c r="D1205" t="n">
        <v>394</v>
      </c>
      <c r="E1205" t="inlineStr">
        <is>
          <t>TP</t>
        </is>
      </c>
      <c r="F1205" t="inlineStr">
        <is>
          <t>real Thread.sleep to await elapsed time passing, flaky</t>
        </is>
      </c>
    </row>
    <row r="1206">
      <c r="A1206" t="inlineStr">
        <is>
          <t>moonset</t>
        </is>
      </c>
      <c r="B1206" t="inlineStr">
        <is>
          <t>/Users/manczg/Documents/development/moonset/core/Tests/MoonsetCoreTests/Domain/Entities/SleepTimerTests.swift</t>
        </is>
      </c>
      <c r="C1206" t="inlineStr">
        <is>
          <t>tests-04</t>
        </is>
      </c>
      <c r="D1206" t="n">
        <v>405</v>
      </c>
      <c r="E1206" t="inlineStr">
        <is>
          <t>TP</t>
        </is>
      </c>
      <c r="F1206" t="inlineStr">
        <is>
          <t>real Thread.sleep to await elapsed time passing, flaky</t>
        </is>
      </c>
    </row>
    <row r="1207">
      <c r="A1207" t="inlineStr">
        <is>
          <t>moonset</t>
        </is>
      </c>
      <c r="B1207" t="inlineStr">
        <is>
          <t>/Users/manczg/Documents/development/moonset/core/Tests/MoonsetCoreTests/Domain/Entities/SleepTimerTests.swift</t>
        </is>
      </c>
      <c r="C1207" t="inlineStr">
        <is>
          <t>tests-04</t>
        </is>
      </c>
      <c r="D1207" t="n">
        <v>455</v>
      </c>
      <c r="E1207" t="inlineStr">
        <is>
          <t>TP</t>
        </is>
      </c>
      <c r="F1207" t="inlineStr">
        <is>
          <t>real Thread.sleep to await elapsed time passing, flaky</t>
        </is>
      </c>
    </row>
    <row r="1208">
      <c r="A1208" t="inlineStr">
        <is>
          <t>moonset</t>
        </is>
      </c>
      <c r="B1208" t="inlineStr">
        <is>
          <t>/Users/manczg/Documents/development/moonset/core/Tests/MoonsetCoreTests/Domain/Entities/SleepTimerTests.swift</t>
        </is>
      </c>
      <c r="C1208" t="inlineStr">
        <is>
          <t>tests-04</t>
        </is>
      </c>
      <c r="D1208" t="n">
        <v>460</v>
      </c>
      <c r="E1208" t="inlineStr">
        <is>
          <t>TP</t>
        </is>
      </c>
      <c r="F1208" t="inlineStr">
        <is>
          <t>real Thread.sleep to await elapsed time passing, flaky</t>
        </is>
      </c>
    </row>
    <row r="1209">
      <c r="A1209" t="inlineStr">
        <is>
          <t>moonset</t>
        </is>
      </c>
      <c r="B1209" t="inlineStr">
        <is>
          <t>/Users/manczg/Documents/development/moonset/core/Tests/MoonsetCoreTests/Domain/Entities/SleepTimerTests.swift</t>
        </is>
      </c>
      <c r="C1209" t="inlineStr">
        <is>
          <t>tests-04</t>
        </is>
      </c>
      <c r="D1209" t="n">
        <v>477</v>
      </c>
      <c r="E1209" t="inlineStr">
        <is>
          <t>TP</t>
        </is>
      </c>
      <c r="F1209" t="inlineStr">
        <is>
          <t>real Thread.sleep to await elapsed time passing, flaky</t>
        </is>
      </c>
    </row>
    <row r="1210">
      <c r="A1210" t="inlineStr">
        <is>
          <t>moonset</t>
        </is>
      </c>
      <c r="B1210" t="inlineStr">
        <is>
          <t>/Users/manczg/Documents/development/moonset/core/Tests/MoonsetCoreTests/Domain/Entities/SleepTimerTests.swift</t>
        </is>
      </c>
      <c r="C1210" t="inlineStr">
        <is>
          <t>tests-04</t>
        </is>
      </c>
      <c r="D1210" t="n">
        <v>481</v>
      </c>
      <c r="E1210" t="inlineStr">
        <is>
          <t>TP</t>
        </is>
      </c>
      <c r="F1210" t="inlineStr">
        <is>
          <t>real Thread.sleep to await elapsed time passing, flaky</t>
        </is>
      </c>
    </row>
    <row r="1211">
      <c r="A1211" t="inlineStr">
        <is>
          <t>moonset</t>
        </is>
      </c>
      <c r="B1211" t="inlineStr">
        <is>
          <t>/Users/manczg/Documents/development/moonset/core/Tests/MoonsetCoreTests/Domain/Entities/SleepTimerTests.swift</t>
        </is>
      </c>
      <c r="C1211" t="inlineStr">
        <is>
          <t>tests-04</t>
        </is>
      </c>
      <c r="D1211" t="n">
        <v>485</v>
      </c>
      <c r="E1211" t="inlineStr">
        <is>
          <t>TP</t>
        </is>
      </c>
      <c r="F1211" t="inlineStr">
        <is>
          <t>real Thread.sleep to await elapsed time passing, flaky</t>
        </is>
      </c>
    </row>
    <row r="1212">
      <c r="A1212" t="inlineStr">
        <is>
          <t>moonset</t>
        </is>
      </c>
      <c r="B1212" t="inlineStr">
        <is>
          <t>/Users/manczg/Documents/development/moonset/core/Tests/MoonsetCoreTests/Domain/Entities/SleepTimerTests.swift</t>
        </is>
      </c>
      <c r="C1212" t="inlineStr">
        <is>
          <t>tests-04</t>
        </is>
      </c>
      <c r="D1212" t="n">
        <v>546</v>
      </c>
      <c r="E1212" t="inlineStr">
        <is>
          <t>TP</t>
        </is>
      </c>
      <c r="F1212" t="inlineStr">
        <is>
          <t>Date() drives assertions about a time-dependent subject (lastStartDate), not incidental</t>
        </is>
      </c>
    </row>
    <row r="1213">
      <c r="A1213" t="inlineStr">
        <is>
          <t>moonset</t>
        </is>
      </c>
      <c r="B1213" t="inlineStr">
        <is>
          <t>/Users/manczg/Documents/development/moonset/core/Tests/MoonsetCoreTests/Domain/Entities/SleepTimerTests.swift</t>
        </is>
      </c>
      <c r="C1213" t="inlineStr">
        <is>
          <t>tests-04</t>
        </is>
      </c>
      <c r="D1213" t="n">
        <v>550</v>
      </c>
      <c r="E1213" t="inlineStr">
        <is>
          <t>TP</t>
        </is>
      </c>
      <c r="F1213" t="inlineStr">
        <is>
          <t>Date() drives assertions about a time-dependent subject (lastStartDate), not incidental</t>
        </is>
      </c>
    </row>
    <row r="1214">
      <c r="A1214" t="inlineStr">
        <is>
          <t>moonset</t>
        </is>
      </c>
      <c r="B1214" t="inlineStr">
        <is>
          <t>/Users/manczg/Documents/development/moonset/core/Tests/MoonsetCoreTests/Domain/Entities/SleepTimerTests.swift</t>
        </is>
      </c>
      <c r="C1214" t="inlineStr">
        <is>
          <t>tests-04</t>
        </is>
      </c>
      <c r="D1214" t="n">
        <v>591</v>
      </c>
      <c r="E1214" t="inlineStr">
        <is>
          <t>TP</t>
        </is>
      </c>
      <c r="F1214" t="inlineStr">
        <is>
          <t>real Thread.sleep to await elapsed time passing, flaky</t>
        </is>
      </c>
    </row>
    <row r="1215">
      <c r="A1215" t="inlineStr">
        <is>
          <t>moonset</t>
        </is>
      </c>
      <c r="B1215" t="inlineStr">
        <is>
          <t>/Users/manczg/Documents/development/moonset/core/Tests/MoonsetCoreTests/Domain/Entities/SleepTimerTests.swift</t>
        </is>
      </c>
      <c r="C1215" t="inlineStr">
        <is>
          <t>tests-04</t>
        </is>
      </c>
      <c r="D1215" t="n">
        <v>598</v>
      </c>
      <c r="E1215" t="inlineStr">
        <is>
          <t>TP</t>
        </is>
      </c>
      <c r="F1215" t="inlineStr">
        <is>
          <t>real Thread.sleep to await elapsed time passing, flaky</t>
        </is>
      </c>
    </row>
    <row r="1216">
      <c r="A1216" t="inlineStr">
        <is>
          <t>financialwell</t>
        </is>
      </c>
      <c r="B1216" t="inlineStr">
        <is>
          <t>/Users/manczg/Documents/development/financialwell/FinancialWell/Views/AddTransactionViewController.swift</t>
        </is>
      </c>
      <c r="C1216" t="inlineStr">
        <is>
          <t>arch-08</t>
        </is>
      </c>
      <c r="D1216" t="n">
        <v>78</v>
      </c>
      <c r="E1216" t="inlineStr">
        <is>
          <t>TP</t>
        </is>
      </c>
      <c r="F1216" t="inlineStr">
        <is>
          <t>ModelManager.shared reached from business logic in viewDidLoad</t>
        </is>
      </c>
    </row>
    <row r="1217">
      <c r="A1217" t="inlineStr">
        <is>
          <t>financialwell</t>
        </is>
      </c>
      <c r="B1217" t="inlineStr">
        <is>
          <t>/Users/manczg/Documents/development/financialwell/FinancialWell/Views/AddTransactionViewController.swift</t>
        </is>
      </c>
      <c r="C1217" t="inlineStr">
        <is>
          <t>arch-08</t>
        </is>
      </c>
      <c r="D1217" t="n">
        <v>577</v>
      </c>
      <c r="E1217" t="inlineStr">
        <is>
          <t>TP</t>
        </is>
      </c>
      <c r="F1217" t="inlineStr">
        <is>
          <t>StoreManager.shared reached from segue business logic</t>
        </is>
      </c>
    </row>
    <row r="1218">
      <c r="A1218" t="inlineStr">
        <is>
          <t>financialwell</t>
        </is>
      </c>
      <c r="B1218" t="inlineStr">
        <is>
          <t>/Users/manczg/Documents/development/financialwell/FinancialWell/Views/AddTransactionViewController.swift</t>
        </is>
      </c>
      <c r="C1218" t="inlineStr">
        <is>
          <t>arch-08</t>
        </is>
      </c>
      <c r="D1218" t="n">
        <v>610</v>
      </c>
      <c r="E1218" t="inlineStr">
        <is>
          <t>TP</t>
        </is>
      </c>
      <c r="F1218" t="inlineStr">
        <is>
          <t>StoreManager.shared reached from shouldPerformSegue business logic</t>
        </is>
      </c>
    </row>
    <row r="1219">
      <c r="A1219" t="inlineStr">
        <is>
          <t>financialwell</t>
        </is>
      </c>
      <c r="B1219" t="inlineStr">
        <is>
          <t>/Users/manczg/Documents/development/financialwell/FinancialWell/Views/AddTransactionViewController.swift</t>
        </is>
      </c>
      <c r="C1219" t="inlineStr">
        <is>
          <t>safety-02</t>
        </is>
      </c>
      <c r="D1219" t="n">
        <v>243</v>
      </c>
      <c r="E1219" t="inlineStr">
        <is>
          <t>TP</t>
        </is>
      </c>
      <c r="F1219" t="inlineStr">
        <is>
          <t>force unwrap of optional UITextField.text</t>
        </is>
      </c>
    </row>
    <row r="1220">
      <c r="A1220" t="inlineStr">
        <is>
          <t>financialwell</t>
        </is>
      </c>
      <c r="B1220" t="inlineStr">
        <is>
          <t>/Users/manczg/Documents/development/financialwell/FinancialWell/Views/AddTransactionViewController.swift</t>
        </is>
      </c>
      <c r="C1220" t="inlineStr">
        <is>
          <t>safety-02</t>
        </is>
      </c>
      <c r="D1220" t="n">
        <v>417</v>
      </c>
      <c r="E1220" t="inlineStr">
        <is>
          <t>TP</t>
        </is>
      </c>
      <c r="F1220" t="inlineStr">
        <is>
          <t>force unwrap of optional UITextField.text</t>
        </is>
      </c>
    </row>
    <row r="1221">
      <c r="A1221" t="inlineStr">
        <is>
          <t>financialwell</t>
        </is>
      </c>
      <c r="B1221" t="inlineStr">
        <is>
          <t>/Users/manczg/Documents/development/financialwell/FinancialWell/Views/AddTransactionViewController.swift</t>
        </is>
      </c>
      <c r="C1221" t="inlineStr">
        <is>
          <t>safety-02</t>
        </is>
      </c>
      <c r="D1221" t="n">
        <v>420</v>
      </c>
      <c r="E1221" t="inlineStr">
        <is>
          <t>TP</t>
        </is>
      </c>
      <c r="F1221" t="inlineStr">
        <is>
          <t>force unwrap of optional UITextField.text</t>
        </is>
      </c>
    </row>
    <row r="1222">
      <c r="A1222" t="inlineStr">
        <is>
          <t>financialwell</t>
        </is>
      </c>
      <c r="B1222" t="inlineStr">
        <is>
          <t>/Users/manczg/Documents/development/financialwell/FinancialWell/Views/AddTransactionViewController.swift</t>
        </is>
      </c>
      <c r="C1222" t="inlineStr">
        <is>
          <t>safety-02</t>
        </is>
      </c>
      <c r="D1222" t="n">
        <v>528</v>
      </c>
      <c r="E1222" t="inlineStr">
        <is>
          <t>TP</t>
        </is>
      </c>
      <c r="F1222" t="inlineStr">
        <is>
          <t>force unwrap of optional array element then force cast</t>
        </is>
      </c>
    </row>
    <row r="1223">
      <c r="A1223" t="inlineStr">
        <is>
          <t>financialwell</t>
        </is>
      </c>
      <c r="B1223" t="inlineStr">
        <is>
          <t>/Users/manczg/Documents/development/financialwell/FinancialWell/Views/AddTransactionViewController.swift</t>
        </is>
      </c>
      <c r="C1223" t="inlineStr">
        <is>
          <t>safety-02</t>
        </is>
      </c>
      <c r="D1223" t="n">
        <v>549</v>
      </c>
      <c r="E1223" t="inlineStr">
        <is>
          <t>TP</t>
        </is>
      </c>
      <c r="F1223" t="inlineStr">
        <is>
          <t>force cast of segue.destination</t>
        </is>
      </c>
    </row>
    <row r="1224">
      <c r="A1224" t="inlineStr">
        <is>
          <t>financialwell</t>
        </is>
      </c>
      <c r="B1224" t="inlineStr">
        <is>
          <t>/Users/manczg/Documents/development/financialwell/FinancialWell/Views/AddTransactionViewController.swift</t>
        </is>
      </c>
      <c r="C1224" t="inlineStr">
        <is>
          <t>safety-02</t>
        </is>
      </c>
      <c r="D1224" t="n">
        <v>559</v>
      </c>
      <c r="E1224" t="inlineStr">
        <is>
          <t>TP</t>
        </is>
      </c>
      <c r="F1224" t="inlineStr">
        <is>
          <t>force cast of segue.destination</t>
        </is>
      </c>
    </row>
    <row r="1225">
      <c r="A1225" t="inlineStr">
        <is>
          <t>financialwell</t>
        </is>
      </c>
      <c r="B1225" t="inlineStr">
        <is>
          <t>/Users/manczg/Documents/development/financialwell/FinancialWell/Views/AddTransactionViewController.swift</t>
        </is>
      </c>
      <c r="C1225" t="inlineStr">
        <is>
          <t>safety-02</t>
        </is>
      </c>
      <c r="D1225" t="n">
        <v>565</v>
      </c>
      <c r="E1225" t="inlineStr">
        <is>
          <t>TP</t>
        </is>
      </c>
      <c r="F1225" t="inlineStr">
        <is>
          <t>force cast of segue.destination</t>
        </is>
      </c>
    </row>
    <row r="1226">
      <c r="A1226" t="inlineStr">
        <is>
          <t>financialwell</t>
        </is>
      </c>
      <c r="B1226" t="inlineStr">
        <is>
          <t>/Users/manczg/Documents/development/financialwell/FinancialWell/Views/AddTransactionViewController.swift</t>
        </is>
      </c>
      <c r="C1226" t="inlineStr">
        <is>
          <t>safety-02</t>
        </is>
      </c>
      <c r="D1226" t="n">
        <v>571</v>
      </c>
      <c r="E1226" t="inlineStr">
        <is>
          <t>TP</t>
        </is>
      </c>
      <c r="F1226" t="inlineStr">
        <is>
          <t>force cast of segue.destination</t>
        </is>
      </c>
    </row>
    <row r="1227">
      <c r="A1227" t="inlineStr">
        <is>
          <t>financialwell</t>
        </is>
      </c>
      <c r="B1227" t="inlineStr">
        <is>
          <t>/Users/manczg/Documents/development/financialwell/FinancialWell/Views/AddTransactionViewController.swift</t>
        </is>
      </c>
      <c r="C1227" t="inlineStr">
        <is>
          <t>safety-02</t>
        </is>
      </c>
      <c r="D1227" t="n">
        <v>582</v>
      </c>
      <c r="E1227" t="inlineStr">
        <is>
          <t>TP</t>
        </is>
      </c>
      <c r="F1227" t="inlineStr">
        <is>
          <t>force cast of segue.destination</t>
        </is>
      </c>
    </row>
    <row r="1228">
      <c r="A1228" t="inlineStr">
        <is>
          <t>financialwell</t>
        </is>
      </c>
      <c r="B1228" t="inlineStr">
        <is>
          <t>/Users/manczg/Documents/development/financialwell/FinancialWell/Views/AddTransactionViewController.swift</t>
        </is>
      </c>
      <c r="C1228" t="inlineStr">
        <is>
          <t>safety-02</t>
        </is>
      </c>
      <c r="D1228" t="n">
        <v>587</v>
      </c>
      <c r="E1228" t="inlineStr">
        <is>
          <t>TP</t>
        </is>
      </c>
      <c r="F1228" t="inlineStr">
        <is>
          <t>force cast of segue.destination</t>
        </is>
      </c>
    </row>
    <row r="1229">
      <c r="A1229" t="inlineStr">
        <is>
          <t>financialwell</t>
        </is>
      </c>
      <c r="B1229" t="inlineStr">
        <is>
          <t>/Users/manczg/Documents/development/financialwell/FinancialWell/Views/AddTransactionViewController.swift</t>
        </is>
      </c>
      <c r="C1229" t="inlineStr">
        <is>
          <t>safety-02</t>
        </is>
      </c>
      <c r="D1229" t="n">
        <v>593</v>
      </c>
      <c r="E1229" t="inlineStr">
        <is>
          <t>TP</t>
        </is>
      </c>
      <c r="F1229" t="inlineStr">
        <is>
          <t>force cast of segue.destination</t>
        </is>
      </c>
    </row>
    <row r="1230">
      <c r="A1230" t="inlineStr">
        <is>
          <t>financialwell</t>
        </is>
      </c>
      <c r="B1230" t="inlineStr">
        <is>
          <t>/Users/manczg/Documents/development/financialwell/FinancialWell/Views/AddTransactionViewController.swift</t>
        </is>
      </c>
      <c r="C1230" t="inlineStr">
        <is>
          <t>safety-02</t>
        </is>
      </c>
      <c r="D1230" t="n">
        <v>599</v>
      </c>
      <c r="E1230" t="inlineStr">
        <is>
          <t>TP</t>
        </is>
      </c>
      <c r="F1230" t="inlineStr">
        <is>
          <t>force cast of segue.destination</t>
        </is>
      </c>
    </row>
    <row r="1231">
      <c r="A1231" t="inlineStr">
        <is>
          <t>financialwell</t>
        </is>
      </c>
      <c r="B1231" t="inlineStr">
        <is>
          <t>/Users/manczg/Documents/development/financialwell/FinancialWell/Views/AddTransactionViewController.swift</t>
        </is>
      </c>
      <c r="C1231" t="inlineStr">
        <is>
          <t>smells-03</t>
        </is>
      </c>
      <c r="D1231" t="n">
        <v>329</v>
      </c>
      <c r="E1231" t="inlineStr">
        <is>
          <t>FP</t>
        </is>
      </c>
      <c r="F1231" t="inlineStr">
        <is>
          <t>override of fixed UIViewController viewWillAppear signature</t>
        </is>
      </c>
    </row>
    <row r="1232">
      <c r="A1232" t="inlineStr">
        <is>
          <t>financialwell</t>
        </is>
      </c>
      <c r="B1232" t="inlineStr">
        <is>
          <t>/Users/manczg/Documents/development/financialwell/FinancialWell/Views/AddTransactionViewController.swift</t>
        </is>
      </c>
      <c r="C1232" t="inlineStr">
        <is>
          <t>smells-06</t>
        </is>
      </c>
      <c r="D1232" t="n">
        <v>131</v>
      </c>
      <c r="E1232" t="inlineStr">
        <is>
          <t>TP</t>
        </is>
      </c>
      <c r="F1232" t="inlineStr">
        <is>
          <t>commented-out setTitleColor call left in code</t>
        </is>
      </c>
    </row>
    <row r="1233">
      <c r="A1233" t="inlineStr">
        <is>
          <t>financialwell</t>
        </is>
      </c>
      <c r="B1233" t="inlineStr">
        <is>
          <t>/Users/manczg/Documents/development/financialwell/FinancialWell/Views/AddTransactionViewController.swift</t>
        </is>
      </c>
      <c r="C1233" t="inlineStr">
        <is>
          <t>smells-10</t>
        </is>
      </c>
      <c r="D1233" t="n">
        <v>78</v>
      </c>
      <c r="E1233" t="inlineStr">
        <is>
          <t>TP</t>
        </is>
      </c>
      <c r="F1233" t="inlineStr">
        <is>
          <t>singleton reach-through into collaborator's collaborator</t>
        </is>
      </c>
    </row>
    <row r="1234">
      <c r="A1234" t="inlineStr">
        <is>
          <t>financialwell</t>
        </is>
      </c>
      <c r="B1234" t="inlineStr">
        <is>
          <t>/Users/manczg/Documents/development/financialwell/FinancialWell/Views/AddTransactionViewController.swift</t>
        </is>
      </c>
      <c r="C1234" t="inlineStr">
        <is>
          <t>smells-10</t>
        </is>
      </c>
      <c r="D1234" t="n">
        <v>94</v>
      </c>
      <c r="E1234" t="inlineStr">
        <is>
          <t>FP</t>
        </is>
      </c>
      <c r="F1234" t="inlineStr">
        <is>
          <t>namespaced constant chain Theme.Application.NavigationButton.cgColor</t>
        </is>
      </c>
    </row>
    <row r="1235">
      <c r="A1235" t="inlineStr">
        <is>
          <t>financialwell</t>
        </is>
      </c>
      <c r="B1235" t="inlineStr">
        <is>
          <t>/Users/manczg/Documents/development/financialwell/FinancialWell/Views/AddTransactionViewController.swift</t>
        </is>
      </c>
      <c r="C1235" t="inlineStr">
        <is>
          <t>smells-10</t>
        </is>
      </c>
      <c r="D1235" t="n">
        <v>96</v>
      </c>
      <c r="E1235" t="inlineStr">
        <is>
          <t>FP</t>
        </is>
      </c>
      <c r="F1235" t="inlineStr">
        <is>
          <t>namespaced constant chain Theme.Color.DarkGrayOneThird.cgColor</t>
        </is>
      </c>
    </row>
    <row r="1236">
      <c r="A1236" t="inlineStr">
        <is>
          <t>financialwell</t>
        </is>
      </c>
      <c r="B1236" t="inlineStr">
        <is>
          <t>/Users/manczg/Documents/development/financialwell/FinancialWell/Views/AddTransactionViewController.swift</t>
        </is>
      </c>
      <c r="C1236" t="inlineStr">
        <is>
          <t>smells-10</t>
        </is>
      </c>
      <c r="D1236" t="n">
        <v>141</v>
      </c>
      <c r="E1236" t="inlineStr">
        <is>
          <t>FP</t>
        </is>
      </c>
      <c r="F1236" t="inlineStr">
        <is>
          <t>UIKit framework property chain, not a domain Demeter violation</t>
        </is>
      </c>
    </row>
    <row r="1237">
      <c r="A1237" t="inlineStr">
        <is>
          <t>financialwell</t>
        </is>
      </c>
      <c r="B1237" t="inlineStr">
        <is>
          <t>/Users/manczg/Documents/development/financialwell/FinancialWell/Views/AddTransactionViewController.swift</t>
        </is>
      </c>
      <c r="C1237" t="inlineStr">
        <is>
          <t>smells-10</t>
        </is>
      </c>
      <c r="D1237" t="n">
        <v>182</v>
      </c>
      <c r="E1237" t="inlineStr">
        <is>
          <t>FP</t>
        </is>
      </c>
      <c r="F1237" t="inlineStr">
        <is>
          <t>UIKit framework property chain, matches dismissed cell.contentView pattern</t>
        </is>
      </c>
    </row>
    <row r="1238">
      <c r="A1238" t="inlineStr">
        <is>
          <t>financialwell</t>
        </is>
      </c>
      <c r="B1238" t="inlineStr">
        <is>
          <t>/Users/manczg/Documents/development/financialwell/FinancialWell/Views/AddTransactionViewController.swift</t>
        </is>
      </c>
      <c r="C1238" t="inlineStr">
        <is>
          <t>solid-06</t>
        </is>
      </c>
      <c r="D1238" t="n">
        <v>16</v>
      </c>
      <c r="E1238" t="inlineStr">
        <is>
          <t>TP</t>
        </is>
      </c>
      <c r="F1238" t="inlineStr">
        <is>
          <t>non-private IBOutlet on non-data-holder view controller</t>
        </is>
      </c>
    </row>
    <row r="1239">
      <c r="A1239" t="inlineStr">
        <is>
          <t>financialwell</t>
        </is>
      </c>
      <c r="B1239" t="inlineStr">
        <is>
          <t>/Users/manczg/Documents/development/financialwell/FinancialWell/Views/AddTransactionViewController.swift</t>
        </is>
      </c>
      <c r="C1239" t="inlineStr">
        <is>
          <t>solid-06</t>
        </is>
      </c>
      <c r="D1239" t="n">
        <v>17</v>
      </c>
      <c r="E1239" t="inlineStr">
        <is>
          <t>TP</t>
        </is>
      </c>
      <c r="F1239" t="inlineStr">
        <is>
          <t>non-private IBOutlet on non-data-holder view controller</t>
        </is>
      </c>
    </row>
    <row r="1240">
      <c r="A1240" t="inlineStr">
        <is>
          <t>financialwell</t>
        </is>
      </c>
      <c r="B1240" t="inlineStr">
        <is>
          <t>/Users/manczg/Documents/development/financialwell/FinancialWell/Views/AddTransactionViewController.swift</t>
        </is>
      </c>
      <c r="C1240" t="inlineStr">
        <is>
          <t>solid-06</t>
        </is>
      </c>
      <c r="D1240" t="n">
        <v>18</v>
      </c>
      <c r="E1240" t="inlineStr">
        <is>
          <t>TP</t>
        </is>
      </c>
      <c r="F1240" t="inlineStr">
        <is>
          <t>non-private IBOutlet on non-data-holder view controller</t>
        </is>
      </c>
    </row>
    <row r="1241">
      <c r="A1241" t="inlineStr">
        <is>
          <t>financialwell</t>
        </is>
      </c>
      <c r="B1241" t="inlineStr">
        <is>
          <t>/Users/manczg/Documents/development/financialwell/FinancialWell/Views/AddTransactionViewController.swift</t>
        </is>
      </c>
      <c r="C1241" t="inlineStr">
        <is>
          <t>solid-06</t>
        </is>
      </c>
      <c r="D1241" t="n">
        <v>19</v>
      </c>
      <c r="E1241" t="inlineStr">
        <is>
          <t>TP</t>
        </is>
      </c>
      <c r="F1241" t="inlineStr">
        <is>
          <t>non-private IBOutlet on non-data-holder view controller</t>
        </is>
      </c>
    </row>
    <row r="1242">
      <c r="A1242" t="inlineStr">
        <is>
          <t>financialwell</t>
        </is>
      </c>
      <c r="B1242" t="inlineStr">
        <is>
          <t>/Users/manczg/Documents/development/financialwell/FinancialWell/Views/AddTransactionViewController.swift</t>
        </is>
      </c>
      <c r="C1242" t="inlineStr">
        <is>
          <t>solid-06</t>
        </is>
      </c>
      <c r="D1242" t="n">
        <v>20</v>
      </c>
      <c r="E1242" t="inlineStr">
        <is>
          <t>TP</t>
        </is>
      </c>
      <c r="F1242" t="inlineStr">
        <is>
          <t>non-private IBOutlet on non-data-holder view controller</t>
        </is>
      </c>
    </row>
    <row r="1243">
      <c r="A1243" t="inlineStr">
        <is>
          <t>financialwell</t>
        </is>
      </c>
      <c r="B1243" t="inlineStr">
        <is>
          <t>/Users/manczg/Documents/development/financialwell/FinancialWell/Views/AddTransactionViewController.swift</t>
        </is>
      </c>
      <c r="C1243" t="inlineStr">
        <is>
          <t>solid-06</t>
        </is>
      </c>
      <c r="D1243" t="n">
        <v>21</v>
      </c>
      <c r="E1243" t="inlineStr">
        <is>
          <t>TP</t>
        </is>
      </c>
      <c r="F1243" t="inlineStr">
        <is>
          <t>non-private IBOutlet on non-data-holder view controller</t>
        </is>
      </c>
    </row>
    <row r="1244">
      <c r="A1244" t="inlineStr">
        <is>
          <t>financialwell</t>
        </is>
      </c>
      <c r="B1244" t="inlineStr">
        <is>
          <t>/Users/manczg/Documents/development/financialwell/FinancialWell/Views/AddTransactionViewController.swift</t>
        </is>
      </c>
      <c r="C1244" t="inlineStr">
        <is>
          <t>solid-06</t>
        </is>
      </c>
      <c r="D1244" t="n">
        <v>22</v>
      </c>
      <c r="E1244" t="inlineStr">
        <is>
          <t>TP</t>
        </is>
      </c>
      <c r="F1244" t="inlineStr">
        <is>
          <t>non-private IBOutlet on non-data-holder view controller</t>
        </is>
      </c>
    </row>
    <row r="1245">
      <c r="A1245" t="inlineStr">
        <is>
          <t>financialwell</t>
        </is>
      </c>
      <c r="B1245" t="inlineStr">
        <is>
          <t>/Users/manczg/Documents/development/financialwell/FinancialWell/Views/AddTransactionViewController.swift</t>
        </is>
      </c>
      <c r="C1245" t="inlineStr">
        <is>
          <t>solid-06</t>
        </is>
      </c>
      <c r="D1245" t="n">
        <v>23</v>
      </c>
      <c r="E1245" t="inlineStr">
        <is>
          <t>TP</t>
        </is>
      </c>
      <c r="F1245" t="inlineStr">
        <is>
          <t>non-private IBOutlet on non-data-holder view controller</t>
        </is>
      </c>
    </row>
    <row r="1246">
      <c r="A1246" t="inlineStr">
        <is>
          <t>financialwell</t>
        </is>
      </c>
      <c r="B1246" t="inlineStr">
        <is>
          <t>/Users/manczg/Documents/development/financialwell/FinancialWell/Views/AddTransactionViewController.swift</t>
        </is>
      </c>
      <c r="C1246" t="inlineStr">
        <is>
          <t>solid-06</t>
        </is>
      </c>
      <c r="D1246" t="n">
        <v>24</v>
      </c>
      <c r="E1246" t="inlineStr">
        <is>
          <t>TP</t>
        </is>
      </c>
      <c r="F1246" t="inlineStr">
        <is>
          <t>non-private IBOutlet on non-data-holder view controller</t>
        </is>
      </c>
    </row>
    <row r="1247">
      <c r="A1247" t="inlineStr">
        <is>
          <t>financialwell</t>
        </is>
      </c>
      <c r="B1247" t="inlineStr">
        <is>
          <t>/Users/manczg/Documents/development/financialwell/FinancialWell/Views/AddTransactionViewController.swift</t>
        </is>
      </c>
      <c r="C1247" t="inlineStr">
        <is>
          <t>solid-06</t>
        </is>
      </c>
      <c r="D1247" t="n">
        <v>25</v>
      </c>
      <c r="E1247" t="inlineStr">
        <is>
          <t>TP</t>
        </is>
      </c>
      <c r="F1247" t="inlineStr">
        <is>
          <t>non-private IBOutlet on non-data-holder view controller</t>
        </is>
      </c>
    </row>
    <row r="1248">
      <c r="A1248" t="inlineStr">
        <is>
          <t>financialwell</t>
        </is>
      </c>
      <c r="B1248" t="inlineStr">
        <is>
          <t>/Users/manczg/Documents/development/financialwell/FinancialWell/Views/AddTransactionViewController.swift</t>
        </is>
      </c>
      <c r="C1248" t="inlineStr">
        <is>
          <t>solid-06</t>
        </is>
      </c>
      <c r="D1248" t="n">
        <v>26</v>
      </c>
      <c r="E1248" t="inlineStr">
        <is>
          <t>TP</t>
        </is>
      </c>
      <c r="F1248" t="inlineStr">
        <is>
          <t>non-private IBOutlet on non-data-holder view controller</t>
        </is>
      </c>
    </row>
    <row r="1249">
      <c r="A1249" t="inlineStr">
        <is>
          <t>financialwell</t>
        </is>
      </c>
      <c r="B1249" t="inlineStr">
        <is>
          <t>/Users/manczg/Documents/development/financialwell/FinancialWell/Views/AddTransactionViewController.swift</t>
        </is>
      </c>
      <c r="C1249" t="inlineStr">
        <is>
          <t>solid-06</t>
        </is>
      </c>
      <c r="D1249" t="n">
        <v>27</v>
      </c>
      <c r="E1249" t="inlineStr">
        <is>
          <t>TP</t>
        </is>
      </c>
      <c r="F1249" t="inlineStr">
        <is>
          <t>non-private IBOutlet on non-data-holder view controller</t>
        </is>
      </c>
    </row>
    <row r="1250">
      <c r="A1250" t="inlineStr">
        <is>
          <t>financialwell</t>
        </is>
      </c>
      <c r="B1250" t="inlineStr">
        <is>
          <t>/Users/manczg/Documents/development/financialwell/FinancialWell/Views/AddTransactionViewController.swift</t>
        </is>
      </c>
      <c r="C1250" t="inlineStr">
        <is>
          <t>solid-06</t>
        </is>
      </c>
      <c r="D1250" t="n">
        <v>28</v>
      </c>
      <c r="E1250" t="inlineStr">
        <is>
          <t>TP</t>
        </is>
      </c>
      <c r="F1250" t="inlineStr">
        <is>
          <t>non-private IBOutlet on non-data-holder view controller</t>
        </is>
      </c>
    </row>
    <row r="1251">
      <c r="A1251" t="inlineStr">
        <is>
          <t>financialwell</t>
        </is>
      </c>
      <c r="B1251" t="inlineStr">
        <is>
          <t>/Users/manczg/Documents/development/financialwell/FinancialWell/Views/AddTransactionViewController.swift</t>
        </is>
      </c>
      <c r="C1251" t="inlineStr">
        <is>
          <t>solid-06</t>
        </is>
      </c>
      <c r="D1251" t="n">
        <v>29</v>
      </c>
      <c r="E1251" t="inlineStr">
        <is>
          <t>TP</t>
        </is>
      </c>
      <c r="F1251" t="inlineStr">
        <is>
          <t>non-private IBOutlet on non-data-holder view controller</t>
        </is>
      </c>
    </row>
    <row r="1252">
      <c r="A1252" t="inlineStr">
        <is>
          <t>financialwell</t>
        </is>
      </c>
      <c r="B1252" t="inlineStr">
        <is>
          <t>/Users/manczg/Documents/development/financialwell/FinancialWell/Views/AddTransactionViewController.swift</t>
        </is>
      </c>
      <c r="C1252" t="inlineStr">
        <is>
          <t>solid-06</t>
        </is>
      </c>
      <c r="D1252" t="n">
        <v>30</v>
      </c>
      <c r="E1252" t="inlineStr">
        <is>
          <t>TP</t>
        </is>
      </c>
      <c r="F1252" t="inlineStr">
        <is>
          <t>non-private IBOutlet on non-data-holder view controller</t>
        </is>
      </c>
    </row>
    <row r="1253">
      <c r="A1253" t="inlineStr">
        <is>
          <t>financialwell</t>
        </is>
      </c>
      <c r="B1253" t="inlineStr">
        <is>
          <t>/Users/manczg/Documents/development/financialwell/FinancialWell/Views/AddTransactionViewController.swift</t>
        </is>
      </c>
      <c r="C1253" t="inlineStr">
        <is>
          <t>solid-06</t>
        </is>
      </c>
      <c r="D1253" t="n">
        <v>31</v>
      </c>
      <c r="E1253" t="inlineStr">
        <is>
          <t>TP</t>
        </is>
      </c>
      <c r="F1253" t="inlineStr">
        <is>
          <t>non-private IBOutlet on non-data-holder view controller</t>
        </is>
      </c>
    </row>
    <row r="1254">
      <c r="A1254" t="inlineStr">
        <is>
          <t>financialwell</t>
        </is>
      </c>
      <c r="B1254" t="inlineStr">
        <is>
          <t>/Users/manczg/Documents/development/financialwell/FinancialWell/Views/AddTransactionViewController.swift</t>
        </is>
      </c>
      <c r="C1254" t="inlineStr">
        <is>
          <t>solid-06</t>
        </is>
      </c>
      <c r="D1254" t="n">
        <v>32</v>
      </c>
      <c r="E1254" t="inlineStr">
        <is>
          <t>TP</t>
        </is>
      </c>
      <c r="F1254" t="inlineStr">
        <is>
          <t>non-private IBOutlet on non-data-holder view controller</t>
        </is>
      </c>
    </row>
    <row r="1255">
      <c r="A1255" t="inlineStr">
        <is>
          <t>financialwell</t>
        </is>
      </c>
      <c r="B1255" t="inlineStr">
        <is>
          <t>/Users/manczg/Documents/development/financialwell/FinancialWell/Views/AddTransactionViewController.swift</t>
        </is>
      </c>
      <c r="C1255" t="inlineStr">
        <is>
          <t>solid-06</t>
        </is>
      </c>
      <c r="D1255" t="n">
        <v>33</v>
      </c>
      <c r="E1255" t="inlineStr">
        <is>
          <t>TP</t>
        </is>
      </c>
      <c r="F1255" t="inlineStr">
        <is>
          <t>non-private IBOutlet on non-data-holder view controller</t>
        </is>
      </c>
    </row>
    <row r="1256">
      <c r="A1256" t="inlineStr">
        <is>
          <t>financialwell</t>
        </is>
      </c>
      <c r="B1256" t="inlineStr">
        <is>
          <t>/Users/manczg/Documents/development/financialwell/FinancialWell/Views/AddTransactionViewController.swift</t>
        </is>
      </c>
      <c r="C1256" t="inlineStr">
        <is>
          <t>solid-06</t>
        </is>
      </c>
      <c r="D1256" t="n">
        <v>34</v>
      </c>
      <c r="E1256" t="inlineStr">
        <is>
          <t>TP</t>
        </is>
      </c>
      <c r="F1256" t="inlineStr">
        <is>
          <t>non-private IBOutlet on non-data-holder view controller</t>
        </is>
      </c>
    </row>
    <row r="1257">
      <c r="A1257" t="inlineStr">
        <is>
          <t>financialwell</t>
        </is>
      </c>
      <c r="B1257" t="inlineStr">
        <is>
          <t>/Users/manczg/Documents/development/financialwell/FinancialWell/Views/AddTransactionViewController.swift</t>
        </is>
      </c>
      <c r="C1257" t="inlineStr">
        <is>
          <t>solid-06</t>
        </is>
      </c>
      <c r="D1257" t="n">
        <v>35</v>
      </c>
      <c r="E1257" t="inlineStr">
        <is>
          <t>TP</t>
        </is>
      </c>
      <c r="F1257" t="inlineStr">
        <is>
          <t>non-private IBOutlet on non-data-holder view controller</t>
        </is>
      </c>
    </row>
    <row r="1258">
      <c r="A1258" t="inlineStr">
        <is>
          <t>financialwell</t>
        </is>
      </c>
      <c r="B1258" t="inlineStr">
        <is>
          <t>/Users/manczg/Documents/development/financialwell/FinancialWell/Views/AddTransactionViewController.swift</t>
        </is>
      </c>
      <c r="C1258" t="inlineStr">
        <is>
          <t>solid-06</t>
        </is>
      </c>
      <c r="D1258" t="n">
        <v>36</v>
      </c>
      <c r="E1258" t="inlineStr">
        <is>
          <t>TP</t>
        </is>
      </c>
      <c r="F1258" t="inlineStr">
        <is>
          <t>non-private IBOutlet on non-data-holder view controller</t>
        </is>
      </c>
    </row>
    <row r="1259">
      <c r="A1259" t="inlineStr">
        <is>
          <t>financialwell</t>
        </is>
      </c>
      <c r="B1259" t="inlineStr">
        <is>
          <t>/Users/manczg/Documents/development/financialwell/FinancialWell/Views/AddTransactionViewController.swift</t>
        </is>
      </c>
      <c r="C1259" t="inlineStr">
        <is>
          <t>solid-06</t>
        </is>
      </c>
      <c r="D1259" t="n">
        <v>37</v>
      </c>
      <c r="E1259" t="inlineStr">
        <is>
          <t>TP</t>
        </is>
      </c>
      <c r="F1259" t="inlineStr">
        <is>
          <t>non-private IBOutlet on non-data-holder view controller</t>
        </is>
      </c>
    </row>
    <row r="1260">
      <c r="A1260" t="inlineStr">
        <is>
          <t>financialwell</t>
        </is>
      </c>
      <c r="B1260" t="inlineStr">
        <is>
          <t>/Users/manczg/Documents/development/financialwell/FinancialWell/Views/AddTransactionViewController.swift</t>
        </is>
      </c>
      <c r="C1260" t="inlineStr">
        <is>
          <t>solid-06</t>
        </is>
      </c>
      <c r="D1260" t="n">
        <v>38</v>
      </c>
      <c r="E1260" t="inlineStr">
        <is>
          <t>TP</t>
        </is>
      </c>
      <c r="F1260" t="inlineStr">
        <is>
          <t>non-private IBOutlet on non-data-holder view controller</t>
        </is>
      </c>
    </row>
    <row r="1261">
      <c r="A1261" t="inlineStr">
        <is>
          <t>financialwell</t>
        </is>
      </c>
      <c r="B1261" t="inlineStr">
        <is>
          <t>/Users/manczg/Documents/development/financialwell/FinancialWell/Views/AddTransactionViewController.swift</t>
        </is>
      </c>
      <c r="C1261" t="inlineStr">
        <is>
          <t>solid-06</t>
        </is>
      </c>
      <c r="D1261" t="n">
        <v>39</v>
      </c>
      <c r="E1261" t="inlineStr">
        <is>
          <t>TP</t>
        </is>
      </c>
      <c r="F1261" t="inlineStr">
        <is>
          <t>non-private IBOutlet on non-data-holder view controller</t>
        </is>
      </c>
    </row>
    <row r="1262">
      <c r="A1262" t="inlineStr">
        <is>
          <t>financialwell</t>
        </is>
      </c>
      <c r="B1262" t="inlineStr">
        <is>
          <t>/Users/manczg/Documents/development/financialwell/FinancialWell/Views/AddTransactionViewController.swift</t>
        </is>
      </c>
      <c r="C1262" t="inlineStr">
        <is>
          <t>solid-06</t>
        </is>
      </c>
      <c r="D1262" t="n">
        <v>40</v>
      </c>
      <c r="E1262" t="inlineStr">
        <is>
          <t>TP</t>
        </is>
      </c>
      <c r="F1262" t="inlineStr">
        <is>
          <t>non-private IBOutlet on non-data-holder view controller</t>
        </is>
      </c>
    </row>
    <row r="1263">
      <c r="A1263" t="inlineStr">
        <is>
          <t>financialwell</t>
        </is>
      </c>
      <c r="B1263" t="inlineStr">
        <is>
          <t>/Users/manczg/Documents/development/financialwell/FinancialWell/Views/AddTransactionViewController.swift</t>
        </is>
      </c>
      <c r="C1263" t="inlineStr">
        <is>
          <t>solid-06</t>
        </is>
      </c>
      <c r="D1263" t="n">
        <v>41</v>
      </c>
      <c r="E1263" t="inlineStr">
        <is>
          <t>TP</t>
        </is>
      </c>
      <c r="F1263" t="inlineStr">
        <is>
          <t>non-private IBOutlet on non-data-holder view controller</t>
        </is>
      </c>
    </row>
    <row r="1264">
      <c r="A1264" t="inlineStr">
        <is>
          <t>financialwell</t>
        </is>
      </c>
      <c r="B1264" t="inlineStr">
        <is>
          <t>/Users/manczg/Documents/development/financialwell/FinancialWell/Views/AddTransactionViewController.swift</t>
        </is>
      </c>
      <c r="C1264" t="inlineStr">
        <is>
          <t>solid-06</t>
        </is>
      </c>
      <c r="D1264" t="n">
        <v>42</v>
      </c>
      <c r="E1264" t="inlineStr">
        <is>
          <t>TP</t>
        </is>
      </c>
      <c r="F1264" t="inlineStr">
        <is>
          <t>non-private IBOutlet on non-data-holder view controller</t>
        </is>
      </c>
    </row>
    <row r="1265">
      <c r="A1265" t="inlineStr">
        <is>
          <t>financialwell</t>
        </is>
      </c>
      <c r="B1265" t="inlineStr">
        <is>
          <t>/Users/manczg/Documents/development/financialwell/FinancialWell/Views/AddTransactionViewController.swift</t>
        </is>
      </c>
      <c r="C1265" t="inlineStr">
        <is>
          <t>solid-06</t>
        </is>
      </c>
      <c r="D1265" t="n">
        <v>43</v>
      </c>
      <c r="E1265" t="inlineStr">
        <is>
          <t>TP</t>
        </is>
      </c>
      <c r="F1265" t="inlineStr">
        <is>
          <t>non-private IBOutlet on non-data-holder view controller</t>
        </is>
      </c>
    </row>
    <row r="1266">
      <c r="A1266" t="inlineStr">
        <is>
          <t>financialwell</t>
        </is>
      </c>
      <c r="B1266" t="inlineStr">
        <is>
          <t>/Users/manczg/Documents/development/financialwell/FinancialWell/Views/AddTransactionViewController.swift</t>
        </is>
      </c>
      <c r="C1266" t="inlineStr">
        <is>
          <t>solid-06</t>
        </is>
      </c>
      <c r="D1266" t="n">
        <v>44</v>
      </c>
      <c r="E1266" t="inlineStr">
        <is>
          <t>TP</t>
        </is>
      </c>
      <c r="F1266" t="inlineStr">
        <is>
          <t>non-private IBOutlet on non-data-holder view controller</t>
        </is>
      </c>
    </row>
    <row r="1267">
      <c r="A1267" t="inlineStr">
        <is>
          <t>financialwell</t>
        </is>
      </c>
      <c r="B1267" t="inlineStr">
        <is>
          <t>/Users/manczg/Documents/development/financialwell/FinancialWell/Views/AddTransactionViewController.swift</t>
        </is>
      </c>
      <c r="C1267" t="inlineStr">
        <is>
          <t>solid-06</t>
        </is>
      </c>
      <c r="D1267" t="n">
        <v>45</v>
      </c>
      <c r="E1267" t="inlineStr">
        <is>
          <t>TP</t>
        </is>
      </c>
      <c r="F1267" t="inlineStr">
        <is>
          <t>non-private IBOutlet on non-data-holder view controller</t>
        </is>
      </c>
    </row>
    <row r="1268">
      <c r="A1268" t="inlineStr">
        <is>
          <t>financialwell</t>
        </is>
      </c>
      <c r="B1268" t="inlineStr">
        <is>
          <t>/Users/manczg/Documents/development/financialwell/FinancialWell/Views/AddTransactionViewController.swift</t>
        </is>
      </c>
      <c r="C1268" t="inlineStr">
        <is>
          <t>solid-06</t>
        </is>
      </c>
      <c r="D1268" t="n">
        <v>46</v>
      </c>
      <c r="E1268" t="inlineStr">
        <is>
          <t>TP</t>
        </is>
      </c>
      <c r="F1268" t="inlineStr">
        <is>
          <t>non-private IBOutlet on non-data-holder view controller</t>
        </is>
      </c>
    </row>
    <row r="1269">
      <c r="A1269" t="inlineStr">
        <is>
          <t>financialwell</t>
        </is>
      </c>
      <c r="B1269" t="inlineStr">
        <is>
          <t>/Users/manczg/Documents/development/financialwell/FinancialWell/Views/AddTransactionViewController.swift</t>
        </is>
      </c>
      <c r="C1269" t="inlineStr">
        <is>
          <t>solid-06</t>
        </is>
      </c>
      <c r="D1269" t="n">
        <v>47</v>
      </c>
      <c r="E1269" t="inlineStr">
        <is>
          <t>TP</t>
        </is>
      </c>
      <c r="F1269" t="inlineStr">
        <is>
          <t>non-private IBOutlet on non-data-holder view controller</t>
        </is>
      </c>
    </row>
    <row r="1270">
      <c r="A1270" t="inlineStr">
        <is>
          <t>financialwell</t>
        </is>
      </c>
      <c r="B1270" t="inlineStr">
        <is>
          <t>/Users/manczg/Documents/development/financialwell/FinancialWell/Views/AddTransactionViewController.swift</t>
        </is>
      </c>
      <c r="C1270" t="inlineStr">
        <is>
          <t>solid-06</t>
        </is>
      </c>
      <c r="D1270" t="n">
        <v>48</v>
      </c>
      <c r="E1270" t="inlineStr">
        <is>
          <t>TP</t>
        </is>
      </c>
      <c r="F1270" t="inlineStr">
        <is>
          <t>non-private IBOutlet on non-data-holder view controller</t>
        </is>
      </c>
    </row>
    <row r="1271">
      <c r="A1271" t="inlineStr">
        <is>
          <t>financialwell</t>
        </is>
      </c>
      <c r="B1271" t="inlineStr">
        <is>
          <t>/Users/manczg/Documents/development/financialwell/FinancialWell/Views/AddTransactionViewController.swift</t>
        </is>
      </c>
      <c r="C1271" t="inlineStr">
        <is>
          <t>solid-06</t>
        </is>
      </c>
      <c r="D1271" t="n">
        <v>49</v>
      </c>
      <c r="E1271" t="inlineStr">
        <is>
          <t>TP</t>
        </is>
      </c>
      <c r="F1271" t="inlineStr">
        <is>
          <t>non-private IBOutlet on non-data-holder view controller</t>
        </is>
      </c>
    </row>
    <row r="1272">
      <c r="A1272" t="inlineStr">
        <is>
          <t>financialwell</t>
        </is>
      </c>
      <c r="B1272" t="inlineStr">
        <is>
          <t>/Users/manczg/Documents/development/financialwell/FinancialWell/Views/AddTransactionViewController.swift</t>
        </is>
      </c>
      <c r="C1272" t="inlineStr">
        <is>
          <t>solid-06</t>
        </is>
      </c>
      <c r="D1272" t="n">
        <v>50</v>
      </c>
      <c r="E1272" t="inlineStr">
        <is>
          <t>TP</t>
        </is>
      </c>
      <c r="F1272" t="inlineStr">
        <is>
          <t>non-private IBOutlet on non-data-holder view controller</t>
        </is>
      </c>
    </row>
    <row r="1273">
      <c r="A1273" t="inlineStr">
        <is>
          <t>financialwell</t>
        </is>
      </c>
      <c r="B1273" t="inlineStr">
        <is>
          <t>/Users/manczg/Documents/development/financialwell/FinancialWell/Views/AddTransactionViewController.swift</t>
        </is>
      </c>
      <c r="C1273" t="inlineStr">
        <is>
          <t>solid-06</t>
        </is>
      </c>
      <c r="D1273" t="n">
        <v>51</v>
      </c>
      <c r="E1273" t="inlineStr">
        <is>
          <t>TP</t>
        </is>
      </c>
      <c r="F1273" t="inlineStr">
        <is>
          <t>non-private IBOutlet on non-data-holder view controller</t>
        </is>
      </c>
    </row>
    <row r="1274">
      <c r="A1274" t="inlineStr">
        <is>
          <t>financialwell</t>
        </is>
      </c>
      <c r="B1274" t="inlineStr">
        <is>
          <t>/Users/manczg/Documents/development/financialwell/FinancialWell/Views/AddTransactionViewController.swift</t>
        </is>
      </c>
      <c r="C1274" t="inlineStr">
        <is>
          <t>solid-06</t>
        </is>
      </c>
      <c r="D1274" t="n">
        <v>54</v>
      </c>
      <c r="E1274" t="inlineStr">
        <is>
          <t>TP</t>
        </is>
      </c>
      <c r="F1274" t="inlineStr">
        <is>
          <t>non-private IBOutlet on non-data-holder view controller</t>
        </is>
      </c>
    </row>
    <row r="1275">
      <c r="A1275" t="inlineStr">
        <is>
          <t>financialwell</t>
        </is>
      </c>
      <c r="B1275" t="inlineStr">
        <is>
          <t>/Users/manczg/Documents/development/financialwell/FinancialWell/Views/AddTransactionViewController.swift</t>
        </is>
      </c>
      <c r="C1275" t="inlineStr">
        <is>
          <t>solid-06</t>
        </is>
      </c>
      <c r="D1275" t="n">
        <v>55</v>
      </c>
      <c r="E1275" t="inlineStr">
        <is>
          <t>TP</t>
        </is>
      </c>
      <c r="F1275" t="inlineStr">
        <is>
          <t>non-private IBOutlet on non-data-holder view controller</t>
        </is>
      </c>
    </row>
    <row r="1276">
      <c r="A1276" t="inlineStr">
        <is>
          <t>financialwell</t>
        </is>
      </c>
      <c r="B1276" t="inlineStr">
        <is>
          <t>/Users/manczg/Documents/development/financialwell/FinancialWell/Views/AddTransactionViewController.swift</t>
        </is>
      </c>
      <c r="C1276" t="inlineStr">
        <is>
          <t>solid-06</t>
        </is>
      </c>
      <c r="D1276" t="n">
        <v>56</v>
      </c>
      <c r="E1276" t="inlineStr">
        <is>
          <t>TP</t>
        </is>
      </c>
      <c r="F1276" t="inlineStr">
        <is>
          <t>non-private IBOutlet on non-data-holder view controller</t>
        </is>
      </c>
    </row>
    <row r="1277">
      <c r="A1277" t="inlineStr">
        <is>
          <t>financialwell</t>
        </is>
      </c>
      <c r="B1277" t="inlineStr">
        <is>
          <t>/Users/manczg/Documents/development/financialwell/FinancialWell/Views/AddTransactionViewController.swift</t>
        </is>
      </c>
      <c r="C1277" t="inlineStr">
        <is>
          <t>solid-06</t>
        </is>
      </c>
      <c r="D1277" t="n">
        <v>58</v>
      </c>
      <c r="E1277" t="inlineStr">
        <is>
          <t>TP</t>
        </is>
      </c>
      <c r="F1277" t="inlineStr">
        <is>
          <t>non-private IBOutlet on non-data-holder view controller</t>
        </is>
      </c>
    </row>
    <row r="1278">
      <c r="A1278" t="inlineStr">
        <is>
          <t>financialwell</t>
        </is>
      </c>
      <c r="B1278" t="inlineStr">
        <is>
          <t>/Users/manczg/Documents/development/financialwell/FinancialWell/Views/AddTransactionViewController.swift</t>
        </is>
      </c>
      <c r="C1278" t="inlineStr">
        <is>
          <t>solid-06</t>
        </is>
      </c>
      <c r="D1278" t="n">
        <v>59</v>
      </c>
      <c r="E1278" t="inlineStr">
        <is>
          <t>TP</t>
        </is>
      </c>
      <c r="F1278" t="inlineStr">
        <is>
          <t>public mutable missingContainerView field on non-data-holder class</t>
        </is>
      </c>
    </row>
    <row r="1279">
      <c r="A1279" t="inlineStr">
        <is>
          <t>financialwell</t>
        </is>
      </c>
      <c r="B1279" t="inlineStr">
        <is>
          <t>/Users/manczg/Documents/development/financialwell/FinancialWell/Views/AddTransactionViewController.swift</t>
        </is>
      </c>
      <c r="C1279" t="inlineStr">
        <is>
          <t>solid-06</t>
        </is>
      </c>
      <c r="D1279" t="n">
        <v>61</v>
      </c>
      <c r="E1279" t="inlineStr">
        <is>
          <t>TP</t>
        </is>
      </c>
      <c r="F1279" t="inlineStr">
        <is>
          <t>public mutable previousDate field on non-data-holder class</t>
        </is>
      </c>
    </row>
    <row r="1280">
      <c r="A1280" t="inlineStr">
        <is>
          <t>financialwell</t>
        </is>
      </c>
      <c r="B1280" t="inlineStr">
        <is>
          <t>/Users/manczg/Documents/development/financialwell/FinancialWell/Views/AddTransactionViewController.swift</t>
        </is>
      </c>
      <c r="C1280" t="inlineStr">
        <is>
          <t>solid-06</t>
        </is>
      </c>
      <c r="D1280" t="n">
        <v>66</v>
      </c>
      <c r="E1280" t="inlineStr">
        <is>
          <t>TP</t>
        </is>
      </c>
      <c r="F1280" t="inlineStr">
        <is>
          <t>public mutable dateString field on non-data-holder class</t>
        </is>
      </c>
    </row>
    <row r="1281">
      <c r="A1281" t="inlineStr">
        <is>
          <t>financialwell</t>
        </is>
      </c>
      <c r="B1281" t="inlineStr">
        <is>
          <t>/Users/manczg/Documents/development/financialwell/FinancialWell/Views/AddTransactionViewController.swift</t>
        </is>
      </c>
      <c r="C1281" t="inlineStr">
        <is>
          <t>solid-06</t>
        </is>
      </c>
      <c r="D1281" t="n">
        <v>68</v>
      </c>
      <c r="E1281" t="inlineStr">
        <is>
          <t>TP</t>
        </is>
      </c>
      <c r="F1281" t="inlineStr">
        <is>
          <t>public mutable places field on non-data-holder class</t>
        </is>
      </c>
    </row>
    <row r="1282">
      <c r="A1282" t="inlineStr">
        <is>
          <t>financialwell</t>
        </is>
      </c>
      <c r="B1282" t="inlineStr">
        <is>
          <t>/Users/manczg/Documents/development/financialwell/FinancialWell/Views/AddTransactionViewController.swift</t>
        </is>
      </c>
      <c r="C1282" t="inlineStr">
        <is>
          <t>solid-06</t>
        </is>
      </c>
      <c r="D1282" t="n">
        <v>69</v>
      </c>
      <c r="E1282" t="inlineStr">
        <is>
          <t>TP</t>
        </is>
      </c>
      <c r="F1282" t="inlineStr">
        <is>
          <t>public mutable location field on non-data-holder class</t>
        </is>
      </c>
    </row>
    <row r="1283">
      <c r="A1283" t="inlineStr">
        <is>
          <t>financialwell</t>
        </is>
      </c>
      <c r="B1283" t="inlineStr">
        <is>
          <t>/Users/manczg/Documents/development/financialwell/FinancialWell/Views/AddTransactionViewController.swift</t>
        </is>
      </c>
      <c r="C1283" t="inlineStr">
        <is>
          <t>solid-06</t>
        </is>
      </c>
      <c r="D1283" t="n">
        <v>72</v>
      </c>
      <c r="E1283" t="inlineStr">
        <is>
          <t>FP</t>
        </is>
      </c>
      <c r="F1283" t="inlineStr">
        <is>
          <t>static var is a type-level field, not an instance field</t>
        </is>
      </c>
    </row>
    <row r="1284">
      <c r="A1284" t="inlineStr">
        <is>
          <t>financialwell</t>
        </is>
      </c>
      <c r="B1284" t="inlineStr">
        <is>
          <t>/Users/manczg/Documents/development/financialwell/FinancialWell/Views/AddTransactionViewController.swift</t>
        </is>
      </c>
      <c r="C1284" t="inlineStr">
        <is>
          <t>solid-06</t>
        </is>
      </c>
      <c r="D1284" t="n">
        <v>73</v>
      </c>
      <c r="E1284" t="inlineStr">
        <is>
          <t>TP</t>
        </is>
      </c>
      <c r="F1284" t="inlineStr">
        <is>
          <t>public mutable viewmodel field on non-data-holder class</t>
        </is>
      </c>
    </row>
    <row r="1285">
      <c r="A1285" t="inlineStr">
        <is>
          <t>financialwell</t>
        </is>
      </c>
      <c r="B1285" t="inlineStr">
        <is>
          <t>/Users/manczg/Documents/development/financialwell/FinancialWell/Views/AddTransactionViewController.swift</t>
        </is>
      </c>
      <c r="C1285" t="inlineStr">
        <is>
          <t>solid-08</t>
        </is>
      </c>
      <c r="D1285" t="n">
        <v>66</v>
      </c>
      <c r="E1285" t="inlineStr">
        <is>
          <t>TP</t>
        </is>
      </c>
      <c r="F1285" t="inlineStr">
        <is>
          <t>dateString is a class reference, assigned once, never reassigned in file</t>
        </is>
      </c>
    </row>
    <row r="1286">
      <c r="A1286" t="inlineStr">
        <is>
          <t>financialwell</t>
        </is>
      </c>
      <c r="B1286" t="inlineStr">
        <is>
          <t>/Users/manczg/Documents/development/financialwell/FinancialWell/Views/AddTransactionViewController.swift</t>
        </is>
      </c>
      <c r="C1286" t="inlineStr">
        <is>
          <t>solid-08</t>
        </is>
      </c>
      <c r="D1286" t="n">
        <v>68</v>
      </c>
      <c r="E1286" t="inlineStr">
        <is>
          <t>TP</t>
        </is>
      </c>
      <c r="F1286" t="inlineStr">
        <is>
          <t>places is a class reference, assigned once, never reassigned in file</t>
        </is>
      </c>
    </row>
    <row r="1287">
      <c r="A1287" t="inlineStr">
        <is>
          <t>financialwell</t>
        </is>
      </c>
      <c r="B1287" t="inlineStr">
        <is>
          <t>/Users/manczg/Documents/development/financialwell/FinancialWell/Views/AddTransactionViewController.swift</t>
        </is>
      </c>
      <c r="C1287" t="inlineStr">
        <is>
          <t>solid-08</t>
        </is>
      </c>
      <c r="D1287" t="n">
        <v>69</v>
      </c>
      <c r="E1287" t="inlineStr">
        <is>
          <t>TP</t>
        </is>
      </c>
      <c r="F1287" t="inlineStr">
        <is>
          <t>location assigned once, never reassigned in file</t>
        </is>
      </c>
    </row>
    <row r="1288">
      <c r="A1288" t="inlineStr">
        <is>
          <t>financialwell</t>
        </is>
      </c>
      <c r="B1288" t="inlineStr">
        <is>
          <t>/Users/manczg/Documents/development/financialwell/FinancialWell/Views/AddTransactionViewController.swift</t>
        </is>
      </c>
      <c r="C1288" t="inlineStr">
        <is>
          <t>solid-08</t>
        </is>
      </c>
      <c r="D1288" t="n">
        <v>73</v>
      </c>
      <c r="E1288" t="inlineStr">
        <is>
          <t>TP</t>
        </is>
      </c>
      <c r="F1288" t="inlineStr">
        <is>
          <t>viewmodel is a class reference, assigned once, never reassigned in file</t>
        </is>
      </c>
    </row>
    <row r="1289">
      <c r="A1289" t="inlineStr">
        <is>
          <t>financialwell</t>
        </is>
      </c>
      <c r="B1289" t="inlineStr">
        <is>
          <t>/Users/manczg/Documents/development/financialwell/FinancialWell/Views/AddTransactionViewController.swift</t>
        </is>
      </c>
      <c r="C1289" t="inlineStr">
        <is>
          <t>solid-08</t>
        </is>
      </c>
      <c r="D1289" t="n">
        <v>309</v>
      </c>
      <c r="E1289" t="inlineStr">
        <is>
          <t>FP</t>
        </is>
      </c>
      <c r="F1289" t="inlineStr">
        <is>
          <t>ToastStyle is a struct mutated field-by-field afterward, var required</t>
        </is>
      </c>
    </row>
    <row r="1290">
      <c r="A1290" t="inlineStr">
        <is>
          <t>financialwell</t>
        </is>
      </c>
      <c r="B1290" t="inlineStr">
        <is>
          <t>/Users/manczg/Documents/development/financialwell/FinancialWell/Views/AddTransactionViewController.swift</t>
        </is>
      </c>
      <c r="C1290" t="inlineStr">
        <is>
          <t>solid-09</t>
        </is>
      </c>
      <c r="D1290" t="n">
        <v>72</v>
      </c>
      <c r="E1290" t="inlineStr">
        <is>
          <t>TP</t>
        </is>
      </c>
      <c r="F1290" t="inlineStr">
        <is>
          <t>static var holding mutable CalculatorViewModel shared state</t>
        </is>
      </c>
    </row>
    <row r="1291">
      <c r="A1291" t="inlineStr">
        <is>
          <t>financialwell</t>
        </is>
      </c>
      <c r="B1291" t="inlineStr">
        <is>
          <t>/Users/manczg/Documents/development/financialwell/FinancialWell/Views/AddTransactionViewController.swift</t>
        </is>
      </c>
      <c r="C1291" t="inlineStr">
        <is>
          <t>solid-10</t>
        </is>
      </c>
      <c r="D1291" t="n">
        <v>59</v>
      </c>
      <c r="E1291" t="inlineStr">
        <is>
          <t>FP</t>
        </is>
      </c>
      <c r="F1291" t="inlineStr">
        <is>
          <t>field init in presentation-layer view controller, not domain/application service</t>
        </is>
      </c>
    </row>
    <row r="1292">
      <c r="A1292" t="inlineStr">
        <is>
          <t>financialwell</t>
        </is>
      </c>
      <c r="B1292" t="inlineStr">
        <is>
          <t>/Users/manczg/Documents/development/financialwell/FinancialWell/Views/AddTransactionViewController.swift</t>
        </is>
      </c>
      <c r="C1292" t="inlineStr">
        <is>
          <t>solid-10</t>
        </is>
      </c>
      <c r="D1292" t="n">
        <v>72</v>
      </c>
      <c r="E1292" t="inlineStr">
        <is>
          <t>FP</t>
        </is>
      </c>
      <c r="F1292" t="inlineStr">
        <is>
          <t>field init in presentation-layer view controller, not domain/application service</t>
        </is>
      </c>
    </row>
    <row r="1293">
      <c r="A1293" t="inlineStr">
        <is>
          <t>financialwell</t>
        </is>
      </c>
      <c r="B1293" t="inlineStr">
        <is>
          <t>/Users/manczg/Documents/development/financialwell/FinancialWell/Views/AddTransactionViewController.swift</t>
        </is>
      </c>
      <c r="C1293" t="inlineStr">
        <is>
          <t>solid-10</t>
        </is>
      </c>
      <c r="D1293" t="n">
        <v>73</v>
      </c>
      <c r="E1293" t="inlineStr">
        <is>
          <t>FP</t>
        </is>
      </c>
      <c r="F1293" t="inlineStr">
        <is>
          <t>field init in presentation-layer view controller, not domain/application service</t>
        </is>
      </c>
    </row>
    <row r="1294">
      <c r="A1294" t="inlineStr">
        <is>
          <t>financialwell</t>
        </is>
      </c>
      <c r="B1294" t="inlineStr">
        <is>
          <t>/Users/manczg/Documents/development/financialwell/FinancialWell/Views/AddTransactionViewController.swift</t>
        </is>
      </c>
      <c r="C1294" t="inlineStr">
        <is>
          <t>solid-10</t>
        </is>
      </c>
      <c r="D1294" t="n">
        <v>534</v>
      </c>
      <c r="E1294" t="inlineStr">
        <is>
          <t>FP</t>
        </is>
      </c>
      <c r="F1294" t="inlineStr">
        <is>
          <t>constructed inside a UIViewController method, not domain/application service</t>
        </is>
      </c>
    </row>
    <row r="1295">
      <c r="A1295" t="inlineStr">
        <is>
          <t>financialwell</t>
        </is>
      </c>
      <c r="B1295" t="inlineStr">
        <is>
          <t>/Users/manczg/Documents/development/financialwell/FinancialWell/Views/AddTransactionViewController.swift</t>
        </is>
      </c>
      <c r="C1295" t="inlineStr">
        <is>
          <t>solid-10</t>
        </is>
      </c>
      <c r="D1295" t="n">
        <v>535</v>
      </c>
      <c r="E1295" t="inlineStr">
        <is>
          <t>FP</t>
        </is>
      </c>
      <c r="F1295" t="inlineStr">
        <is>
          <t>constructed inside a UIViewController method, not domain/application service</t>
        </is>
      </c>
    </row>
    <row r="1296">
      <c r="A1296" t="inlineStr">
        <is>
          <t>financialwell</t>
        </is>
      </c>
      <c r="B1296" t="inlineStr">
        <is>
          <t>/Users/manczg/Documents/development/financialwell/FinancialWell/Views/AddTransactionViewController.swift</t>
        </is>
      </c>
      <c r="C1296" t="inlineStr">
        <is>
          <t>solid-15</t>
        </is>
      </c>
      <c r="D1296" t="n">
        <v>253</v>
      </c>
      <c r="E1296" t="inlineStr">
        <is>
          <t>TP</t>
        </is>
      </c>
      <c r="F1296" t="inlineStr">
        <is>
          <t>switch on calculator state dispatches differing UI behavior per case</t>
        </is>
      </c>
    </row>
    <row r="1297">
      <c r="A1297" t="inlineStr">
        <is>
          <t>financialwell</t>
        </is>
      </c>
      <c r="B1297" t="inlineStr">
        <is>
          <t>/Users/manczg/Documents/development/financialwell/FinancialWell/Views/AddTransactionViewController.swift</t>
        </is>
      </c>
      <c r="C1297" t="inlineStr">
        <is>
          <t>tests-01</t>
        </is>
      </c>
      <c r="D1297" t="n">
        <v>15</v>
      </c>
      <c r="E1297" t="inlineStr">
        <is>
          <t>TP</t>
        </is>
      </c>
      <c r="F1297" t="inlineStr">
        <is>
          <t>no test file exists for AddTransactionViewController</t>
        </is>
      </c>
    </row>
    <row r="1298">
      <c r="A1298" t="inlineStr">
        <is>
          <t>financialwell</t>
        </is>
      </c>
      <c r="B1298" t="inlineStr">
        <is>
          <t>/Users/manczg/Documents/development/financialwell/FinancialWell/Home/HomeViewController.swift</t>
        </is>
      </c>
      <c r="C1298" t="inlineStr">
        <is>
          <t>arch-08</t>
        </is>
      </c>
      <c r="D1298" t="n">
        <v>124</v>
      </c>
      <c r="E1298" t="inlineStr">
        <is>
          <t>TP</t>
        </is>
      </c>
      <c r="F1298" t="inlineStr">
        <is>
          <t>ModelManager.shared reached from onExitFromDemoMode business logic</t>
        </is>
      </c>
    </row>
    <row r="1299">
      <c r="A1299" t="inlineStr">
        <is>
          <t>financialwell</t>
        </is>
      </c>
      <c r="B1299" t="inlineStr">
        <is>
          <t>/Users/manczg/Documents/development/financialwell/FinancialWell/Home/HomeViewController.swift</t>
        </is>
      </c>
      <c r="C1299" t="inlineStr">
        <is>
          <t>arch-08</t>
        </is>
      </c>
      <c r="D1299" t="n">
        <v>550</v>
      </c>
      <c r="E1299" t="inlineStr">
        <is>
          <t>TP</t>
        </is>
      </c>
      <c r="F1299" t="inlineStr">
        <is>
          <t>ModelManager.shared reached from startImportWizardIfNecessary business logic</t>
        </is>
      </c>
    </row>
    <row r="1300">
      <c r="A1300" t="inlineStr">
        <is>
          <t>financialwell</t>
        </is>
      </c>
      <c r="B1300" t="inlineStr">
        <is>
          <t>/Users/manczg/Documents/development/financialwell/FinancialWell/Home/HomeViewController.swift</t>
        </is>
      </c>
      <c r="C1300" t="inlineStr">
        <is>
          <t>arch-08</t>
        </is>
      </c>
      <c r="D1300" t="n">
        <v>558</v>
      </c>
      <c r="E1300" t="inlineStr">
        <is>
          <t>TP</t>
        </is>
      </c>
      <c r="F1300" t="inlineStr">
        <is>
          <t>ModelManager.shared reached from startImportWizardIfNecessary business logic</t>
        </is>
      </c>
    </row>
    <row r="1301">
      <c r="A1301" t="inlineStr">
        <is>
          <t>financialwell</t>
        </is>
      </c>
      <c r="B1301" t="inlineStr">
        <is>
          <t>/Users/manczg/Documents/development/financialwell/FinancialWell/Home/HomeViewController.swift</t>
        </is>
      </c>
      <c r="C1301" t="inlineStr">
        <is>
          <t>clarity-16</t>
        </is>
      </c>
      <c r="D1301" t="n">
        <v>309</v>
      </c>
      <c r="E1301" t="inlineStr">
        <is>
          <t>TP</t>
        </is>
      </c>
      <c r="F1301" t="inlineStr">
        <is>
          <t>cellForRowAt has ~27 branch lines across nested switches</t>
        </is>
      </c>
    </row>
    <row r="1302">
      <c r="A1302" t="inlineStr">
        <is>
          <t>financialwell</t>
        </is>
      </c>
      <c r="B1302" t="inlineStr">
        <is>
          <t>/Users/manczg/Documents/development/financialwell/FinancialWell/Home/HomeViewController.swift</t>
        </is>
      </c>
      <c r="C1302" t="inlineStr">
        <is>
          <t>clarity-16</t>
        </is>
      </c>
      <c r="D1302" t="n">
        <v>366</v>
      </c>
      <c r="E1302" t="inlineStr">
        <is>
          <t>TP</t>
        </is>
      </c>
      <c r="F1302" t="inlineStr">
        <is>
          <t>heightForRowAt has ~27 branch lines across nested switches</t>
        </is>
      </c>
    </row>
    <row r="1303">
      <c r="A1303" t="inlineStr">
        <is>
          <t>financialwell</t>
        </is>
      </c>
      <c r="B1303" t="inlineStr">
        <is>
          <t>/Users/manczg/Documents/development/financialwell/FinancialWell/Home/HomeViewController.swift</t>
        </is>
      </c>
      <c r="C1303" t="inlineStr">
        <is>
          <t>clarity-16</t>
        </is>
      </c>
      <c r="D1303" t="n">
        <v>488</v>
      </c>
      <c r="E1303" t="inlineStr">
        <is>
          <t>TP</t>
        </is>
      </c>
      <c r="F1303" t="inlineStr">
        <is>
          <t>handleMoreLessEvent has ~13 branch lines across guards and switch</t>
        </is>
      </c>
    </row>
    <row r="1304">
      <c r="A1304" t="inlineStr">
        <is>
          <t>financialwell</t>
        </is>
      </c>
      <c r="B1304" t="inlineStr">
        <is>
          <t>/Users/manczg/Documents/development/financialwell/FinancialWell/Home/HomeViewController.swift</t>
        </is>
      </c>
      <c r="C1304" t="inlineStr">
        <is>
          <t>safety-01</t>
        </is>
      </c>
      <c r="D1304" t="n">
        <v>38</v>
      </c>
      <c r="E1304" t="inlineStr">
        <is>
          <t>TP</t>
        </is>
      </c>
      <c r="F1304" t="inlineStr">
        <is>
          <t>NotificationCenter observer added with no removeObserver anywhere in file</t>
        </is>
      </c>
    </row>
    <row r="1305">
      <c r="A1305" t="inlineStr">
        <is>
          <t>financialwell</t>
        </is>
      </c>
      <c r="B1305" t="inlineStr">
        <is>
          <t>/Users/manczg/Documents/development/financialwell/FinancialWell/Home/HomeViewController.swift</t>
        </is>
      </c>
      <c r="C1305" t="inlineStr">
        <is>
          <t>safety-02</t>
        </is>
      </c>
      <c r="D1305" t="n">
        <v>95</v>
      </c>
      <c r="E1305" t="inlineStr">
        <is>
          <t>TP</t>
        </is>
      </c>
      <c r="F1305" t="inlineStr">
        <is>
          <t>force cast of segue.destination</t>
        </is>
      </c>
    </row>
    <row r="1306">
      <c r="A1306" t="inlineStr">
        <is>
          <t>financialwell</t>
        </is>
      </c>
      <c r="B1306" t="inlineStr">
        <is>
          <t>/Users/manczg/Documents/development/financialwell/FinancialWell/Home/HomeViewController.swift</t>
        </is>
      </c>
      <c r="C1306" t="inlineStr">
        <is>
          <t>safety-02</t>
        </is>
      </c>
      <c r="D1306" t="n">
        <v>154</v>
      </c>
      <c r="E1306" t="inlineStr">
        <is>
          <t>TP</t>
        </is>
      </c>
      <c r="F1306" t="inlineStr">
        <is>
          <t>force cast of instantiateViewController result</t>
        </is>
      </c>
    </row>
    <row r="1307">
      <c r="A1307" t="inlineStr">
        <is>
          <t>financialwell</t>
        </is>
      </c>
      <c r="B1307" t="inlineStr">
        <is>
          <t>/Users/manczg/Documents/development/financialwell/FinancialWell/Home/HomeViewController.swift</t>
        </is>
      </c>
      <c r="C1307" t="inlineStr">
        <is>
          <t>safety-02</t>
        </is>
      </c>
      <c r="D1307" t="n">
        <v>455</v>
      </c>
      <c r="E1307" t="inlineStr">
        <is>
          <t>TP</t>
        </is>
      </c>
      <c r="F1307" t="inlineStr">
        <is>
          <t>force cast of instantiateViewController result</t>
        </is>
      </c>
    </row>
    <row r="1308">
      <c r="A1308" t="inlineStr">
        <is>
          <t>financialwell</t>
        </is>
      </c>
      <c r="B1308" t="inlineStr">
        <is>
          <t>/Users/manczg/Documents/development/financialwell/FinancialWell/Home/HomeViewController.swift</t>
        </is>
      </c>
      <c r="C1308" t="inlineStr">
        <is>
          <t>safety-02</t>
        </is>
      </c>
      <c r="D1308" t="n">
        <v>479</v>
      </c>
      <c r="E1308" t="inlineStr">
        <is>
          <t>TP</t>
        </is>
      </c>
      <c r="F1308" t="inlineStr">
        <is>
          <t>force cast of instantiateViewController result</t>
        </is>
      </c>
    </row>
    <row r="1309">
      <c r="A1309" t="inlineStr">
        <is>
          <t>financialwell</t>
        </is>
      </c>
      <c r="B1309" t="inlineStr">
        <is>
          <t>/Users/manczg/Documents/development/financialwell/FinancialWell/Home/HomeViewController.swift</t>
        </is>
      </c>
      <c r="C1309" t="inlineStr">
        <is>
          <t>safety-02</t>
        </is>
      </c>
      <c r="D1309" t="n">
        <v>519</v>
      </c>
      <c r="E1309" t="inlineStr">
        <is>
          <t>TP</t>
        </is>
      </c>
      <c r="F1309" t="inlineStr">
        <is>
          <t>force unwrap of optional section.index</t>
        </is>
      </c>
    </row>
    <row r="1310">
      <c r="A1310" t="inlineStr">
        <is>
          <t>financialwell</t>
        </is>
      </c>
      <c r="B1310" t="inlineStr">
        <is>
          <t>/Users/manczg/Documents/development/financialwell/FinancialWell/Home/HomeViewController.swift</t>
        </is>
      </c>
      <c r="C1310" t="inlineStr">
        <is>
          <t>safety-02</t>
        </is>
      </c>
      <c r="D1310" t="n">
        <v>527</v>
      </c>
      <c r="E1310" t="inlineStr">
        <is>
          <t>TP</t>
        </is>
      </c>
      <c r="F1310" t="inlineStr">
        <is>
          <t>force unwrap of optional sender.section?.index</t>
        </is>
      </c>
    </row>
    <row r="1311">
      <c r="A1311" t="inlineStr">
        <is>
          <t>financialwell</t>
        </is>
      </c>
      <c r="B1311" t="inlineStr">
        <is>
          <t>/Users/manczg/Documents/development/financialwell/FinancialWell/Home/HomeViewController.swift</t>
        </is>
      </c>
      <c r="C1311" t="inlineStr">
        <is>
          <t>smells-03</t>
        </is>
      </c>
      <c r="D1311" t="n">
        <v>63</v>
      </c>
      <c r="E1311" t="inlineStr">
        <is>
          <t>FP</t>
        </is>
      </c>
      <c r="F1311" t="inlineStr">
        <is>
          <t>override of fixed UIViewController viewWillAppear signature</t>
        </is>
      </c>
    </row>
    <row r="1312">
      <c r="A1312" t="inlineStr">
        <is>
          <t>financialwell</t>
        </is>
      </c>
      <c r="B1312" t="inlineStr">
        <is>
          <t>/Users/manczg/Documents/development/financialwell/FinancialWell/Home/HomeViewController.swift</t>
        </is>
      </c>
      <c r="C1312" t="inlineStr">
        <is>
          <t>smells-10</t>
        </is>
      </c>
      <c r="D1312" t="n">
        <v>124</v>
      </c>
      <c r="E1312" t="inlineStr">
        <is>
          <t>TP</t>
        </is>
      </c>
      <c r="F1312" t="inlineStr">
        <is>
          <t>singleton reach-through into collaborator's collaborator</t>
        </is>
      </c>
    </row>
    <row r="1313">
      <c r="A1313" t="inlineStr">
        <is>
          <t>financialwell</t>
        </is>
      </c>
      <c r="B1313" t="inlineStr">
        <is>
          <t>/Users/manczg/Documents/development/financialwell/FinancialWell/Home/HomeViewController.swift</t>
        </is>
      </c>
      <c r="C1313" t="inlineStr">
        <is>
          <t>smells-10</t>
        </is>
      </c>
      <c r="D1313" t="n">
        <v>224</v>
      </c>
      <c r="E1313" t="inlineStr">
        <is>
          <t>FP</t>
        </is>
      </c>
      <c r="F1313" t="inlineStr">
        <is>
          <t>UIKit framework property chain cell.contentView.subviews.count, explicit dismiss example</t>
        </is>
      </c>
    </row>
    <row r="1314">
      <c r="A1314" t="inlineStr">
        <is>
          <t>financialwell</t>
        </is>
      </c>
      <c r="B1314" t="inlineStr">
        <is>
          <t>/Users/manczg/Documents/development/financialwell/FinancialWell/Home/HomeViewController.swift</t>
        </is>
      </c>
      <c r="C1314" t="inlineStr">
        <is>
          <t>smells-10</t>
        </is>
      </c>
      <c r="D1314" t="n">
        <v>550</v>
      </c>
      <c r="E1314" t="inlineStr">
        <is>
          <t>TP</t>
        </is>
      </c>
      <c r="F1314" t="inlineStr">
        <is>
          <t>singleton reach-through into deep collaborator chain</t>
        </is>
      </c>
    </row>
    <row r="1315">
      <c r="A1315" t="inlineStr">
        <is>
          <t>financialwell</t>
        </is>
      </c>
      <c r="B1315" t="inlineStr">
        <is>
          <t>/Users/manczg/Documents/development/financialwell/FinancialWell/Home/HomeViewController.swift</t>
        </is>
      </c>
      <c r="C1315" t="inlineStr">
        <is>
          <t>smells-10</t>
        </is>
      </c>
      <c r="D1315" t="n">
        <v>558</v>
      </c>
      <c r="E1315" t="inlineStr">
        <is>
          <t>TP</t>
        </is>
      </c>
      <c r="F1315" t="inlineStr">
        <is>
          <t>singleton reach-through into deep collaborator chain</t>
        </is>
      </c>
    </row>
    <row r="1316">
      <c r="A1316" t="inlineStr">
        <is>
          <t>financialwell</t>
        </is>
      </c>
      <c r="B1316" t="inlineStr">
        <is>
          <t>/Users/manczg/Documents/development/financialwell/FinancialWell/Home/HomeViewController.swift</t>
        </is>
      </c>
      <c r="C1316" t="inlineStr">
        <is>
          <t>solid-06</t>
        </is>
      </c>
      <c r="D1316" t="n">
        <v>14</v>
      </c>
      <c r="E1316" t="inlineStr">
        <is>
          <t>TP</t>
        </is>
      </c>
      <c r="F1316" t="inlineStr">
        <is>
          <t>public mutable transactionModel field on non-data-holder class</t>
        </is>
      </c>
    </row>
    <row r="1317">
      <c r="A1317" t="inlineStr">
        <is>
          <t>financialwell</t>
        </is>
      </c>
      <c r="B1317" t="inlineStr">
        <is>
          <t>/Users/manczg/Documents/development/financialwell/FinancialWell/Home/HomeViewController.swift</t>
        </is>
      </c>
      <c r="C1317" t="inlineStr">
        <is>
          <t>solid-06</t>
        </is>
      </c>
      <c r="D1317" t="n">
        <v>15</v>
      </c>
      <c r="E1317" t="inlineStr">
        <is>
          <t>TP</t>
        </is>
      </c>
      <c r="F1317" t="inlineStr">
        <is>
          <t>public mutable viewmodel field on non-data-holder class</t>
        </is>
      </c>
    </row>
    <row r="1318">
      <c r="A1318" t="inlineStr">
        <is>
          <t>financialwell</t>
        </is>
      </c>
      <c r="B1318" t="inlineStr">
        <is>
          <t>/Users/manczg/Documents/development/financialwell/FinancialWell/Home/HomeViewController.swift</t>
        </is>
      </c>
      <c r="C1318" t="inlineStr">
        <is>
          <t>solid-06</t>
        </is>
      </c>
      <c r="D1318" t="n">
        <v>16</v>
      </c>
      <c r="E1318" t="inlineStr">
        <is>
          <t>TP</t>
        </is>
      </c>
      <c r="F1318" t="inlineStr">
        <is>
          <t>public mutable applogViewModel field on non-data-holder class</t>
        </is>
      </c>
    </row>
    <row r="1319">
      <c r="A1319" t="inlineStr">
        <is>
          <t>financialwell</t>
        </is>
      </c>
      <c r="B1319" t="inlineStr">
        <is>
          <t>/Users/manczg/Documents/development/financialwell/FinancialWell/Home/HomeViewController.swift</t>
        </is>
      </c>
      <c r="C1319" t="inlineStr">
        <is>
          <t>solid-06</t>
        </is>
      </c>
      <c r="D1319" t="n">
        <v>17</v>
      </c>
      <c r="E1319" t="inlineStr">
        <is>
          <t>TP</t>
        </is>
      </c>
      <c r="F1319" t="inlineStr">
        <is>
          <t>public mutable emailComposer field on non-data-holder class</t>
        </is>
      </c>
    </row>
    <row r="1320">
      <c r="A1320" t="inlineStr">
        <is>
          <t>financialwell</t>
        </is>
      </c>
      <c r="B1320" t="inlineStr">
        <is>
          <t>/Users/manczg/Documents/development/financialwell/FinancialWell/Home/HomeViewController.swift</t>
        </is>
      </c>
      <c r="C1320" t="inlineStr">
        <is>
          <t>solid-06</t>
        </is>
      </c>
      <c r="D1320" t="n">
        <v>22</v>
      </c>
      <c r="E1320" t="inlineStr">
        <is>
          <t>TP</t>
        </is>
      </c>
      <c r="F1320" t="inlineStr">
        <is>
          <t>non-private IBOutlet on non-data-holder view controller</t>
        </is>
      </c>
    </row>
    <row r="1321">
      <c r="A1321" t="inlineStr">
        <is>
          <t>financialwell</t>
        </is>
      </c>
      <c r="B1321" t="inlineStr">
        <is>
          <t>/Users/manczg/Documents/development/financialwell/FinancialWell/Home/HomeViewController.swift</t>
        </is>
      </c>
      <c r="C1321" t="inlineStr">
        <is>
          <t>solid-06</t>
        </is>
      </c>
      <c r="D1321" t="n">
        <v>23</v>
      </c>
      <c r="E1321" t="inlineStr">
        <is>
          <t>TP</t>
        </is>
      </c>
      <c r="F1321" t="inlineStr">
        <is>
          <t>non-private IBOutlet on non-data-holder view controller</t>
        </is>
      </c>
    </row>
    <row r="1322">
      <c r="A1322" t="inlineStr">
        <is>
          <t>financialwell</t>
        </is>
      </c>
      <c r="B1322" t="inlineStr">
        <is>
          <t>/Users/manczg/Documents/development/financialwell/FinancialWell/Home/HomeViewController.swift</t>
        </is>
      </c>
      <c r="C1322" t="inlineStr">
        <is>
          <t>solid-06</t>
        </is>
      </c>
      <c r="D1322" t="n">
        <v>24</v>
      </c>
      <c r="E1322" t="inlineStr">
        <is>
          <t>TP</t>
        </is>
      </c>
      <c r="F1322" t="inlineStr">
        <is>
          <t>non-private IBOutlet on non-data-holder view controller</t>
        </is>
      </c>
    </row>
    <row r="1323">
      <c r="A1323" t="inlineStr">
        <is>
          <t>financialwell</t>
        </is>
      </c>
      <c r="B1323" t="inlineStr">
        <is>
          <t>/Users/manczg/Documents/development/financialwell/FinancialWell/Home/HomeViewController.swift</t>
        </is>
      </c>
      <c r="C1323" t="inlineStr">
        <is>
          <t>solid-08</t>
        </is>
      </c>
      <c r="D1323" t="n">
        <v>14</v>
      </c>
      <c r="E1323" t="inlineStr">
        <is>
          <t>TP</t>
        </is>
      </c>
      <c r="F1323" t="inlineStr">
        <is>
          <t>transactionModel is a class reference, assigned once, unused/never reassigned in file</t>
        </is>
      </c>
    </row>
    <row r="1324">
      <c r="A1324" t="inlineStr">
        <is>
          <t>financialwell</t>
        </is>
      </c>
      <c r="B1324" t="inlineStr">
        <is>
          <t>/Users/manczg/Documents/development/financialwell/FinancialWell/Home/HomeViewController.swift</t>
        </is>
      </c>
      <c r="C1324" t="inlineStr">
        <is>
          <t>solid-08</t>
        </is>
      </c>
      <c r="D1324" t="n">
        <v>15</v>
      </c>
      <c r="E1324" t="inlineStr">
        <is>
          <t>TP</t>
        </is>
      </c>
      <c r="F1324" t="inlineStr">
        <is>
          <t>viewmodel is a class reference, assigned once, never reassigned in file</t>
        </is>
      </c>
    </row>
    <row r="1325">
      <c r="A1325" t="inlineStr">
        <is>
          <t>financialwell</t>
        </is>
      </c>
      <c r="B1325" t="inlineStr">
        <is>
          <t>/Users/manczg/Documents/development/financialwell/FinancialWell/Home/HomeViewController.swift</t>
        </is>
      </c>
      <c r="C1325" t="inlineStr">
        <is>
          <t>solid-08</t>
        </is>
      </c>
      <c r="D1325" t="n">
        <v>16</v>
      </c>
      <c r="E1325" t="inlineStr">
        <is>
          <t>TP</t>
        </is>
      </c>
      <c r="F1325" t="inlineStr">
        <is>
          <t>applogViewModel is a class reference, assigned once, never reassigned in file</t>
        </is>
      </c>
    </row>
    <row r="1326">
      <c r="A1326" t="inlineStr">
        <is>
          <t>financialwell</t>
        </is>
      </c>
      <c r="B1326" t="inlineStr">
        <is>
          <t>/Users/manczg/Documents/development/financialwell/FinancialWell/Home/HomeViewController.swift</t>
        </is>
      </c>
      <c r="C1326" t="inlineStr">
        <is>
          <t>solid-08</t>
        </is>
      </c>
      <c r="D1326" t="n">
        <v>17</v>
      </c>
      <c r="E1326" t="inlineStr">
        <is>
          <t>TP</t>
        </is>
      </c>
      <c r="F1326" t="inlineStr">
        <is>
          <t>emailComposer is a class reference, assigned once, never reassigned in file</t>
        </is>
      </c>
    </row>
    <row r="1327">
      <c r="A1327" t="inlineStr">
        <is>
          <t>financialwell</t>
        </is>
      </c>
      <c r="B1327" t="inlineStr">
        <is>
          <t>/Users/manczg/Documents/development/financialwell/FinancialWell/Home/HomeViewController.swift</t>
        </is>
      </c>
      <c r="C1327" t="inlineStr">
        <is>
          <t>solid-08</t>
        </is>
      </c>
      <c r="D1327" t="n">
        <v>75</v>
      </c>
      <c r="E1327" t="inlineStr">
        <is>
          <t>FP</t>
        </is>
      </c>
      <c r="F1327" t="inlineStr">
        <is>
          <t>OnboardingWizardView is a SwiftUI struct mutated via property afterward, var required</t>
        </is>
      </c>
    </row>
    <row r="1328">
      <c r="A1328" t="inlineStr">
        <is>
          <t>financialwell</t>
        </is>
      </c>
      <c r="B1328" t="inlineStr">
        <is>
          <t>/Users/manczg/Documents/development/financialwell/FinancialWell/Home/HomeViewController.swift</t>
        </is>
      </c>
      <c r="C1328" t="inlineStr">
        <is>
          <t>solid-08</t>
        </is>
      </c>
      <c r="D1328" t="n">
        <v>129</v>
      </c>
      <c r="E1328" t="inlineStr">
        <is>
          <t>FP</t>
        </is>
      </c>
      <c r="F1328" t="inlineStr">
        <is>
          <t>DemoDataViewCell is a SwiftUI struct mutated via property afterward, var required</t>
        </is>
      </c>
    </row>
    <row r="1329">
      <c r="A1329" t="inlineStr">
        <is>
          <t>financialwell</t>
        </is>
      </c>
      <c r="B1329" t="inlineStr">
        <is>
          <t>/Users/manczg/Documents/development/financialwell/FinancialWell/Home/HomeViewController.swift</t>
        </is>
      </c>
      <c r="C1329" t="inlineStr">
        <is>
          <t>solid-08</t>
        </is>
      </c>
      <c r="D1329" t="n">
        <v>169</v>
      </c>
      <c r="E1329" t="inlineStr">
        <is>
          <t>FP</t>
        </is>
      </c>
      <c r="F1329" t="inlineStr">
        <is>
          <t>NoRecentDataViewCell is a SwiftUI struct mutated via property afterward, var required</t>
        </is>
      </c>
    </row>
    <row r="1330">
      <c r="A1330" t="inlineStr">
        <is>
          <t>financialwell</t>
        </is>
      </c>
      <c r="B1330" t="inlineStr">
        <is>
          <t>/Users/manczg/Documents/development/financialwell/FinancialWell/Home/HomeViewController.swift</t>
        </is>
      </c>
      <c r="C1330" t="inlineStr">
        <is>
          <t>solid-10</t>
        </is>
      </c>
      <c r="D1330" t="n">
        <v>15</v>
      </c>
      <c r="E1330" t="inlineStr">
        <is>
          <t>FP</t>
        </is>
      </c>
      <c r="F1330" t="inlineStr">
        <is>
          <t>field init in presentation-layer view controller, not domain/application service</t>
        </is>
      </c>
    </row>
    <row r="1331">
      <c r="A1331" t="inlineStr">
        <is>
          <t>financialwell</t>
        </is>
      </c>
      <c r="B1331" t="inlineStr">
        <is>
          <t>/Users/manczg/Documents/development/financialwell/FinancialWell/Home/HomeViewController.swift</t>
        </is>
      </c>
      <c r="C1331" t="inlineStr">
        <is>
          <t>solid-10</t>
        </is>
      </c>
      <c r="D1331" t="n">
        <v>16</v>
      </c>
      <c r="E1331" t="inlineStr">
        <is>
          <t>FP</t>
        </is>
      </c>
      <c r="F1331" t="inlineStr">
        <is>
          <t>field init in presentation-layer view controller, not domain/application service</t>
        </is>
      </c>
    </row>
    <row r="1332">
      <c r="A1332" t="inlineStr">
        <is>
          <t>financialwell</t>
        </is>
      </c>
      <c r="B1332" t="inlineStr">
        <is>
          <t>/Users/manczg/Documents/development/financialwell/FinancialWell/Home/HomeViewController.swift</t>
        </is>
      </c>
      <c r="C1332" t="inlineStr">
        <is>
          <t>solid-10</t>
        </is>
      </c>
      <c r="D1332" t="n">
        <v>17</v>
      </c>
      <c r="E1332" t="inlineStr">
        <is>
          <t>FP</t>
        </is>
      </c>
      <c r="F1332" t="inlineStr">
        <is>
          <t>field init in presentation-layer view controller, not domain/application service</t>
        </is>
      </c>
    </row>
    <row r="1333">
      <c r="A1333" t="inlineStr">
        <is>
          <t>financialwell</t>
        </is>
      </c>
      <c r="B1333" t="inlineStr">
        <is>
          <t>/Users/manczg/Documents/development/financialwell/FinancialWell/Home/HomeViewController.swift</t>
        </is>
      </c>
      <c r="C1333" t="inlineStr">
        <is>
          <t>solid-10</t>
        </is>
      </c>
      <c r="D1333" t="n">
        <v>234</v>
      </c>
      <c r="E1333" t="inlineStr">
        <is>
          <t>FP</t>
        </is>
      </c>
      <c r="F1333" t="inlineStr">
        <is>
          <t>constructed inside a UIViewController method, not domain/application service</t>
        </is>
      </c>
    </row>
    <row r="1334">
      <c r="A1334" t="inlineStr">
        <is>
          <t>financialwell</t>
        </is>
      </c>
      <c r="B1334" t="inlineStr">
        <is>
          <t>/Users/manczg/Documents/development/financialwell/FinancialWell/Home/HomeViewController.swift</t>
        </is>
      </c>
      <c r="C1334" t="inlineStr">
        <is>
          <t>solid-15</t>
        </is>
      </c>
      <c r="D1334" t="n">
        <v>329</v>
      </c>
      <c r="E1334" t="inlineStr">
        <is>
          <t>TP</t>
        </is>
      </c>
      <c r="F1334" t="inlineStr">
        <is>
          <t>switch on rowType dispatches to differing cell-building behavior per case</t>
        </is>
      </c>
    </row>
    <row r="1335">
      <c r="A1335" t="inlineStr">
        <is>
          <t>financialwell</t>
        </is>
      </c>
      <c r="B1335" t="inlineStr">
        <is>
          <t>/Users/manczg/Documents/development/financialwell/FinancialWell/Home/HomeViewController.swift</t>
        </is>
      </c>
      <c r="C1335" t="inlineStr">
        <is>
          <t>solid-15</t>
        </is>
      </c>
      <c r="D1335" t="n">
        <v>341</v>
      </c>
      <c r="E1335" t="inlineStr">
        <is>
          <t>TP</t>
        </is>
      </c>
      <c r="F1335" t="inlineStr">
        <is>
          <t>switch on rowType dispatches to differing cell-building behavior per case</t>
        </is>
      </c>
    </row>
    <row r="1336">
      <c r="A1336" t="inlineStr">
        <is>
          <t>financialwell</t>
        </is>
      </c>
      <c r="B1336" t="inlineStr">
        <is>
          <t>/Users/manczg/Documents/development/financialwell/FinancialWell/Home/HomeViewController.swift</t>
        </is>
      </c>
      <c r="C1336" t="inlineStr">
        <is>
          <t>solid-15</t>
        </is>
      </c>
      <c r="D1336" t="n">
        <v>353</v>
      </c>
      <c r="E1336" t="inlineStr">
        <is>
          <t>TP</t>
        </is>
      </c>
      <c r="F1336" t="inlineStr">
        <is>
          <t>switch on rowType dispatches to differing cell-building behavior per case</t>
        </is>
      </c>
    </row>
    <row r="1337">
      <c r="A1337" t="inlineStr">
        <is>
          <t>financialwell</t>
        </is>
      </c>
      <c r="B1337" t="inlineStr">
        <is>
          <t>/Users/manczg/Documents/development/financialwell/FinancialWell/Home/HomeViewController.swift</t>
        </is>
      </c>
      <c r="C1337" t="inlineStr">
        <is>
          <t>solid-15</t>
        </is>
      </c>
      <c r="D1337" t="n">
        <v>387</v>
      </c>
      <c r="E1337" t="inlineStr">
        <is>
          <t>TP</t>
        </is>
      </c>
      <c r="F1337" t="inlineStr">
        <is>
          <t>switch on rowType dispatches to differing height behavior per case</t>
        </is>
      </c>
    </row>
    <row r="1338">
      <c r="A1338" t="inlineStr">
        <is>
          <t>financialwell</t>
        </is>
      </c>
      <c r="B1338" t="inlineStr">
        <is>
          <t>/Users/manczg/Documents/development/financialwell/FinancialWell/Home/HomeViewController.swift</t>
        </is>
      </c>
      <c r="C1338" t="inlineStr">
        <is>
          <t>solid-15</t>
        </is>
      </c>
      <c r="D1338" t="n">
        <v>399</v>
      </c>
      <c r="E1338" t="inlineStr">
        <is>
          <t>TP</t>
        </is>
      </c>
      <c r="F1338" t="inlineStr">
        <is>
          <t>switch on rowType dispatches to differing height behavior per case</t>
        </is>
      </c>
    </row>
    <row r="1339">
      <c r="A1339" t="inlineStr">
        <is>
          <t>financialwell</t>
        </is>
      </c>
      <c r="B1339" t="inlineStr">
        <is>
          <t>/Users/manczg/Documents/development/financialwell/FinancialWell/Home/HomeViewController.swift</t>
        </is>
      </c>
      <c r="C1339" t="inlineStr">
        <is>
          <t>solid-15</t>
        </is>
      </c>
      <c r="D1339" t="n">
        <v>411</v>
      </c>
      <c r="E1339" t="inlineStr">
        <is>
          <t>TP</t>
        </is>
      </c>
      <c r="F1339" t="inlineStr">
        <is>
          <t>switch on rowType dispatches to differing height behavior per case</t>
        </is>
      </c>
    </row>
    <row r="1340">
      <c r="A1340" t="inlineStr">
        <is>
          <t>financialwell</t>
        </is>
      </c>
      <c r="B1340" t="inlineStr">
        <is>
          <t>/Users/manczg/Documents/development/financialwell/FinancialWell/Home/HomeViewController.swift</t>
        </is>
      </c>
      <c r="C1340" t="inlineStr">
        <is>
          <t>tests-01</t>
        </is>
      </c>
      <c r="D1340" t="n">
        <v>13</v>
      </c>
      <c r="E1340" t="inlineStr">
        <is>
          <t>TP</t>
        </is>
      </c>
      <c r="F1340" t="inlineStr">
        <is>
          <t>no test file exists for HomeViewController</t>
        </is>
      </c>
    </row>
    <row r="1341">
      <c r="A1341" t="inlineStr">
        <is>
          <t>financialwell</t>
        </is>
      </c>
      <c r="B1341" t="inlineStr">
        <is>
          <t>/Users/manczg/Documents/development/financialwell/FinancialWell/ViewModels/FilterViewModel.swift</t>
        </is>
      </c>
      <c r="C1341" t="inlineStr">
        <is>
          <t>arch-08</t>
        </is>
      </c>
      <c r="D1341" t="n">
        <v>62</v>
      </c>
      <c r="E1341" t="inlineStr">
        <is>
          <t>TP</t>
        </is>
      </c>
      <c r="F1341" t="inlineStr">
        <is>
          <t>ModelManager.shared service locator call inside ViewModel business logic</t>
        </is>
      </c>
    </row>
    <row r="1342">
      <c r="A1342" t="inlineStr">
        <is>
          <t>financialwell</t>
        </is>
      </c>
      <c r="B1342" t="inlineStr">
        <is>
          <t>/Users/manczg/Documents/development/financialwell/FinancialWell/ViewModels/FilterViewModel.swift</t>
        </is>
      </c>
      <c r="C1342" t="inlineStr">
        <is>
          <t>arch-08</t>
        </is>
      </c>
      <c r="D1342" t="n">
        <v>66</v>
      </c>
      <c r="E1342" t="inlineStr">
        <is>
          <t>TP</t>
        </is>
      </c>
      <c r="F1342" t="inlineStr">
        <is>
          <t>ModelManager.shared service locator call inside ViewModel business logic</t>
        </is>
      </c>
    </row>
    <row r="1343">
      <c r="A1343" t="inlineStr">
        <is>
          <t>financialwell</t>
        </is>
      </c>
      <c r="B1343" t="inlineStr">
        <is>
          <t>/Users/manczg/Documents/development/financialwell/FinancialWell/ViewModels/FilterViewModel.swift</t>
        </is>
      </c>
      <c r="C1343" t="inlineStr">
        <is>
          <t>arch-08</t>
        </is>
      </c>
      <c r="D1343" t="n">
        <v>75</v>
      </c>
      <c r="E1343" t="inlineStr">
        <is>
          <t>TP</t>
        </is>
      </c>
      <c r="F1343" t="inlineStr">
        <is>
          <t>ModelManager.shared service locator call inside ViewModel business logic</t>
        </is>
      </c>
    </row>
    <row r="1344">
      <c r="A1344" t="inlineStr">
        <is>
          <t>financialwell</t>
        </is>
      </c>
      <c r="B1344" t="inlineStr">
        <is>
          <t>/Users/manczg/Documents/development/financialwell/FinancialWell/ViewModels/FilterViewModel.swift</t>
        </is>
      </c>
      <c r="C1344" t="inlineStr">
        <is>
          <t>arch-08</t>
        </is>
      </c>
      <c r="D1344" t="n">
        <v>78</v>
      </c>
      <c r="E1344" t="inlineStr">
        <is>
          <t>TP</t>
        </is>
      </c>
      <c r="F1344" t="inlineStr">
        <is>
          <t>ModelManager.shared service locator call inside ViewModel business logic</t>
        </is>
      </c>
    </row>
    <row r="1345">
      <c r="A1345" t="inlineStr">
        <is>
          <t>financialwell</t>
        </is>
      </c>
      <c r="B1345" t="inlineStr">
        <is>
          <t>/Users/manczg/Documents/development/financialwell/FinancialWell/ViewModels/FilterViewModel.swift</t>
        </is>
      </c>
      <c r="C1345" t="inlineStr">
        <is>
          <t>arch-08</t>
        </is>
      </c>
      <c r="D1345" t="n">
        <v>86</v>
      </c>
      <c r="E1345" t="inlineStr">
        <is>
          <t>TP</t>
        </is>
      </c>
      <c r="F1345" t="inlineStr">
        <is>
          <t>ModelManager.shared service locator call inside ViewModel business logic</t>
        </is>
      </c>
    </row>
    <row r="1346">
      <c r="A1346" t="inlineStr">
        <is>
          <t>financialwell</t>
        </is>
      </c>
      <c r="B1346" t="inlineStr">
        <is>
          <t>/Users/manczg/Documents/development/financialwell/FinancialWell/ViewModels/FilterViewModel.swift</t>
        </is>
      </c>
      <c r="C1346" t="inlineStr">
        <is>
          <t>arch-08</t>
        </is>
      </c>
      <c r="D1346" t="n">
        <v>91</v>
      </c>
      <c r="E1346" t="inlineStr">
        <is>
          <t>TP</t>
        </is>
      </c>
      <c r="F1346" t="inlineStr">
        <is>
          <t>ModelManager.shared service locator call inside ViewModel business logic</t>
        </is>
      </c>
    </row>
    <row r="1347">
      <c r="A1347" t="inlineStr">
        <is>
          <t>financialwell</t>
        </is>
      </c>
      <c r="B1347" t="inlineStr">
        <is>
          <t>/Users/manczg/Documents/development/financialwell/FinancialWell/ViewModels/FilterViewModel.swift</t>
        </is>
      </c>
      <c r="C1347" t="inlineStr">
        <is>
          <t>arch-08</t>
        </is>
      </c>
      <c r="D1347" t="n">
        <v>100</v>
      </c>
      <c r="E1347" t="inlineStr">
        <is>
          <t>TP</t>
        </is>
      </c>
      <c r="F1347" t="inlineStr">
        <is>
          <t>ModelManager.shared service locator call inside ViewModel business logic</t>
        </is>
      </c>
    </row>
    <row r="1348">
      <c r="A1348" t="inlineStr">
        <is>
          <t>financialwell</t>
        </is>
      </c>
      <c r="B1348" t="inlineStr">
        <is>
          <t>/Users/manczg/Documents/development/financialwell/FinancialWell/ViewModels/FilterViewModel.swift</t>
        </is>
      </c>
      <c r="C1348" t="inlineStr">
        <is>
          <t>arch-08</t>
        </is>
      </c>
      <c r="D1348" t="n">
        <v>105</v>
      </c>
      <c r="E1348" t="inlineStr">
        <is>
          <t>TP</t>
        </is>
      </c>
      <c r="F1348" t="inlineStr">
        <is>
          <t>ModelManager.shared service locator call inside ViewModel business logic</t>
        </is>
      </c>
    </row>
    <row r="1349">
      <c r="A1349" t="inlineStr">
        <is>
          <t>financialwell</t>
        </is>
      </c>
      <c r="B1349" t="inlineStr">
        <is>
          <t>/Users/manczg/Documents/development/financialwell/FinancialWell/ViewModels/FilterViewModel.swift</t>
        </is>
      </c>
      <c r="C1349" t="inlineStr">
        <is>
          <t>clarity-16</t>
        </is>
      </c>
      <c r="D1349" t="n">
        <v>259</v>
      </c>
      <c r="E1349" t="inlineStr">
        <is>
          <t>TP</t>
        </is>
      </c>
      <c r="F1349" t="inlineStr">
        <is>
          <t>getRowHeight has guard-else, switch, 10 case branches and a nested if — well over 10</t>
        </is>
      </c>
    </row>
    <row r="1350">
      <c r="A1350" t="inlineStr">
        <is>
          <t>financialwell</t>
        </is>
      </c>
      <c r="B1350" t="inlineStr">
        <is>
          <t>/Users/manczg/Documents/development/financialwell/FinancialWell/ViewModels/FilterViewModel.swift</t>
        </is>
      </c>
      <c r="C1350" t="inlineStr">
        <is>
          <t>safety-02</t>
        </is>
      </c>
      <c r="D1350" t="n">
        <v>163</v>
      </c>
      <c r="E1350" t="inlineStr">
        <is>
          <t>TP</t>
        </is>
      </c>
      <c r="F1350" t="inlineStr">
        <is>
          <t>Force unwrap of UIImage(named:) which returns an Optional and can be nil at runtime</t>
        </is>
      </c>
    </row>
    <row r="1351">
      <c r="A1351" t="inlineStr">
        <is>
          <t>financialwell</t>
        </is>
      </c>
      <c r="B1351" t="inlineStr">
        <is>
          <t>/Users/manczg/Documents/development/financialwell/FinancialWell/ViewModels/FilterViewModel.swift</t>
        </is>
      </c>
      <c r="C1351" t="inlineStr">
        <is>
          <t>safety-02</t>
        </is>
      </c>
      <c r="D1351" t="n">
        <v>165</v>
      </c>
      <c r="E1351" t="inlineStr">
        <is>
          <t>TP</t>
        </is>
      </c>
      <c r="F1351" t="inlineStr">
        <is>
          <t>Force unwrap of UIImage(named:) which returns an Optional and can be nil at runtime</t>
        </is>
      </c>
    </row>
    <row r="1352">
      <c r="A1352" t="inlineStr">
        <is>
          <t>financialwell</t>
        </is>
      </c>
      <c r="B1352" t="inlineStr">
        <is>
          <t>/Users/manczg/Documents/development/financialwell/FinancialWell/ViewModels/FilterViewModel.swift</t>
        </is>
      </c>
      <c r="C1352" t="inlineStr">
        <is>
          <t>safety-02</t>
        </is>
      </c>
      <c r="D1352" t="n">
        <v>368</v>
      </c>
      <c r="E1352" t="inlineStr">
        <is>
          <t>TP</t>
        </is>
      </c>
      <c r="F1352" t="inlineStr">
        <is>
          <t>Force unwrap of optional value; should collapse the preceding nil-guard into guard let</t>
        </is>
      </c>
    </row>
    <row r="1353">
      <c r="A1353" t="inlineStr">
        <is>
          <t>financialwell</t>
        </is>
      </c>
      <c r="B1353" t="inlineStr">
        <is>
          <t>/Users/manczg/Documents/development/financialwell/FinancialWell/ViewModels/FilterViewModel.swift</t>
        </is>
      </c>
      <c r="C1353" t="inlineStr">
        <is>
          <t>safety-16</t>
        </is>
      </c>
      <c r="D1353" t="n">
        <v>364</v>
      </c>
      <c r="E1353" t="inlineStr">
        <is>
          <t>TP</t>
        </is>
      </c>
      <c r="F1353" t="inlineStr">
        <is>
          <t>Double? param holds min/max price money value used for filtering, binary FP for money</t>
        </is>
      </c>
    </row>
    <row r="1354">
      <c r="A1354" t="inlineStr">
        <is>
          <t>financialwell</t>
        </is>
      </c>
      <c r="B1354" t="inlineStr">
        <is>
          <t>/Users/manczg/Documents/development/financialwell/FinancialWell/ViewModels/FilterViewModel.swift</t>
        </is>
      </c>
      <c r="C1354" t="inlineStr">
        <is>
          <t>smells-07</t>
        </is>
      </c>
      <c r="D1354" t="n">
        <v>287</v>
      </c>
      <c r="E1354" t="inlineStr">
        <is>
          <t>TP</t>
        </is>
      </c>
      <c r="F1354" t="inlineStr">
        <is>
          <t>TODO comment left in code</t>
        </is>
      </c>
    </row>
    <row r="1355">
      <c r="A1355" t="inlineStr">
        <is>
          <t>financialwell</t>
        </is>
      </c>
      <c r="B1355" t="inlineStr">
        <is>
          <t>/Users/manczg/Documents/development/financialwell/FinancialWell/ViewModels/FilterViewModel.swift</t>
        </is>
      </c>
      <c r="C1355" t="inlineStr">
        <is>
          <t>smells-08</t>
        </is>
      </c>
      <c r="D1355" t="n">
        <v>236</v>
      </c>
      <c r="E1355" t="inlineStr">
        <is>
          <t>TP</t>
        </is>
      </c>
      <c r="F1355" t="inlineStr">
        <is>
          <t>return nil from Date?-returning function, hidden failure/absence path</t>
        </is>
      </c>
    </row>
    <row r="1356">
      <c r="A1356" t="inlineStr">
        <is>
          <t>financialwell</t>
        </is>
      </c>
      <c r="B1356" t="inlineStr">
        <is>
          <t>/Users/manczg/Documents/development/financialwell/FinancialWell/ViewModels/FilterViewModel.swift</t>
        </is>
      </c>
      <c r="C1356" t="inlineStr">
        <is>
          <t>smells-08</t>
        </is>
      </c>
      <c r="D1356" t="n">
        <v>247</v>
      </c>
      <c r="E1356" t="inlineStr">
        <is>
          <t>TP</t>
        </is>
      </c>
      <c r="F1356" t="inlineStr">
        <is>
          <t>return nil from Date?-returning function, hidden failure/absence path</t>
        </is>
      </c>
    </row>
    <row r="1357">
      <c r="A1357" t="inlineStr">
        <is>
          <t>financialwell</t>
        </is>
      </c>
      <c r="B1357" t="inlineStr">
        <is>
          <t>/Users/manczg/Documents/development/financialwell/FinancialWell/ViewModels/FilterViewModel.swift</t>
        </is>
      </c>
      <c r="C1357" t="inlineStr">
        <is>
          <t>smells-08</t>
        </is>
      </c>
      <c r="D1357" t="n">
        <v>297</v>
      </c>
      <c r="E1357" t="inlineStr">
        <is>
          <t>TP</t>
        </is>
      </c>
      <c r="F1357" t="inlineStr">
        <is>
          <t>return nil in guard-else failure path</t>
        </is>
      </c>
    </row>
    <row r="1358">
      <c r="A1358" t="inlineStr">
        <is>
          <t>financialwell</t>
        </is>
      </c>
      <c r="B1358" t="inlineStr">
        <is>
          <t>/Users/manczg/Documents/development/financialwell/FinancialWell/ViewModels/FilterViewModel.swift</t>
        </is>
      </c>
      <c r="C1358" t="inlineStr">
        <is>
          <t>smells-08</t>
        </is>
      </c>
      <c r="D1358" t="n">
        <v>301</v>
      </c>
      <c r="E1358" t="inlineStr">
        <is>
          <t>TP</t>
        </is>
      </c>
      <c r="F1358" t="inlineStr">
        <is>
          <t>return nil in guard-else failure path</t>
        </is>
      </c>
    </row>
    <row r="1359">
      <c r="A1359" t="inlineStr">
        <is>
          <t>financialwell</t>
        </is>
      </c>
      <c r="B1359" t="inlineStr">
        <is>
          <t>/Users/manczg/Documents/development/financialwell/FinancialWell/ViewModels/FilterViewModel.swift</t>
        </is>
      </c>
      <c r="C1359" t="inlineStr">
        <is>
          <t>smells-08</t>
        </is>
      </c>
      <c r="D1359" t="n">
        <v>454</v>
      </c>
      <c r="E1359" t="inlineStr">
        <is>
          <t>TP</t>
        </is>
      </c>
      <c r="F1359" t="inlineStr">
        <is>
          <t>return nil in guard-else failure path</t>
        </is>
      </c>
    </row>
    <row r="1360">
      <c r="A1360" t="inlineStr">
        <is>
          <t>financialwell</t>
        </is>
      </c>
      <c r="B1360" t="inlineStr">
        <is>
          <t>/Users/manczg/Documents/development/financialwell/FinancialWell/ViewModels/FilterViewModel.swift</t>
        </is>
      </c>
      <c r="C1360" t="inlineStr">
        <is>
          <t>smells-10</t>
        </is>
      </c>
      <c r="D1360" t="n">
        <v>62</v>
      </c>
      <c r="E1360" t="inlineStr">
        <is>
          <t>TP</t>
        </is>
      </c>
      <c r="F1360" t="inlineStr">
        <is>
          <t>ModelManager.shared.categories.categoriesArray is a 3-hop singleton reach-through</t>
        </is>
      </c>
    </row>
    <row r="1361">
      <c r="A1361" t="inlineStr">
        <is>
          <t>financialwell</t>
        </is>
      </c>
      <c r="B1361" t="inlineStr">
        <is>
          <t>/Users/manczg/Documents/development/financialwell/FinancialWell/ViewModels/FilterViewModel.swift</t>
        </is>
      </c>
      <c r="C1361" t="inlineStr">
        <is>
          <t>smells-10</t>
        </is>
      </c>
      <c r="D1361" t="n">
        <v>66</v>
      </c>
      <c r="E1361" t="inlineStr">
        <is>
          <t>TP</t>
        </is>
      </c>
      <c r="F1361" t="inlineStr">
        <is>
          <t>ModelManager.shared.categories.getUIImage matches the NOTE's own singleton reach-through example</t>
        </is>
      </c>
    </row>
    <row r="1362">
      <c r="A1362" t="inlineStr">
        <is>
          <t>financialwell</t>
        </is>
      </c>
      <c r="B1362" t="inlineStr">
        <is>
          <t>/Users/manczg/Documents/development/financialwell/FinancialWell/ViewModels/FilterViewModel.swift</t>
        </is>
      </c>
      <c r="C1362" t="inlineStr">
        <is>
          <t>smells-10</t>
        </is>
      </c>
      <c r="D1362" t="n">
        <v>75</v>
      </c>
      <c r="E1362" t="inlineStr">
        <is>
          <t>TP</t>
        </is>
      </c>
      <c r="F1362" t="inlineStr">
        <is>
          <t>ModelManager.shared.categories.showArchivedCategories is a 3-hop singleton reach-through</t>
        </is>
      </c>
    </row>
    <row r="1363">
      <c r="A1363" t="inlineStr">
        <is>
          <t>financialwell</t>
        </is>
      </c>
      <c r="B1363" t="inlineStr">
        <is>
          <t>/Users/manczg/Documents/development/financialwell/FinancialWell/ViewModels/FilterViewModel.swift</t>
        </is>
      </c>
      <c r="C1363" t="inlineStr">
        <is>
          <t>smells-10</t>
        </is>
      </c>
      <c r="D1363" t="n">
        <v>78</v>
      </c>
      <c r="E1363" t="inlineStr">
        <is>
          <t>TP</t>
        </is>
      </c>
      <c r="F1363" t="inlineStr">
        <is>
          <t>ModelManager.shared.categories.get(by:) is a 3-hop singleton reach-through</t>
        </is>
      </c>
    </row>
    <row r="1364">
      <c r="A1364" t="inlineStr">
        <is>
          <t>financialwell</t>
        </is>
      </c>
      <c r="B1364" t="inlineStr">
        <is>
          <t>/Users/manczg/Documents/development/financialwell/FinancialWell/ViewModels/FilterViewModel.swift</t>
        </is>
      </c>
      <c r="C1364" t="inlineStr">
        <is>
          <t>smells-10</t>
        </is>
      </c>
      <c r="D1364" t="n">
        <v>86</v>
      </c>
      <c r="E1364" t="inlineStr">
        <is>
          <t>TP</t>
        </is>
      </c>
      <c r="F1364" t="inlineStr">
        <is>
          <t>ModelManager.shared.accounts.accountsArray is a 3-hop singleton reach-through</t>
        </is>
      </c>
    </row>
    <row r="1365">
      <c r="A1365" t="inlineStr">
        <is>
          <t>financialwell</t>
        </is>
      </c>
      <c r="B1365" t="inlineStr">
        <is>
          <t>/Users/manczg/Documents/development/financialwell/FinancialWell/ViewModels/FilterViewModel.swift</t>
        </is>
      </c>
      <c r="C1365" t="inlineStr">
        <is>
          <t>smells-10</t>
        </is>
      </c>
      <c r="D1365" t="n">
        <v>91</v>
      </c>
      <c r="E1365" t="inlineStr">
        <is>
          <t>TP</t>
        </is>
      </c>
      <c r="F1365" t="inlineStr">
        <is>
          <t>ModelManager.shared.accounts.getUIImage matches the NOTE's own singleton reach-through example</t>
        </is>
      </c>
    </row>
    <row r="1366">
      <c r="A1366" t="inlineStr">
        <is>
          <t>financialwell</t>
        </is>
      </c>
      <c r="B1366" t="inlineStr">
        <is>
          <t>/Users/manczg/Documents/development/financialwell/FinancialWell/ViewModels/FilterViewModel.swift</t>
        </is>
      </c>
      <c r="C1366" t="inlineStr">
        <is>
          <t>smells-10</t>
        </is>
      </c>
      <c r="D1366" t="n">
        <v>100</v>
      </c>
      <c r="E1366" t="inlineStr">
        <is>
          <t>TP</t>
        </is>
      </c>
      <c r="F1366" t="inlineStr">
        <is>
          <t>ModelManager.shared.accounts.showArchivedAccounts is a 3-hop singleton reach-through</t>
        </is>
      </c>
    </row>
    <row r="1367">
      <c r="A1367" t="inlineStr">
        <is>
          <t>financialwell</t>
        </is>
      </c>
      <c r="B1367" t="inlineStr">
        <is>
          <t>/Users/manczg/Documents/development/financialwell/FinancialWell/ViewModels/FilterViewModel.swift</t>
        </is>
      </c>
      <c r="C1367" t="inlineStr">
        <is>
          <t>smells-10</t>
        </is>
      </c>
      <c r="D1367" t="n">
        <v>105</v>
      </c>
      <c r="E1367" t="inlineStr">
        <is>
          <t>TP</t>
        </is>
      </c>
      <c r="F1367" t="inlineStr">
        <is>
          <t>ModelManager.shared.tags.getTagsCopy is a 3-hop singleton reach-through</t>
        </is>
      </c>
    </row>
    <row r="1368">
      <c r="A1368" t="inlineStr">
        <is>
          <t>financialwell</t>
        </is>
      </c>
      <c r="B1368" t="inlineStr">
        <is>
          <t>/Users/manczg/Documents/development/financialwell/FinancialWell/ViewModels/FilterViewModel.swift</t>
        </is>
      </c>
      <c r="C1368" t="inlineStr">
        <is>
          <t>smells-10</t>
        </is>
      </c>
      <c r="D1368" t="n">
        <v>119</v>
      </c>
      <c r="E1368" t="inlineStr">
        <is>
          <t>FP</t>
        </is>
      </c>
      <c r="F1368" t="inlineStr">
        <is>
          <t>Type.Sections.Items.rawValue is a namespaced nested-enum access, explicitly dismissed by NOTE</t>
        </is>
      </c>
    </row>
    <row r="1369">
      <c r="A1369" t="inlineStr">
        <is>
          <t>financialwell</t>
        </is>
      </c>
      <c r="B1369" t="inlineStr">
        <is>
          <t>/Users/manczg/Documents/development/financialwell/FinancialWell/ViewModels/FilterViewModel.swift</t>
        </is>
      </c>
      <c r="C1369" t="inlineStr">
        <is>
          <t>smells-10</t>
        </is>
      </c>
      <c r="D1369" t="n">
        <v>122</v>
      </c>
      <c r="E1369" t="inlineStr">
        <is>
          <t>FP</t>
        </is>
      </c>
      <c r="F1369" t="inlineStr">
        <is>
          <t>Type.Sections.Items.rawValue is a namespaced nested-enum access, explicitly dismissed by NOTE</t>
        </is>
      </c>
    </row>
    <row r="1370">
      <c r="A1370" t="inlineStr">
        <is>
          <t>financialwell</t>
        </is>
      </c>
      <c r="B1370" t="inlineStr">
        <is>
          <t>/Users/manczg/Documents/development/financialwell/FinancialWell/ViewModels/FilterViewModel.swift</t>
        </is>
      </c>
      <c r="C1370" t="inlineStr">
        <is>
          <t>solid-06</t>
        </is>
      </c>
      <c r="D1370" t="n">
        <v>37</v>
      </c>
      <c r="E1370" t="inlineStr">
        <is>
          <t>TP</t>
        </is>
      </c>
      <c r="F1370" t="inlineStr">
        <is>
          <t>Non-private mutable field on a non-DTO ViewModel class with behavior</t>
        </is>
      </c>
    </row>
    <row r="1371">
      <c r="A1371" t="inlineStr">
        <is>
          <t>financialwell</t>
        </is>
      </c>
      <c r="B1371" t="inlineStr">
        <is>
          <t>/Users/manczg/Documents/development/financialwell/FinancialWell/ViewModels/FilterViewModel.swift</t>
        </is>
      </c>
      <c r="C1371" t="inlineStr">
        <is>
          <t>solid-06</t>
        </is>
      </c>
      <c r="D1371" t="n">
        <v>38</v>
      </c>
      <c r="E1371" t="inlineStr">
        <is>
          <t>TP</t>
        </is>
      </c>
      <c r="F1371" t="inlineStr">
        <is>
          <t>Non-private mutable field on a non-DTO ViewModel class with behavior</t>
        </is>
      </c>
    </row>
    <row r="1372">
      <c r="A1372" t="inlineStr">
        <is>
          <t>financialwell</t>
        </is>
      </c>
      <c r="B1372" t="inlineStr">
        <is>
          <t>/Users/manczg/Documents/development/financialwell/FinancialWell/ViewModels/FilterViewModel.swift</t>
        </is>
      </c>
      <c r="C1372" t="inlineStr">
        <is>
          <t>solid-06</t>
        </is>
      </c>
      <c r="D1372" t="n">
        <v>39</v>
      </c>
      <c r="E1372" t="inlineStr">
        <is>
          <t>TP</t>
        </is>
      </c>
      <c r="F1372" t="inlineStr">
        <is>
          <t>Non-private mutable field on a non-DTO ViewModel class with behavior</t>
        </is>
      </c>
    </row>
    <row r="1373">
      <c r="A1373" t="inlineStr">
        <is>
          <t>financialwell</t>
        </is>
      </c>
      <c r="B1373" t="inlineStr">
        <is>
          <t>/Users/manczg/Documents/development/financialwell/FinancialWell/ViewModels/FilterViewModel.swift</t>
        </is>
      </c>
      <c r="C1373" t="inlineStr">
        <is>
          <t>solid-06</t>
        </is>
      </c>
      <c r="D1373" t="n">
        <v>40</v>
      </c>
      <c r="E1373" t="inlineStr">
        <is>
          <t>TP</t>
        </is>
      </c>
      <c r="F1373" t="inlineStr">
        <is>
          <t>Non-private mutable field on a non-DTO ViewModel class with behavior</t>
        </is>
      </c>
    </row>
    <row r="1374">
      <c r="A1374" t="inlineStr">
        <is>
          <t>financialwell</t>
        </is>
      </c>
      <c r="B1374" t="inlineStr">
        <is>
          <t>/Users/manczg/Documents/development/financialwell/FinancialWell/ViewModels/FilterViewModel.swift</t>
        </is>
      </c>
      <c r="C1374" t="inlineStr">
        <is>
          <t>solid-06</t>
        </is>
      </c>
      <c r="D1374" t="n">
        <v>41</v>
      </c>
      <c r="E1374" t="inlineStr">
        <is>
          <t>TP</t>
        </is>
      </c>
      <c r="F1374" t="inlineStr">
        <is>
          <t>Non-private mutable field on a non-DTO ViewModel class with behavior</t>
        </is>
      </c>
    </row>
    <row r="1375">
      <c r="A1375" t="inlineStr">
        <is>
          <t>financialwell</t>
        </is>
      </c>
      <c r="B1375" t="inlineStr">
        <is>
          <t>/Users/manczg/Documents/development/financialwell/FinancialWell/ViewModels/FilterViewModel.swift</t>
        </is>
      </c>
      <c r="C1375" t="inlineStr">
        <is>
          <t>solid-06</t>
        </is>
      </c>
      <c r="D1375" t="n">
        <v>42</v>
      </c>
      <c r="E1375" t="inlineStr">
        <is>
          <t>TP</t>
        </is>
      </c>
      <c r="F1375" t="inlineStr">
        <is>
          <t>Non-private mutable field on a non-DTO ViewModel class with behavior</t>
        </is>
      </c>
    </row>
    <row r="1376">
      <c r="A1376" t="inlineStr">
        <is>
          <t>financialwell</t>
        </is>
      </c>
      <c r="B1376" t="inlineStr">
        <is>
          <t>/Users/manczg/Documents/development/financialwell/FinancialWell/ViewModels/FilterViewModel.swift</t>
        </is>
      </c>
      <c r="C1376" t="inlineStr">
        <is>
          <t>solid-08</t>
        </is>
      </c>
      <c r="D1376" t="n">
        <v>37</v>
      </c>
      <c r="E1376" t="inlineStr">
        <is>
          <t>TP</t>
        </is>
      </c>
      <c r="F1376" t="inlineStr">
        <is>
          <t>model bare name never reassigned in file; FilterModel is a class so let would work</t>
        </is>
      </c>
    </row>
    <row r="1377">
      <c r="A1377" t="inlineStr">
        <is>
          <t>financialwell</t>
        </is>
      </c>
      <c r="B1377" t="inlineStr">
        <is>
          <t>/Users/manczg/Documents/development/financialwell/FinancialWell/ViewModels/FilterViewModel.swift</t>
        </is>
      </c>
      <c r="C1377" t="inlineStr">
        <is>
          <t>solid-08</t>
        </is>
      </c>
      <c r="D1377" t="n">
        <v>38</v>
      </c>
      <c r="E1377" t="inlineStr">
        <is>
          <t>TP</t>
        </is>
      </c>
      <c r="F1377" t="inlineStr">
        <is>
          <t>filterCurrencyViewModel never reassigned; FilterCurrencyViewModel is a class</t>
        </is>
      </c>
    </row>
    <row r="1378">
      <c r="A1378" t="inlineStr">
        <is>
          <t>financialwell</t>
        </is>
      </c>
      <c r="B1378" t="inlineStr">
        <is>
          <t>/Users/manczg/Documents/development/financialwell/FinancialWell/ViewModels/FilterViewModel.swift</t>
        </is>
      </c>
      <c r="C1378" t="inlineStr">
        <is>
          <t>solid-08</t>
        </is>
      </c>
      <c r="D1378" t="n">
        <v>39</v>
      </c>
      <c r="E1378" t="inlineStr">
        <is>
          <t>TP</t>
        </is>
      </c>
      <c r="F1378" t="inlineStr">
        <is>
          <t>filterCategoryViewModel never reassigned; FilterTypeSelectViewModel is a class</t>
        </is>
      </c>
    </row>
    <row r="1379">
      <c r="A1379" t="inlineStr">
        <is>
          <t>financialwell</t>
        </is>
      </c>
      <c r="B1379" t="inlineStr">
        <is>
          <t>/Users/manczg/Documents/development/financialwell/FinancialWell/ViewModels/FilterViewModel.swift</t>
        </is>
      </c>
      <c r="C1379" t="inlineStr">
        <is>
          <t>solid-08</t>
        </is>
      </c>
      <c r="D1379" t="n">
        <v>40</v>
      </c>
      <c r="E1379" t="inlineStr">
        <is>
          <t>TP</t>
        </is>
      </c>
      <c r="F1379" t="inlineStr">
        <is>
          <t>filterAccountViewModel never reassigned; FilterTypeSelectViewModel is a class</t>
        </is>
      </c>
    </row>
    <row r="1380">
      <c r="A1380" t="inlineStr">
        <is>
          <t>financialwell</t>
        </is>
      </c>
      <c r="B1380" t="inlineStr">
        <is>
          <t>/Users/manczg/Documents/development/financialwell/FinancialWell/ViewModels/FilterViewModel.swift</t>
        </is>
      </c>
      <c r="C1380" t="inlineStr">
        <is>
          <t>solid-08</t>
        </is>
      </c>
      <c r="D1380" t="n">
        <v>41</v>
      </c>
      <c r="E1380" t="inlineStr">
        <is>
          <t>TP</t>
        </is>
      </c>
      <c r="F1380" t="inlineStr">
        <is>
          <t>filterTagViewModel never reassigned; FilterTagSelectViewModel is a class</t>
        </is>
      </c>
    </row>
    <row r="1381">
      <c r="A1381" t="inlineStr">
        <is>
          <t>financialwell</t>
        </is>
      </c>
      <c r="B1381" t="inlineStr">
        <is>
          <t>/Users/manczg/Documents/development/financialwell/FinancialWell/ViewModels/FilterViewModel.swift</t>
        </is>
      </c>
      <c r="C1381" t="inlineStr">
        <is>
          <t>solid-09</t>
        </is>
      </c>
      <c r="D1381" t="n">
        <v>26</v>
      </c>
      <c r="E1381" t="inlineStr">
        <is>
          <t>TP</t>
        </is>
      </c>
      <c r="F1381" t="inlineStr">
        <is>
          <t>static var inside enum Row is the Swift in-type equivalent of a module global</t>
        </is>
      </c>
    </row>
    <row r="1382">
      <c r="A1382" t="inlineStr">
        <is>
          <t>financialwell</t>
        </is>
      </c>
      <c r="B1382" t="inlineStr">
        <is>
          <t>/Users/manczg/Documents/development/financialwell/FinancialWell/ViewModels/FilterViewModel.swift</t>
        </is>
      </c>
      <c r="C1382" t="inlineStr">
        <is>
          <t>solid-10</t>
        </is>
      </c>
      <c r="D1382" t="n">
        <v>37</v>
      </c>
      <c r="E1382" t="inlineStr">
        <is>
          <t>TP</t>
        </is>
      </c>
      <c r="F1382" t="inlineStr">
        <is>
          <t>ViewModel hardcodes creation of its FilterModel collaborator instead of injecting it</t>
        </is>
      </c>
    </row>
    <row r="1383">
      <c r="A1383" t="inlineStr">
        <is>
          <t>financialwell</t>
        </is>
      </c>
      <c r="B1383" t="inlineStr">
        <is>
          <t>/Users/manczg/Documents/development/financialwell/FinancialWell/ViewModels/FilterViewModel.swift</t>
        </is>
      </c>
      <c r="C1383" t="inlineStr">
        <is>
          <t>solid-10</t>
        </is>
      </c>
      <c r="D1383" t="n">
        <v>38</v>
      </c>
      <c r="E1383" t="inlineStr">
        <is>
          <t>TP</t>
        </is>
      </c>
      <c r="F1383" t="inlineStr">
        <is>
          <t>Hardcodes FilterCurrencyViewModel (…ViewModel suffix) creation instead of injecting</t>
        </is>
      </c>
    </row>
    <row r="1384">
      <c r="A1384" t="inlineStr">
        <is>
          <t>financialwell</t>
        </is>
      </c>
      <c r="B1384" t="inlineStr">
        <is>
          <t>/Users/manczg/Documents/development/financialwell/FinancialWell/ViewModels/FilterViewModel.swift</t>
        </is>
      </c>
      <c r="C1384" t="inlineStr">
        <is>
          <t>solid-10</t>
        </is>
      </c>
      <c r="D1384" t="n">
        <v>39</v>
      </c>
      <c r="E1384" t="inlineStr">
        <is>
          <t>TP</t>
        </is>
      </c>
      <c r="F1384" t="inlineStr">
        <is>
          <t>Hardcodes FilterTypeSelectViewModel creation instead of injecting</t>
        </is>
      </c>
    </row>
    <row r="1385">
      <c r="A1385" t="inlineStr">
        <is>
          <t>financialwell</t>
        </is>
      </c>
      <c r="B1385" t="inlineStr">
        <is>
          <t>/Users/manczg/Documents/development/financialwell/FinancialWell/ViewModels/FilterViewModel.swift</t>
        </is>
      </c>
      <c r="C1385" t="inlineStr">
        <is>
          <t>solid-10</t>
        </is>
      </c>
      <c r="D1385" t="n">
        <v>40</v>
      </c>
      <c r="E1385" t="inlineStr">
        <is>
          <t>TP</t>
        </is>
      </c>
      <c r="F1385" t="inlineStr">
        <is>
          <t>Hardcodes FilterTypeSelectViewModel creation instead of injecting</t>
        </is>
      </c>
    </row>
    <row r="1386">
      <c r="A1386" t="inlineStr">
        <is>
          <t>financialwell</t>
        </is>
      </c>
      <c r="B1386" t="inlineStr">
        <is>
          <t>/Users/manczg/Documents/development/financialwell/FinancialWell/ViewModels/FilterViewModel.swift</t>
        </is>
      </c>
      <c r="C1386" t="inlineStr">
        <is>
          <t>solid-10</t>
        </is>
      </c>
      <c r="D1386" t="n">
        <v>41</v>
      </c>
      <c r="E1386" t="inlineStr">
        <is>
          <t>TP</t>
        </is>
      </c>
      <c r="F1386" t="inlineStr">
        <is>
          <t>Hardcodes FilterTagSelectViewModel creation instead of injecting</t>
        </is>
      </c>
    </row>
    <row r="1387">
      <c r="A1387" t="inlineStr">
        <is>
          <t>financialwell</t>
        </is>
      </c>
      <c r="B1387" t="inlineStr">
        <is>
          <t>/Users/manczg/Documents/development/financialwell/FinancialWell/ViewModels/FilterViewModel.swift</t>
        </is>
      </c>
      <c r="C1387" t="inlineStr">
        <is>
          <t>solid-15</t>
        </is>
      </c>
      <c r="D1387" t="n">
        <v>264</v>
      </c>
      <c r="E1387" t="inlineStr">
        <is>
          <t>FP</t>
        </is>
      </c>
      <c r="F1387" t="inlineStr">
        <is>
          <t>Switch on Row returns a static row-height configuration table, not differing behavior per case</t>
        </is>
      </c>
    </row>
    <row r="1388">
      <c r="A1388" t="inlineStr">
        <is>
          <t>financialwell</t>
        </is>
      </c>
      <c r="B1388" t="inlineStr">
        <is>
          <t>/Users/manczg/Documents/development/financialwell/FinancialWell/ViewModels/FilterViewModel.swift</t>
        </is>
      </c>
      <c r="C1388" t="inlineStr">
        <is>
          <t>tests-01</t>
        </is>
      </c>
      <c r="D1388" t="n">
        <v>12</v>
      </c>
      <c r="E1388" t="inlineStr">
        <is>
          <t>TP</t>
        </is>
      </c>
      <c r="F1388" t="inlineStr">
        <is>
          <t>No test file exists anywhere in the repo for FilterViewModel</t>
        </is>
      </c>
    </row>
    <row r="1389">
      <c r="A1389" t="inlineStr">
        <is>
          <t>financialwell</t>
        </is>
      </c>
      <c r="B1389" t="inlineStr">
        <is>
          <t>/Users/manczg/Documents/development/financialwell/FinancialWell/Models/ModelCurrencies.swift</t>
        </is>
      </c>
      <c r="C1389" t="inlineStr">
        <is>
          <t>arch-08</t>
        </is>
      </c>
      <c r="D1389" t="n">
        <v>12</v>
      </c>
      <c r="E1389" t="inlineStr">
        <is>
          <t>TP</t>
        </is>
      </c>
      <c r="F1389" t="inlineStr">
        <is>
          <t>project singleton FileManagerWrapper.shared read inside model class, not composition root</t>
        </is>
      </c>
    </row>
    <row r="1390">
      <c r="A1390" t="inlineStr">
        <is>
          <t>financialwell</t>
        </is>
      </c>
      <c r="B1390" t="inlineStr">
        <is>
          <t>/Users/manczg/Documents/development/financialwell/FinancialWell/Models/ModelCurrencies.swift</t>
        </is>
      </c>
      <c r="C1390" t="inlineStr">
        <is>
          <t>arch-08</t>
        </is>
      </c>
      <c r="D1390" t="n">
        <v>197</v>
      </c>
      <c r="E1390" t="inlineStr">
        <is>
          <t>TP</t>
        </is>
      </c>
      <c r="F1390" t="inlineStr">
        <is>
          <t>LanguageManager.shared read inside static method of model class</t>
        </is>
      </c>
    </row>
    <row r="1391">
      <c r="A1391" t="inlineStr">
        <is>
          <t>financialwell</t>
        </is>
      </c>
      <c r="B1391" t="inlineStr">
        <is>
          <t>/Users/manczg/Documents/development/financialwell/FinancialWell/Models/ModelCurrencies.swift</t>
        </is>
      </c>
      <c r="C1391" t="inlineStr">
        <is>
          <t>arch-08</t>
        </is>
      </c>
      <c r="D1391" t="n">
        <v>246</v>
      </c>
      <c r="E1391" t="inlineStr">
        <is>
          <t>TP</t>
        </is>
      </c>
      <c r="F1391" t="inlineStr">
        <is>
          <t>LanguageManager.shared read inside instance method</t>
        </is>
      </c>
    </row>
    <row r="1392">
      <c r="A1392" t="inlineStr">
        <is>
          <t>financialwell</t>
        </is>
      </c>
      <c r="B1392" t="inlineStr">
        <is>
          <t>/Users/manczg/Documents/development/financialwell/FinancialWell/Models/ModelCurrencies.swift</t>
        </is>
      </c>
      <c r="C1392" t="inlineStr">
        <is>
          <t>arch-08</t>
        </is>
      </c>
      <c r="D1392" t="n">
        <v>538</v>
      </c>
      <c r="E1392" t="inlineStr">
        <is>
          <t>TP</t>
        </is>
      </c>
      <c r="F1392" t="inlineStr">
        <is>
          <t>ModelManager.shared reach-through singleton into collaborators</t>
        </is>
      </c>
    </row>
    <row r="1393">
      <c r="A1393" t="inlineStr">
        <is>
          <t>financialwell</t>
        </is>
      </c>
      <c r="B1393" t="inlineStr">
        <is>
          <t>/Users/manczg/Documents/development/financialwell/FinancialWell/Models/ModelCurrencies.swift</t>
        </is>
      </c>
      <c r="C1393" t="inlineStr">
        <is>
          <t>arch-11</t>
        </is>
      </c>
      <c r="D1393" t="n">
        <v>16</v>
      </c>
      <c r="E1393" t="inlineStr">
        <is>
          <t>FP</t>
        </is>
      </c>
      <c r="F1393" t="inlineStr">
        <is>
          <t>fixed third-party currency exchange API endpoint, does not vary by environment</t>
        </is>
      </c>
    </row>
    <row r="1394">
      <c r="A1394" t="inlineStr">
        <is>
          <t>financialwell</t>
        </is>
      </c>
      <c r="B1394" t="inlineStr">
        <is>
          <t>/Users/manczg/Documents/development/financialwell/FinancialWell/Models/ModelCurrencies.swift</t>
        </is>
      </c>
      <c r="C1394" t="inlineStr">
        <is>
          <t>clarity-09</t>
        </is>
      </c>
      <c r="D1394" t="n">
        <v>72</v>
      </c>
      <c r="E1394" t="inlineStr">
        <is>
          <t>TP</t>
        </is>
      </c>
      <c r="F1394" t="inlineStr">
        <is>
          <t>guard with 4 chained &amp;&amp; terms not extracted to named predicate</t>
        </is>
      </c>
    </row>
    <row r="1395">
      <c r="A1395" t="inlineStr">
        <is>
          <t>financialwell</t>
        </is>
      </c>
      <c r="B1395" t="inlineStr">
        <is>
          <t>/Users/manczg/Documents/development/financialwell/FinancialWell/Models/ModelCurrencies.swift</t>
        </is>
      </c>
      <c r="C1395" t="inlineStr">
        <is>
          <t>clarity-09</t>
        </is>
      </c>
      <c r="D1395" t="n">
        <v>214</v>
      </c>
      <c r="E1395" t="inlineStr">
        <is>
          <t>TP</t>
        </is>
      </c>
      <c r="F1395" t="inlineStr">
        <is>
          <t>if with 3 chained || terms not extracted to named predicate</t>
        </is>
      </c>
    </row>
    <row r="1396">
      <c r="A1396" t="inlineStr">
        <is>
          <t>financialwell</t>
        </is>
      </c>
      <c r="B1396" t="inlineStr">
        <is>
          <t>/Users/manczg/Documents/development/financialwell/FinancialWell/Models/ModelCurrencies.swift</t>
        </is>
      </c>
      <c r="C1396" t="inlineStr">
        <is>
          <t>clarity-09</t>
        </is>
      </c>
      <c r="D1396" t="n">
        <v>276</v>
      </c>
      <c r="E1396" t="inlineStr">
        <is>
          <t>TP</t>
        </is>
      </c>
      <c r="F1396" t="inlineStr">
        <is>
          <t>duplicate condition, 3 chained || terms not extracted</t>
        </is>
      </c>
    </row>
    <row r="1397">
      <c r="A1397" t="inlineStr">
        <is>
          <t>financialwell</t>
        </is>
      </c>
      <c r="B1397" t="inlineStr">
        <is>
          <t>/Users/manczg/Documents/development/financialwell/FinancialWell/Models/ModelCurrencies.swift</t>
        </is>
      </c>
      <c r="C1397" t="inlineStr">
        <is>
          <t>clarity-16</t>
        </is>
      </c>
      <c r="D1397" t="n">
        <v>78</v>
      </c>
      <c r="E1397" t="inlineStr">
        <is>
          <t>TP</t>
        </is>
      </c>
      <c r="F1397" t="inlineStr">
        <is>
          <t>exchange(Currency,...) has ~21 if/guard branch lines, far above 10</t>
        </is>
      </c>
    </row>
    <row r="1398">
      <c r="A1398" t="inlineStr">
        <is>
          <t>financialwell</t>
        </is>
      </c>
      <c r="B1398" t="inlineStr">
        <is>
          <t>/Users/manczg/Documents/development/financialwell/FinancialWell/Models/ModelCurrencies.swift</t>
        </is>
      </c>
      <c r="C1398" t="inlineStr">
        <is>
          <t>ddd-01</t>
        </is>
      </c>
      <c r="D1398" t="n">
        <v>15</v>
      </c>
      <c r="E1398" t="inlineStr">
        <is>
          <t>FP</t>
        </is>
      </c>
      <c r="F1398" t="inlineStr">
        <is>
          <t>ModelCurrencies is a manager/model class with business logic and IO, not a Value Object</t>
        </is>
      </c>
    </row>
    <row r="1399">
      <c r="A1399" t="inlineStr">
        <is>
          <t>financialwell</t>
        </is>
      </c>
      <c r="B1399" t="inlineStr">
        <is>
          <t>/Users/manczg/Documents/development/financialwell/FinancialWell/Models/ModelCurrencies.swift</t>
        </is>
      </c>
      <c r="C1399" t="inlineStr">
        <is>
          <t>ddd-01</t>
        </is>
      </c>
      <c r="D1399" t="n">
        <v>23</v>
      </c>
      <c r="E1399" t="inlineStr">
        <is>
          <t>FP</t>
        </is>
      </c>
      <c r="F1399" t="inlineStr">
        <is>
          <t>not a Value Object, ordinary model class holding mutable state</t>
        </is>
      </c>
    </row>
    <row r="1400">
      <c r="A1400" t="inlineStr">
        <is>
          <t>financialwell</t>
        </is>
      </c>
      <c r="B1400" t="inlineStr">
        <is>
          <t>/Users/manczg/Documents/development/financialwell/FinancialWell/Models/ModelCurrencies.swift</t>
        </is>
      </c>
      <c r="C1400" t="inlineStr">
        <is>
          <t>ddd-01</t>
        </is>
      </c>
      <c r="D1400" t="n">
        <v>24</v>
      </c>
      <c r="E1400" t="inlineStr">
        <is>
          <t>FP</t>
        </is>
      </c>
      <c r="F1400" t="inlineStr">
        <is>
          <t>not a Value Object, ordinary model class holding mutable state</t>
        </is>
      </c>
    </row>
    <row r="1401">
      <c r="A1401" t="inlineStr">
        <is>
          <t>financialwell</t>
        </is>
      </c>
      <c r="B1401" t="inlineStr">
        <is>
          <t>/Users/manczg/Documents/development/financialwell/FinancialWell/Models/ModelCurrencies.swift</t>
        </is>
      </c>
      <c r="C1401" t="inlineStr">
        <is>
          <t>safety-02</t>
        </is>
      </c>
      <c r="D1401" t="n">
        <v>75</v>
      </c>
      <c r="E1401" t="inlineStr">
        <is>
          <t>FP</t>
        </is>
      </c>
      <c r="F1401" t="inlineStr">
        <is>
          <t>currency!/toCurrency! guarded by preceding guard-let at line 72</t>
        </is>
      </c>
    </row>
    <row r="1402">
      <c r="A1402" t="inlineStr">
        <is>
          <t>financialwell</t>
        </is>
      </c>
      <c r="B1402" t="inlineStr">
        <is>
          <t>/Users/manczg/Documents/development/financialwell/FinancialWell/Models/ModelCurrencies.swift</t>
        </is>
      </c>
      <c r="C1402" t="inlineStr">
        <is>
          <t>safety-02</t>
        </is>
      </c>
      <c r="D1402" t="n">
        <v>97</v>
      </c>
      <c r="E1402" t="inlineStr">
        <is>
          <t>FP</t>
        </is>
      </c>
      <c r="F1402" t="inlineStr">
        <is>
          <t>exchangePrice! guaranteed non-nil by immediately preceding nil-check/assign</t>
        </is>
      </c>
    </row>
    <row r="1403">
      <c r="A1403" t="inlineStr">
        <is>
          <t>financialwell</t>
        </is>
      </c>
      <c r="B1403" t="inlineStr">
        <is>
          <t>/Users/manczg/Documents/development/financialwell/FinancialWell/Models/ModelCurrencies.swift</t>
        </is>
      </c>
      <c r="C1403" t="inlineStr">
        <is>
          <t>safety-02</t>
        </is>
      </c>
      <c r="D1403" t="n">
        <v>104</v>
      </c>
      <c r="E1403" t="inlineStr">
        <is>
          <t>FP</t>
        </is>
      </c>
      <c r="F1403" t="inlineStr">
        <is>
          <t>exchangePrice! guaranteed non-nil by immediately preceding nil-check/assign</t>
        </is>
      </c>
    </row>
    <row r="1404">
      <c r="A1404" t="inlineStr">
        <is>
          <t>financialwell</t>
        </is>
      </c>
      <c r="B1404" t="inlineStr">
        <is>
          <t>/Users/manczg/Documents/development/financialwell/FinancialWell/Models/ModelCurrencies.swift</t>
        </is>
      </c>
      <c r="C1404" t="inlineStr">
        <is>
          <t>safety-02</t>
        </is>
      </c>
      <c r="D1404" t="n">
        <v>116</v>
      </c>
      <c r="E1404" t="inlineStr">
        <is>
          <t>FP</t>
        </is>
      </c>
      <c r="F1404" t="inlineStr">
        <is>
          <t>exchangePrice! guaranteed non-nil by immediately preceding nil-check/assign</t>
        </is>
      </c>
    </row>
    <row r="1405">
      <c r="A1405" t="inlineStr">
        <is>
          <t>financialwell</t>
        </is>
      </c>
      <c r="B1405" t="inlineStr">
        <is>
          <t>/Users/manczg/Documents/development/financialwell/FinancialWell/Models/ModelCurrencies.swift</t>
        </is>
      </c>
      <c r="C1405" t="inlineStr">
        <is>
          <t>safety-02</t>
        </is>
      </c>
      <c r="D1405" t="n">
        <v>128</v>
      </c>
      <c r="E1405" t="inlineStr">
        <is>
          <t>FP</t>
        </is>
      </c>
      <c r="F1405" t="inlineStr">
        <is>
          <t>exchangePrice! guaranteed non-nil by immediately preceding nil-check/assign</t>
        </is>
      </c>
    </row>
    <row r="1406">
      <c r="A1406" t="inlineStr">
        <is>
          <t>financialwell</t>
        </is>
      </c>
      <c r="B1406" t="inlineStr">
        <is>
          <t>/Users/manczg/Documents/development/financialwell/FinancialWell/Models/ModelCurrencies.swift</t>
        </is>
      </c>
      <c r="C1406" t="inlineStr">
        <is>
          <t>safety-02</t>
        </is>
      </c>
      <c r="D1406" t="n">
        <v>140</v>
      </c>
      <c r="E1406" t="inlineStr">
        <is>
          <t>FP</t>
        </is>
      </c>
      <c r="F1406" t="inlineStr">
        <is>
          <t>exchangePrice! guaranteed non-nil by immediately preceding nil-check/assign</t>
        </is>
      </c>
    </row>
    <row r="1407">
      <c r="A1407" t="inlineStr">
        <is>
          <t>financialwell</t>
        </is>
      </c>
      <c r="B1407" t="inlineStr">
        <is>
          <t>/Users/manczg/Documents/development/financialwell/FinancialWell/Models/ModelCurrencies.swift</t>
        </is>
      </c>
      <c r="C1407" t="inlineStr">
        <is>
          <t>safety-02</t>
        </is>
      </c>
      <c r="D1407" t="n">
        <v>147</v>
      </c>
      <c r="E1407" t="inlineStr">
        <is>
          <t>FP</t>
        </is>
      </c>
      <c r="F1407" t="inlineStr">
        <is>
          <t>exchangePrice! guaranteed non-nil by immediately preceding nil-check/assign</t>
        </is>
      </c>
    </row>
    <row r="1408">
      <c r="A1408" t="inlineStr">
        <is>
          <t>financialwell</t>
        </is>
      </c>
      <c r="B1408" t="inlineStr">
        <is>
          <t>/Users/manczg/Documents/development/financialwell/FinancialWell/Models/ModelCurrencies.swift</t>
        </is>
      </c>
      <c r="C1408" t="inlineStr">
        <is>
          <t>safety-02</t>
        </is>
      </c>
      <c r="D1408" t="n">
        <v>154</v>
      </c>
      <c r="E1408" t="inlineStr">
        <is>
          <t>FP</t>
        </is>
      </c>
      <c r="F1408" t="inlineStr">
        <is>
          <t>exchangePrice! guaranteed non-nil by immediately preceding nil-check/assign</t>
        </is>
      </c>
    </row>
    <row r="1409">
      <c r="A1409" t="inlineStr">
        <is>
          <t>financialwell</t>
        </is>
      </c>
      <c r="B1409" t="inlineStr">
        <is>
          <t>/Users/manczg/Documents/development/financialwell/FinancialWell/Models/ModelCurrencies.swift</t>
        </is>
      </c>
      <c r="C1409" t="inlineStr">
        <is>
          <t>safety-02</t>
        </is>
      </c>
      <c r="D1409" t="n">
        <v>211</v>
      </c>
      <c r="E1409" t="inlineStr">
        <is>
          <t>FP</t>
        </is>
      </c>
      <c r="F1409" t="inlineStr">
        <is>
          <t>name! guarded by preceding if name != nil</t>
        </is>
      </c>
    </row>
    <row r="1410">
      <c r="A1410" t="inlineStr">
        <is>
          <t>financialwell</t>
        </is>
      </c>
      <c r="B1410" t="inlineStr">
        <is>
          <t>/Users/manczg/Documents/development/financialwell/FinancialWell/Models/ModelCurrencies.swift</t>
        </is>
      </c>
      <c r="C1410" t="inlineStr">
        <is>
          <t>safety-02</t>
        </is>
      </c>
      <c r="D1410" t="n">
        <v>225</v>
      </c>
      <c r="E1410" t="inlineStr">
        <is>
          <t>FP</t>
        </is>
      </c>
      <c r="F1410" t="inlineStr">
        <is>
          <t>inside a commented-out line, not executing code</t>
        </is>
      </c>
    </row>
    <row r="1411">
      <c r="A1411" t="inlineStr">
        <is>
          <t>financialwell</t>
        </is>
      </c>
      <c r="B1411" t="inlineStr">
        <is>
          <t>/Users/manczg/Documents/development/financialwell/FinancialWell/Models/ModelCurrencies.swift</t>
        </is>
      </c>
      <c r="C1411" t="inlineStr">
        <is>
          <t>safety-02</t>
        </is>
      </c>
      <c r="D1411" t="n">
        <v>279</v>
      </c>
      <c r="E1411" t="inlineStr">
        <is>
          <t>FP</t>
        </is>
      </c>
      <c r="F1411" t="inlineStr">
        <is>
          <t>formatter.currencyCode! guarded by earlier if currencyCode == nil { continue }</t>
        </is>
      </c>
    </row>
    <row r="1412">
      <c r="A1412" t="inlineStr">
        <is>
          <t>financialwell</t>
        </is>
      </c>
      <c r="B1412" t="inlineStr">
        <is>
          <t>/Users/manczg/Documents/development/financialwell/FinancialWell/Models/ModelCurrencies.swift</t>
        </is>
      </c>
      <c r="C1412" t="inlineStr">
        <is>
          <t>safety-02</t>
        </is>
      </c>
      <c r="D1412" t="n">
        <v>282</v>
      </c>
      <c r="E1412" t="inlineStr">
        <is>
          <t>TP</t>
        </is>
      </c>
      <c r="F1412" t="inlineStr">
        <is>
          <t>ternary checks emptiness not nilness; currencySymbol is IUO and can be nil while != "" still holds</t>
        </is>
      </c>
    </row>
    <row r="1413">
      <c r="A1413" t="inlineStr">
        <is>
          <t>financialwell</t>
        </is>
      </c>
      <c r="B1413" t="inlineStr">
        <is>
          <t>/Users/manczg/Documents/development/financialwell/FinancialWell/Models/ModelCurrencies.swift</t>
        </is>
      </c>
      <c r="C1413" t="inlineStr">
        <is>
          <t>safety-02</t>
        </is>
      </c>
      <c r="D1413" t="n">
        <v>306</v>
      </c>
      <c r="E1413" t="inlineStr">
        <is>
          <t>FP</t>
        </is>
      </c>
      <c r="F1413" t="inlineStr">
        <is>
          <t>as! Double guarded by preceding is Double check</t>
        </is>
      </c>
    </row>
    <row r="1414">
      <c r="A1414" t="inlineStr">
        <is>
          <t>financialwell</t>
        </is>
      </c>
      <c r="B1414" t="inlineStr">
        <is>
          <t>/Users/manczg/Documents/development/financialwell/FinancialWell/Models/ModelCurrencies.swift</t>
        </is>
      </c>
      <c r="C1414" t="inlineStr">
        <is>
          <t>safety-02</t>
        </is>
      </c>
      <c r="D1414" t="n">
        <v>314</v>
      </c>
      <c r="E1414" t="inlineStr">
        <is>
          <t>FP</t>
        </is>
      </c>
      <c r="F1414" t="inlineStr">
        <is>
          <t>force unwrap guarded by else-branch key-existence check</t>
        </is>
      </c>
    </row>
    <row r="1415">
      <c r="A1415" t="inlineStr">
        <is>
          <t>financialwell</t>
        </is>
      </c>
      <c r="B1415" t="inlineStr">
        <is>
          <t>/Users/manczg/Documents/development/financialwell/FinancialWell/Models/ModelCurrencies.swift</t>
        </is>
      </c>
      <c r="C1415" t="inlineStr">
        <is>
          <t>safety-02</t>
        </is>
      </c>
      <c r="D1415" t="n">
        <v>315</v>
      </c>
      <c r="E1415" t="inlineStr">
        <is>
          <t>FP</t>
        </is>
      </c>
      <c r="F1415" t="inlineStr">
        <is>
          <t>force unwrap guarded by else-branch key-existence check</t>
        </is>
      </c>
    </row>
    <row r="1416">
      <c r="A1416" t="inlineStr">
        <is>
          <t>financialwell</t>
        </is>
      </c>
      <c r="B1416" t="inlineStr">
        <is>
          <t>/Users/manczg/Documents/development/financialwell/FinancialWell/Models/ModelCurrencies.swift</t>
        </is>
      </c>
      <c r="C1416" t="inlineStr">
        <is>
          <t>safety-02</t>
        </is>
      </c>
      <c r="D1416" t="n">
        <v>356</v>
      </c>
      <c r="E1416" t="inlineStr">
        <is>
          <t>FP</t>
        </is>
      </c>
      <c r="F1416" t="inlineStr">
        <is>
          <t>data! guarded by preceding guard data != nil</t>
        </is>
      </c>
    </row>
    <row r="1417">
      <c r="A1417" t="inlineStr">
        <is>
          <t>financialwell</t>
        </is>
      </c>
      <c r="B1417" t="inlineStr">
        <is>
          <t>/Users/manczg/Documents/development/financialwell/FinancialWell/Models/ModelCurrencies.swift</t>
        </is>
      </c>
      <c r="C1417" t="inlineStr">
        <is>
          <t>safety-02</t>
        </is>
      </c>
      <c r="D1417" t="n">
        <v>377</v>
      </c>
      <c r="E1417" t="inlineStr">
        <is>
          <t>TP</t>
        </is>
      </c>
      <c r="F1417" t="inlineStr">
        <is>
          <t>apiUrl! unguarded, URL(string:) can return nil for malformed strings</t>
        </is>
      </c>
    </row>
    <row r="1418">
      <c r="A1418" t="inlineStr">
        <is>
          <t>financialwell</t>
        </is>
      </c>
      <c r="B1418" t="inlineStr">
        <is>
          <t>/Users/manczg/Documents/development/financialwell/FinancialWell/Models/ModelCurrencies.swift</t>
        </is>
      </c>
      <c r="C1418" t="inlineStr">
        <is>
          <t>safety-02</t>
        </is>
      </c>
      <c r="D1418" t="n">
        <v>381</v>
      </c>
      <c r="E1418" t="inlineStr">
        <is>
          <t>FP</t>
        </is>
      </c>
      <c r="F1418" t="inlineStr">
        <is>
          <t>error! guarded by preceding guard error == nil else</t>
        </is>
      </c>
    </row>
    <row r="1419">
      <c r="A1419" t="inlineStr">
        <is>
          <t>financialwell</t>
        </is>
      </c>
      <c r="B1419" t="inlineStr">
        <is>
          <t>/Users/manczg/Documents/development/financialwell/FinancialWell/Models/ModelCurrencies.swift</t>
        </is>
      </c>
      <c r="C1419" t="inlineStr">
        <is>
          <t>safety-02</t>
        </is>
      </c>
      <c r="D1419" t="n">
        <v>443</v>
      </c>
      <c r="E1419" t="inlineStr">
        <is>
          <t>FP</t>
        </is>
      </c>
      <c r="F1419" t="inlineStr">
        <is>
          <t>locale.currencyCode! guarded by preceding guard at top of function</t>
        </is>
      </c>
    </row>
    <row r="1420">
      <c r="A1420" t="inlineStr">
        <is>
          <t>financialwell</t>
        </is>
      </c>
      <c r="B1420" t="inlineStr">
        <is>
          <t>/Users/manczg/Documents/development/financialwell/FinancialWell/Models/ModelCurrencies.swift</t>
        </is>
      </c>
      <c r="C1420" t="inlineStr">
        <is>
          <t>safety-02</t>
        </is>
      </c>
      <c r="D1420" t="n">
        <v>468</v>
      </c>
      <c r="E1420" t="inlineStr">
        <is>
          <t>FP</t>
        </is>
      </c>
      <c r="F1420" t="inlineStr">
        <is>
          <t>locale.currencyCode! guarded by real (non-assert) guard at function start</t>
        </is>
      </c>
    </row>
    <row r="1421">
      <c r="A1421" t="inlineStr">
        <is>
          <t>financialwell</t>
        </is>
      </c>
      <c r="B1421" t="inlineStr">
        <is>
          <t>/Users/manczg/Documents/development/financialwell/FinancialWell/Models/ModelCurrencies.swift</t>
        </is>
      </c>
      <c r="C1421" t="inlineStr">
        <is>
          <t>safety-02</t>
        </is>
      </c>
      <c r="D1421" t="n">
        <v>470</v>
      </c>
      <c r="E1421" t="inlineStr">
        <is>
          <t>TP</t>
        </is>
      </c>
      <c r="F1421" t="inlineStr">
        <is>
          <t>name! only protected by assert(name != nil), stripped in Release builds</t>
        </is>
      </c>
    </row>
    <row r="1422">
      <c r="A1422" t="inlineStr">
        <is>
          <t>financialwell</t>
        </is>
      </c>
      <c r="B1422" t="inlineStr">
        <is>
          <t>/Users/manczg/Documents/development/financialwell/FinancialWell/Models/ModelCurrencies.swift</t>
        </is>
      </c>
      <c r="C1422" t="inlineStr">
        <is>
          <t>safety-02</t>
        </is>
      </c>
      <c r="D1422" t="n">
        <v>521</v>
      </c>
      <c r="E1422" t="inlineStr">
        <is>
          <t>FP</t>
        </is>
      </c>
      <c r="F1422" t="inlineStr">
        <is>
          <t>country! guarded by outer if country != nil</t>
        </is>
      </c>
    </row>
    <row r="1423">
      <c r="A1423" t="inlineStr">
        <is>
          <t>financialwell</t>
        </is>
      </c>
      <c r="B1423" t="inlineStr">
        <is>
          <t>/Users/manczg/Documents/development/financialwell/FinancialWell/Models/ModelCurrencies.swift</t>
        </is>
      </c>
      <c r="C1423" t="inlineStr">
        <is>
          <t>safety-06</t>
        </is>
      </c>
      <c r="D1423" t="n">
        <v>425</v>
      </c>
      <c r="E1423" t="inlineStr">
        <is>
          <t>FP</t>
        </is>
      </c>
      <c r="F1423" t="inlineStr">
        <is>
          <t>fetch() is a synchronous function, not async/coroutine; wait() not in async context</t>
        </is>
      </c>
    </row>
    <row r="1424">
      <c r="A1424" t="inlineStr">
        <is>
          <t>financialwell</t>
        </is>
      </c>
      <c r="B1424" t="inlineStr">
        <is>
          <t>/Users/manczg/Documents/development/financialwell/FinancialWell/Models/ModelCurrencies.swift</t>
        </is>
      </c>
      <c r="C1424" t="inlineStr">
        <is>
          <t>safety-13</t>
        </is>
      </c>
      <c r="D1424" t="n">
        <v>106</v>
      </c>
      <c r="E1424" t="inlineStr">
        <is>
          <t>FP</t>
        </is>
      </c>
      <c r="F1424" t="inlineStr">
        <is>
          <t>assertionFailure marks unreachable branch of exhaustive if-chain with safe return nil fallback</t>
        </is>
      </c>
    </row>
    <row r="1425">
      <c r="A1425" t="inlineStr">
        <is>
          <t>financialwell</t>
        </is>
      </c>
      <c r="B1425" t="inlineStr">
        <is>
          <t>/Users/manczg/Documents/development/financialwell/FinancialWell/Models/ModelCurrencies.swift</t>
        </is>
      </c>
      <c r="C1425" t="inlineStr">
        <is>
          <t>safety-13</t>
        </is>
      </c>
      <c r="D1425" t="n">
        <v>130</v>
      </c>
      <c r="E1425" t="inlineStr">
        <is>
          <t>FP</t>
        </is>
      </c>
      <c r="F1425" t="inlineStr">
        <is>
          <t>assertionFailure marks unreachable branch with safe return nil fallback</t>
        </is>
      </c>
    </row>
    <row r="1426">
      <c r="A1426" t="inlineStr">
        <is>
          <t>financialwell</t>
        </is>
      </c>
      <c r="B1426" t="inlineStr">
        <is>
          <t>/Users/manczg/Documents/development/financialwell/FinancialWell/Models/ModelCurrencies.swift</t>
        </is>
      </c>
      <c r="C1426" t="inlineStr">
        <is>
          <t>safety-13</t>
        </is>
      </c>
      <c r="D1426" t="n">
        <v>156</v>
      </c>
      <c r="E1426" t="inlineStr">
        <is>
          <t>FP</t>
        </is>
      </c>
      <c r="F1426" t="inlineStr">
        <is>
          <t>assertionFailure marks unreachable branch with safe return nil fallback</t>
        </is>
      </c>
    </row>
    <row r="1427">
      <c r="A1427" t="inlineStr">
        <is>
          <t>financialwell</t>
        </is>
      </c>
      <c r="B1427" t="inlineStr">
        <is>
          <t>/Users/manczg/Documents/development/financialwell/FinancialWell/Models/ModelCurrencies.swift</t>
        </is>
      </c>
      <c r="C1427" t="inlineStr">
        <is>
          <t>safety-13</t>
        </is>
      </c>
      <c r="D1427" t="n">
        <v>159</v>
      </c>
      <c r="E1427" t="inlineStr">
        <is>
          <t>FP</t>
        </is>
      </c>
      <c r="F1427" t="inlineStr">
        <is>
          <t>assertionFailure marks final exhaustive fallback with safe return nil</t>
        </is>
      </c>
    </row>
    <row r="1428">
      <c r="A1428" t="inlineStr">
        <is>
          <t>financialwell</t>
        </is>
      </c>
      <c r="B1428" t="inlineStr">
        <is>
          <t>/Users/manczg/Documents/development/financialwell/FinancialWell/Models/ModelCurrencies.swift</t>
        </is>
      </c>
      <c r="C1428" t="inlineStr">
        <is>
          <t>safety-13</t>
        </is>
      </c>
      <c r="D1428" t="n">
        <v>456</v>
      </c>
      <c r="E1428" t="inlineStr">
        <is>
          <t>TP</t>
        </is>
      </c>
      <c r="F1428" t="inlineStr">
        <is>
          <t>assertionFailure validates external locale/currency-data match, not a proven-unreachable invariant</t>
        </is>
      </c>
    </row>
    <row r="1429">
      <c r="A1429" t="inlineStr">
        <is>
          <t>financialwell</t>
        </is>
      </c>
      <c r="B1429" t="inlineStr">
        <is>
          <t>/Users/manczg/Documents/development/financialwell/FinancialWell/Models/ModelCurrencies.swift</t>
        </is>
      </c>
      <c r="C1429" t="inlineStr">
        <is>
          <t>safety-13</t>
        </is>
      </c>
      <c r="D1429" t="n">
        <v>461</v>
      </c>
      <c r="E1429" t="inlineStr">
        <is>
          <t>FP</t>
        </is>
      </c>
      <c r="F1429" t="inlineStr">
        <is>
          <t>asserts locale.currencyCode != nil, already guaranteed by real guard clause earlier in function</t>
        </is>
      </c>
    </row>
    <row r="1430">
      <c r="A1430" t="inlineStr">
        <is>
          <t>financialwell</t>
        </is>
      </c>
      <c r="B1430" t="inlineStr">
        <is>
          <t>/Users/manczg/Documents/development/financialwell/FinancialWell/Models/ModelCurrencies.swift</t>
        </is>
      </c>
      <c r="C1430" t="inlineStr">
        <is>
          <t>safety-13</t>
        </is>
      </c>
      <c r="D1430" t="n">
        <v>464</v>
      </c>
      <c r="E1430" t="inlineStr">
        <is>
          <t>TP</t>
        </is>
      </c>
      <c r="F1430" t="inlineStr">
        <is>
          <t>asserts locale.countryCode != nil, external data not otherwise guaranteed</t>
        </is>
      </c>
    </row>
    <row r="1431">
      <c r="A1431" t="inlineStr">
        <is>
          <t>financialwell</t>
        </is>
      </c>
      <c r="B1431" t="inlineStr">
        <is>
          <t>/Users/manczg/Documents/development/financialwell/FinancialWell/Models/ModelCurrencies.swift</t>
        </is>
      </c>
      <c r="C1431" t="inlineStr">
        <is>
          <t>safety-13</t>
        </is>
      </c>
      <c r="D1431" t="n">
        <v>466</v>
      </c>
      <c r="E1431" t="inlineStr">
        <is>
          <t>TP</t>
        </is>
      </c>
      <c r="F1431" t="inlineStr">
        <is>
          <t>asserts !country.isEmpty, but getCountryName can legitimately return ""</t>
        </is>
      </c>
    </row>
    <row r="1432">
      <c r="A1432" t="inlineStr">
        <is>
          <t>financialwell</t>
        </is>
      </c>
      <c r="B1432" t="inlineStr">
        <is>
          <t>/Users/manczg/Documents/development/financialwell/FinancialWell/Models/ModelCurrencies.swift</t>
        </is>
      </c>
      <c r="C1432" t="inlineStr">
        <is>
          <t>safety-13</t>
        </is>
      </c>
      <c r="D1432" t="n">
        <v>469</v>
      </c>
      <c r="E1432" t="inlineStr">
        <is>
          <t>TP</t>
        </is>
      </c>
      <c r="F1432" t="inlineStr">
        <is>
          <t>assert(name != nil) directly precedes force unwrap, classic stripped-guard crash</t>
        </is>
      </c>
    </row>
    <row r="1433">
      <c r="A1433" t="inlineStr">
        <is>
          <t>financialwell</t>
        </is>
      </c>
      <c r="B1433" t="inlineStr">
        <is>
          <t>/Users/manczg/Documents/development/financialwell/FinancialWell/Models/ModelCurrencies.swift</t>
        </is>
      </c>
      <c r="C1433" t="inlineStr">
        <is>
          <t>smells-02</t>
        </is>
      </c>
      <c r="D1433" t="n">
        <v>69</v>
      </c>
      <c r="E1433" t="inlineStr">
        <is>
          <t>TP</t>
        </is>
      </c>
      <c r="F1433" t="inlineStr">
        <is>
          <t>exchange(currencyCode:value:toCurrencyCode:exchangePrice:) has 4 parameters</t>
        </is>
      </c>
    </row>
    <row r="1434">
      <c r="A1434" t="inlineStr">
        <is>
          <t>financialwell</t>
        </is>
      </c>
      <c r="B1434" t="inlineStr">
        <is>
          <t>/Users/manczg/Documents/development/financialwell/FinancialWell/Models/ModelCurrencies.swift</t>
        </is>
      </c>
      <c r="C1434" t="inlineStr">
        <is>
          <t>smells-02</t>
        </is>
      </c>
      <c r="D1434" t="n">
        <v>78</v>
      </c>
      <c r="E1434" t="inlineStr">
        <is>
          <t>TP</t>
        </is>
      </c>
      <c r="F1434" t="inlineStr">
        <is>
          <t>exchange(currency:value:toCurrency:exchangePrice:) has 4 parameters</t>
        </is>
      </c>
    </row>
    <row r="1435">
      <c r="A1435" t="inlineStr">
        <is>
          <t>financialwell</t>
        </is>
      </c>
      <c r="B1435" t="inlineStr">
        <is>
          <t>/Users/manczg/Documents/development/financialwell/FinancialWell/Models/ModelCurrencies.swift</t>
        </is>
      </c>
      <c r="C1435" t="inlineStr">
        <is>
          <t>smells-06</t>
        </is>
      </c>
      <c r="D1435" t="n">
        <v>34</v>
      </c>
      <c r="E1435" t="inlineStr">
        <is>
          <t>TP</t>
        </is>
      </c>
      <c r="F1435" t="inlineStr">
        <is>
          <t>commented-out for loop</t>
        </is>
      </c>
    </row>
    <row r="1436">
      <c r="A1436" t="inlineStr">
        <is>
          <t>financialwell</t>
        </is>
      </c>
      <c r="B1436" t="inlineStr">
        <is>
          <t>/Users/manczg/Documents/development/financialwell/FinancialWell/Models/ModelCurrencies.swift</t>
        </is>
      </c>
      <c r="C1436" t="inlineStr">
        <is>
          <t>smells-06</t>
        </is>
      </c>
      <c r="D1436" t="n">
        <v>35</v>
      </c>
      <c r="E1436" t="inlineStr">
        <is>
          <t>TP</t>
        </is>
      </c>
      <c r="F1436" t="inlineStr">
        <is>
          <t>commented-out let assignment</t>
        </is>
      </c>
    </row>
    <row r="1437">
      <c r="A1437" t="inlineStr">
        <is>
          <t>financialwell</t>
        </is>
      </c>
      <c r="B1437" t="inlineStr">
        <is>
          <t>/Users/manczg/Documents/development/financialwell/FinancialWell/Models/ModelCurrencies.swift</t>
        </is>
      </c>
      <c r="C1437" t="inlineStr">
        <is>
          <t>smells-06</t>
        </is>
      </c>
      <c r="D1437" t="n">
        <v>36</v>
      </c>
      <c r="E1437" t="inlineStr">
        <is>
          <t>TP</t>
        </is>
      </c>
      <c r="F1437" t="inlineStr">
        <is>
          <t>commented-out print call</t>
        </is>
      </c>
    </row>
    <row r="1438">
      <c r="A1438" t="inlineStr">
        <is>
          <t>financialwell</t>
        </is>
      </c>
      <c r="B1438" t="inlineStr">
        <is>
          <t>/Users/manczg/Documents/development/financialwell/FinancialWell/Models/ModelCurrencies.swift</t>
        </is>
      </c>
      <c r="C1438" t="inlineStr">
        <is>
          <t>smells-06</t>
        </is>
      </c>
      <c r="D1438" t="n">
        <v>37</v>
      </c>
      <c r="E1438" t="inlineStr">
        <is>
          <t>TP</t>
        </is>
      </c>
      <c r="F1438" t="inlineStr">
        <is>
          <t>commented-out closing brace of dead block</t>
        </is>
      </c>
    </row>
    <row r="1439">
      <c r="A1439" t="inlineStr">
        <is>
          <t>financialwell</t>
        </is>
      </c>
      <c r="B1439" t="inlineStr">
        <is>
          <t>/Users/manczg/Documents/development/financialwell/FinancialWell/Models/ModelCurrencies.swift</t>
        </is>
      </c>
      <c r="C1439" t="inlineStr">
        <is>
          <t>smells-06</t>
        </is>
      </c>
      <c r="D1439" t="n">
        <v>38</v>
      </c>
      <c r="E1439" t="inlineStr">
        <is>
          <t>TP</t>
        </is>
      </c>
      <c r="F1439" t="inlineStr">
        <is>
          <t>commented-out for loop</t>
        </is>
      </c>
    </row>
    <row r="1440">
      <c r="A1440" t="inlineStr">
        <is>
          <t>financialwell</t>
        </is>
      </c>
      <c r="B1440" t="inlineStr">
        <is>
          <t>/Users/manczg/Documents/development/financialwell/FinancialWell/Models/ModelCurrencies.swift</t>
        </is>
      </c>
      <c r="C1440" t="inlineStr">
        <is>
          <t>smells-06</t>
        </is>
      </c>
      <c r="D1440" t="n">
        <v>39</v>
      </c>
      <c r="E1440" t="inlineStr">
        <is>
          <t>TP</t>
        </is>
      </c>
      <c r="F1440" t="inlineStr">
        <is>
          <t>commented-out let assignment</t>
        </is>
      </c>
    </row>
    <row r="1441">
      <c r="A1441" t="inlineStr">
        <is>
          <t>financialwell</t>
        </is>
      </c>
      <c r="B1441" t="inlineStr">
        <is>
          <t>/Users/manczg/Documents/development/financialwell/FinancialWell/Models/ModelCurrencies.swift</t>
        </is>
      </c>
      <c r="C1441" t="inlineStr">
        <is>
          <t>smells-06</t>
        </is>
      </c>
      <c r="D1441" t="n">
        <v>40</v>
      </c>
      <c r="E1441" t="inlineStr">
        <is>
          <t>TP</t>
        </is>
      </c>
      <c r="F1441" t="inlineStr">
        <is>
          <t>commented-out let assignment</t>
        </is>
      </c>
    </row>
    <row r="1442">
      <c r="A1442" t="inlineStr">
        <is>
          <t>financialwell</t>
        </is>
      </c>
      <c r="B1442" t="inlineStr">
        <is>
          <t>/Users/manczg/Documents/development/financialwell/FinancialWell/Models/ModelCurrencies.swift</t>
        </is>
      </c>
      <c r="C1442" t="inlineStr">
        <is>
          <t>smells-06</t>
        </is>
      </c>
      <c r="D1442" t="n">
        <v>41</v>
      </c>
      <c r="E1442" t="inlineStr">
        <is>
          <t>TP</t>
        </is>
      </c>
      <c r="F1442" t="inlineStr">
        <is>
          <t>commented-out print call</t>
        </is>
      </c>
    </row>
    <row r="1443">
      <c r="A1443" t="inlineStr">
        <is>
          <t>financialwell</t>
        </is>
      </c>
      <c r="B1443" t="inlineStr">
        <is>
          <t>/Users/manczg/Documents/development/financialwell/FinancialWell/Models/ModelCurrencies.swift</t>
        </is>
      </c>
      <c r="C1443" t="inlineStr">
        <is>
          <t>smells-06</t>
        </is>
      </c>
      <c r="D1443" t="n">
        <v>42</v>
      </c>
      <c r="E1443" t="inlineStr">
        <is>
          <t>TP</t>
        </is>
      </c>
      <c r="F1443" t="inlineStr">
        <is>
          <t>commented-out closing brace of dead block</t>
        </is>
      </c>
    </row>
    <row r="1444">
      <c r="A1444" t="inlineStr">
        <is>
          <t>financialwell</t>
        </is>
      </c>
      <c r="B1444" t="inlineStr">
        <is>
          <t>/Users/manczg/Documents/development/financialwell/FinancialWell/Models/ModelCurrencies.swift</t>
        </is>
      </c>
      <c r="C1444" t="inlineStr">
        <is>
          <t>smells-06</t>
        </is>
      </c>
      <c r="D1444" t="n">
        <v>225</v>
      </c>
      <c r="E1444" t="inlineStr">
        <is>
          <t>TP</t>
        </is>
      </c>
      <c r="F1444" t="inlineStr">
        <is>
          <t>commented-out print call</t>
        </is>
      </c>
    </row>
    <row r="1445">
      <c r="A1445" t="inlineStr">
        <is>
          <t>financialwell</t>
        </is>
      </c>
      <c r="B1445" t="inlineStr">
        <is>
          <t>/Users/manczg/Documents/development/financialwell/FinancialWell/Models/ModelCurrencies.swift</t>
        </is>
      </c>
      <c r="C1445" t="inlineStr">
        <is>
          <t>smells-06</t>
        </is>
      </c>
      <c r="D1445" t="n">
        <v>230</v>
      </c>
      <c r="E1445" t="inlineStr">
        <is>
          <t>TP</t>
        </is>
      </c>
      <c r="F1445" t="inlineStr">
        <is>
          <t>commented-out print call</t>
        </is>
      </c>
    </row>
    <row r="1446">
      <c r="A1446" t="inlineStr">
        <is>
          <t>financialwell</t>
        </is>
      </c>
      <c r="B1446" t="inlineStr">
        <is>
          <t>/Users/manczg/Documents/development/financialwell/FinancialWell/Models/ModelCurrencies.swift</t>
        </is>
      </c>
      <c r="C1446" t="inlineStr">
        <is>
          <t>smells-06</t>
        </is>
      </c>
      <c r="D1446" t="n">
        <v>293</v>
      </c>
      <c r="E1446" t="inlineStr">
        <is>
          <t>TP</t>
        </is>
      </c>
      <c r="F1446" t="inlineStr">
        <is>
          <t>commented-out print call</t>
        </is>
      </c>
    </row>
    <row r="1447">
      <c r="A1447" t="inlineStr">
        <is>
          <t>financialwell</t>
        </is>
      </c>
      <c r="B1447" t="inlineStr">
        <is>
          <t>/Users/manczg/Documents/development/financialwell/FinancialWell/Models/ModelCurrencies.swift</t>
        </is>
      </c>
      <c r="C1447" t="inlineStr">
        <is>
          <t>smells-08</t>
        </is>
      </c>
      <c r="D1447" t="n">
        <v>73</v>
      </c>
      <c r="E1447" t="inlineStr">
        <is>
          <t>TP</t>
        </is>
      </c>
      <c r="F1447" t="inlineStr">
        <is>
          <t>exchange returns nil as hidden failure path</t>
        </is>
      </c>
    </row>
    <row r="1448">
      <c r="A1448" t="inlineStr">
        <is>
          <t>financialwell</t>
        </is>
      </c>
      <c r="B1448" t="inlineStr">
        <is>
          <t>/Users/manczg/Documents/development/financialwell/FinancialWell/Models/ModelCurrencies.swift</t>
        </is>
      </c>
      <c r="C1448" t="inlineStr">
        <is>
          <t>smells-08</t>
        </is>
      </c>
      <c r="D1448" t="n">
        <v>80</v>
      </c>
      <c r="E1448" t="inlineStr">
        <is>
          <t>TP</t>
        </is>
      </c>
      <c r="F1448" t="inlineStr">
        <is>
          <t>exchange returns nil as hidden failure path</t>
        </is>
      </c>
    </row>
    <row r="1449">
      <c r="A1449" t="inlineStr">
        <is>
          <t>financialwell</t>
        </is>
      </c>
      <c r="B1449" t="inlineStr">
        <is>
          <t>/Users/manczg/Documents/development/financialwell/FinancialWell/Models/ModelCurrencies.swift</t>
        </is>
      </c>
      <c r="C1449" t="inlineStr">
        <is>
          <t>smells-08</t>
        </is>
      </c>
      <c r="D1449" t="n">
        <v>107</v>
      </c>
      <c r="E1449" t="inlineStr">
        <is>
          <t>TP</t>
        </is>
      </c>
      <c r="F1449" t="inlineStr">
        <is>
          <t>exchange returns nil as hidden failure path</t>
        </is>
      </c>
    </row>
    <row r="1450">
      <c r="A1450" t="inlineStr">
        <is>
          <t>financialwell</t>
        </is>
      </c>
      <c r="B1450" t="inlineStr">
        <is>
          <t>/Users/manczg/Documents/development/financialwell/FinancialWell/Models/ModelCurrencies.swift</t>
        </is>
      </c>
      <c r="C1450" t="inlineStr">
        <is>
          <t>smells-08</t>
        </is>
      </c>
      <c r="D1450" t="n">
        <v>131</v>
      </c>
      <c r="E1450" t="inlineStr">
        <is>
          <t>TP</t>
        </is>
      </c>
      <c r="F1450" t="inlineStr">
        <is>
          <t>exchange returns nil as hidden failure path</t>
        </is>
      </c>
    </row>
    <row r="1451">
      <c r="A1451" t="inlineStr">
        <is>
          <t>financialwell</t>
        </is>
      </c>
      <c r="B1451" t="inlineStr">
        <is>
          <t>/Users/manczg/Documents/development/financialwell/FinancialWell/Models/ModelCurrencies.swift</t>
        </is>
      </c>
      <c r="C1451" t="inlineStr">
        <is>
          <t>smells-08</t>
        </is>
      </c>
      <c r="D1451" t="n">
        <v>157</v>
      </c>
      <c r="E1451" t="inlineStr">
        <is>
          <t>TP</t>
        </is>
      </c>
      <c r="F1451" t="inlineStr">
        <is>
          <t>exchange returns nil as hidden failure path</t>
        </is>
      </c>
    </row>
    <row r="1452">
      <c r="A1452" t="inlineStr">
        <is>
          <t>financialwell</t>
        </is>
      </c>
      <c r="B1452" t="inlineStr">
        <is>
          <t>/Users/manczg/Documents/development/financialwell/FinancialWell/Models/ModelCurrencies.swift</t>
        </is>
      </c>
      <c r="C1452" t="inlineStr">
        <is>
          <t>smells-08</t>
        </is>
      </c>
      <c r="D1452" t="n">
        <v>160</v>
      </c>
      <c r="E1452" t="inlineStr">
        <is>
          <t>TP</t>
        </is>
      </c>
      <c r="F1452" t="inlineStr">
        <is>
          <t>exchange returns nil as hidden failure path</t>
        </is>
      </c>
    </row>
    <row r="1453">
      <c r="A1453" t="inlineStr">
        <is>
          <t>financialwell</t>
        </is>
      </c>
      <c r="B1453" t="inlineStr">
        <is>
          <t>/Users/manczg/Documents/development/financialwell/FinancialWell/Models/ModelCurrencies.swift</t>
        </is>
      </c>
      <c r="C1453" t="inlineStr">
        <is>
          <t>smells-08</t>
        </is>
      </c>
      <c r="D1453" t="n">
        <v>511</v>
      </c>
      <c r="E1453" t="inlineStr">
        <is>
          <t>TP</t>
        </is>
      </c>
      <c r="F1453" t="inlineStr">
        <is>
          <t>getCurrency(from:) returns nil as hidden failure path</t>
        </is>
      </c>
    </row>
    <row r="1454">
      <c r="A1454" t="inlineStr">
        <is>
          <t>financialwell</t>
        </is>
      </c>
      <c r="B1454" t="inlineStr">
        <is>
          <t>/Users/manczg/Documents/development/financialwell/FinancialWell/Models/ModelCurrencies.swift</t>
        </is>
      </c>
      <c r="C1454" t="inlineStr">
        <is>
          <t>smells-10</t>
        </is>
      </c>
      <c r="D1454" t="n">
        <v>33</v>
      </c>
      <c r="E1454" t="inlineStr">
        <is>
          <t>FP</t>
        </is>
      </c>
      <c r="F1454" t="inlineStr">
        <is>
          <t>.values.sorted(by:) is a collection-pipeline chain, excluded vocabulary</t>
        </is>
      </c>
    </row>
    <row r="1455">
      <c r="A1455" t="inlineStr">
        <is>
          <t>financialwell</t>
        </is>
      </c>
      <c r="B1455" t="inlineStr">
        <is>
          <t>/Users/manczg/Documents/development/financialwell/FinancialWell/Models/ModelCurrencies.swift</t>
        </is>
      </c>
      <c r="C1455" t="inlineStr">
        <is>
          <t>smells-10</t>
        </is>
      </c>
      <c r="D1455" t="n">
        <v>521</v>
      </c>
      <c r="E1455" t="inlineStr">
        <is>
          <t>FP</t>
        </is>
      </c>
      <c r="F1455" t="inlineStr">
        <is>
          <t>curr.value.country.contains(...) is tuple-destructure plus collection query, not cross-domain traversal</t>
        </is>
      </c>
    </row>
    <row r="1456">
      <c r="A1456" t="inlineStr">
        <is>
          <t>financialwell</t>
        </is>
      </c>
      <c r="B1456" t="inlineStr">
        <is>
          <t>/Users/manczg/Documents/development/financialwell/FinancialWell/Models/ModelCurrencies.swift</t>
        </is>
      </c>
      <c r="C1456" t="inlineStr">
        <is>
          <t>smells-10</t>
        </is>
      </c>
      <c r="D1456" t="n">
        <v>538</v>
      </c>
      <c r="E1456" t="inlineStr">
        <is>
          <t>TP</t>
        </is>
      </c>
      <c r="F1456" t="inlineStr">
        <is>
          <t>reaches through ModelManager.shared singleton into a collaborator's collaborator</t>
        </is>
      </c>
    </row>
    <row r="1457">
      <c r="A1457" t="inlineStr">
        <is>
          <t>financialwell</t>
        </is>
      </c>
      <c r="B1457" t="inlineStr">
        <is>
          <t>/Users/manczg/Documents/development/financialwell/FinancialWell/Models/ModelCurrencies.swift</t>
        </is>
      </c>
      <c r="C1457" t="inlineStr">
        <is>
          <t>smells-12</t>
        </is>
      </c>
      <c r="D1457" t="n">
        <v>343</v>
      </c>
      <c r="E1457" t="inlineStr">
        <is>
          <t>TP</t>
        </is>
      </c>
      <c r="F1457" t="inlineStr">
        <is>
          <t>empty catch block swallows all errors including the thrown NSError</t>
        </is>
      </c>
    </row>
    <row r="1458">
      <c r="A1458" t="inlineStr">
        <is>
          <t>financialwell</t>
        </is>
      </c>
      <c r="B1458" t="inlineStr">
        <is>
          <t>/Users/manczg/Documents/development/financialwell/FinancialWell/Models/ModelCurrencies.swift</t>
        </is>
      </c>
      <c r="C1458" t="inlineStr">
        <is>
          <t>solid-06</t>
        </is>
      </c>
      <c r="D1458" t="n">
        <v>13</v>
      </c>
      <c r="E1458" t="inlineStr">
        <is>
          <t>TP</t>
        </is>
      </c>
      <c r="F1458" t="inlineStr">
        <is>
          <t>public stored var base on non-data-holder business class</t>
        </is>
      </c>
    </row>
    <row r="1459">
      <c r="A1459" t="inlineStr">
        <is>
          <t>financialwell</t>
        </is>
      </c>
      <c r="B1459" t="inlineStr">
        <is>
          <t>/Users/manczg/Documents/development/financialwell/FinancialWell/Models/ModelCurrencies.swift</t>
        </is>
      </c>
      <c r="C1459" t="inlineStr">
        <is>
          <t>solid-06</t>
        </is>
      </c>
      <c r="D1459" t="n">
        <v>14</v>
      </c>
      <c r="E1459" t="inlineStr">
        <is>
          <t>TP</t>
        </is>
      </c>
      <c r="F1459" t="inlineStr">
        <is>
          <t>public stored var baseNumberFormatter</t>
        </is>
      </c>
    </row>
    <row r="1460">
      <c r="A1460" t="inlineStr">
        <is>
          <t>financialwell</t>
        </is>
      </c>
      <c r="B1460" t="inlineStr">
        <is>
          <t>/Users/manczg/Documents/development/financialwell/FinancialWell/Models/ModelCurrencies.swift</t>
        </is>
      </c>
      <c r="C1460" t="inlineStr">
        <is>
          <t>solid-06</t>
        </is>
      </c>
      <c r="D1460" t="n">
        <v>15</v>
      </c>
      <c r="E1460" t="inlineStr">
        <is>
          <t>TP</t>
        </is>
      </c>
      <c r="F1460" t="inlineStr">
        <is>
          <t>public stored var useInverse</t>
        </is>
      </c>
    </row>
    <row r="1461">
      <c r="A1461" t="inlineStr">
        <is>
          <t>financialwell</t>
        </is>
      </c>
      <c r="B1461" t="inlineStr">
        <is>
          <t>/Users/manczg/Documents/development/financialwell/FinancialWell/Models/ModelCurrencies.swift</t>
        </is>
      </c>
      <c r="C1461" t="inlineStr">
        <is>
          <t>solid-06</t>
        </is>
      </c>
      <c r="D1461" t="n">
        <v>21</v>
      </c>
      <c r="E1461" t="inlineStr">
        <is>
          <t>TP</t>
        </is>
      </c>
      <c r="F1461" t="inlineStr">
        <is>
          <t>public static var regionCurrency</t>
        </is>
      </c>
    </row>
    <row r="1462">
      <c r="A1462" t="inlineStr">
        <is>
          <t>financialwell</t>
        </is>
      </c>
      <c r="B1462" t="inlineStr">
        <is>
          <t>/Users/manczg/Documents/development/financialwell/FinancialWell/Models/ModelCurrencies.swift</t>
        </is>
      </c>
      <c r="C1462" t="inlineStr">
        <is>
          <t>solid-06</t>
        </is>
      </c>
      <c r="D1462" t="n">
        <v>22</v>
      </c>
      <c r="E1462" t="inlineStr">
        <is>
          <t>TP</t>
        </is>
      </c>
      <c r="F1462" t="inlineStr">
        <is>
          <t>public static var allCurrencies</t>
        </is>
      </c>
    </row>
    <row r="1463">
      <c r="A1463" t="inlineStr">
        <is>
          <t>financialwell</t>
        </is>
      </c>
      <c r="B1463" t="inlineStr">
        <is>
          <t>/Users/manczg/Documents/development/financialwell/FinancialWell/Models/ModelCurrencies.swift</t>
        </is>
      </c>
      <c r="C1463" t="inlineStr">
        <is>
          <t>solid-06</t>
        </is>
      </c>
      <c r="D1463" t="n">
        <v>23</v>
      </c>
      <c r="E1463" t="inlineStr">
        <is>
          <t>TP</t>
        </is>
      </c>
      <c r="F1463" t="inlineStr">
        <is>
          <t>public stored var currencyDict</t>
        </is>
      </c>
    </row>
    <row r="1464">
      <c r="A1464" t="inlineStr">
        <is>
          <t>financialwell</t>
        </is>
      </c>
      <c r="B1464" t="inlineStr">
        <is>
          <t>/Users/manczg/Documents/development/financialwell/FinancialWell/Models/ModelCurrencies.swift</t>
        </is>
      </c>
      <c r="C1464" t="inlineStr">
        <is>
          <t>solid-06</t>
        </is>
      </c>
      <c r="D1464" t="n">
        <v>24</v>
      </c>
      <c r="E1464" t="inlineStr">
        <is>
          <t>TP</t>
        </is>
      </c>
      <c r="F1464" t="inlineStr">
        <is>
          <t>public stored var currencyArray</t>
        </is>
      </c>
    </row>
    <row r="1465">
      <c r="A1465" t="inlineStr">
        <is>
          <t>financialwell</t>
        </is>
      </c>
      <c r="B1465" t="inlineStr">
        <is>
          <t>/Users/manczg/Documents/development/financialwell/FinancialWell/Models/ModelCurrencies.swift</t>
        </is>
      </c>
      <c r="C1465" t="inlineStr">
        <is>
          <t>solid-06</t>
        </is>
      </c>
      <c r="D1465" t="n">
        <v>25</v>
      </c>
      <c r="E1465" t="inlineStr">
        <is>
          <t>TP</t>
        </is>
      </c>
      <c r="F1465" t="inlineStr">
        <is>
          <t>public stored var currencyDG</t>
        </is>
      </c>
    </row>
    <row r="1466">
      <c r="A1466" t="inlineStr">
        <is>
          <t>financialwell</t>
        </is>
      </c>
      <c r="B1466" t="inlineStr">
        <is>
          <t>/Users/manczg/Documents/development/financialwell/FinancialWell/Models/ModelCurrencies.swift</t>
        </is>
      </c>
      <c r="C1466" t="inlineStr">
        <is>
          <t>solid-06</t>
        </is>
      </c>
      <c r="D1466" t="n">
        <v>26</v>
      </c>
      <c r="E1466" t="inlineStr">
        <is>
          <t>TP</t>
        </is>
      </c>
      <c r="F1466" t="inlineStr">
        <is>
          <t>public stored var waitForCurrencyDG</t>
        </is>
      </c>
    </row>
    <row r="1467">
      <c r="A1467" t="inlineStr">
        <is>
          <t>financialwell</t>
        </is>
      </c>
      <c r="B1467" t="inlineStr">
        <is>
          <t>/Users/manczg/Documents/development/financialwell/FinancialWell/Models/ModelCurrencies.swift</t>
        </is>
      </c>
      <c r="C1467" t="inlineStr">
        <is>
          <t>solid-07</t>
        </is>
      </c>
      <c r="D1467" t="n">
        <v>62</v>
      </c>
      <c r="E1467" t="inlineStr">
        <is>
          <t>TP</t>
        </is>
      </c>
      <c r="F1467" t="inlineStr">
        <is>
          <t>currencyCode: String is primitive obsession, *Code suffix</t>
        </is>
      </c>
    </row>
    <row r="1468">
      <c r="A1468" t="inlineStr">
        <is>
          <t>financialwell</t>
        </is>
      </c>
      <c r="B1468" t="inlineStr">
        <is>
          <t>/Users/manczg/Documents/development/financialwell/FinancialWell/Models/ModelCurrencies.swift</t>
        </is>
      </c>
      <c r="C1468" t="inlineStr">
        <is>
          <t>solid-07</t>
        </is>
      </c>
      <c r="D1468" t="n">
        <v>69</v>
      </c>
      <c r="E1468" t="inlineStr">
        <is>
          <t>TP</t>
        </is>
      </c>
      <c r="F1468" t="inlineStr">
        <is>
          <t>currencyCode/toCurrencyCode: String primitive obsession</t>
        </is>
      </c>
    </row>
    <row r="1469">
      <c r="A1469" t="inlineStr">
        <is>
          <t>financialwell</t>
        </is>
      </c>
      <c r="B1469" t="inlineStr">
        <is>
          <t>/Users/manczg/Documents/development/financialwell/FinancialWell/Models/ModelCurrencies.swift</t>
        </is>
      </c>
      <c r="C1469" t="inlineStr">
        <is>
          <t>solid-07</t>
        </is>
      </c>
      <c r="D1469" t="n">
        <v>187</v>
      </c>
      <c r="E1469" t="inlineStr">
        <is>
          <t>TP</t>
        </is>
      </c>
      <c r="F1469" t="inlineStr">
        <is>
          <t>countryCode: String primitive obsession</t>
        </is>
      </c>
    </row>
    <row r="1470">
      <c r="A1470" t="inlineStr">
        <is>
          <t>financialwell</t>
        </is>
      </c>
      <c r="B1470" t="inlineStr">
        <is>
          <t>/Users/manczg/Documents/development/financialwell/FinancialWell/Models/ModelCurrencies.swift</t>
        </is>
      </c>
      <c r="C1470" t="inlineStr">
        <is>
          <t>solid-08</t>
        </is>
      </c>
      <c r="D1470" t="n">
        <v>14</v>
      </c>
      <c r="E1470" t="inlineStr">
        <is>
          <t>TP</t>
        </is>
      </c>
      <c r="F1470" t="inlineStr">
        <is>
          <t>baseNumberFormatter (class/reference type) only mutated via its own properties, never reassigned, could be let</t>
        </is>
      </c>
    </row>
    <row r="1471">
      <c r="A1471" t="inlineStr">
        <is>
          <t>financialwell</t>
        </is>
      </c>
      <c r="B1471" t="inlineStr">
        <is>
          <t>/Users/manczg/Documents/development/financialwell/FinancialWell/Models/ModelCurrencies.swift</t>
        </is>
      </c>
      <c r="C1471" t="inlineStr">
        <is>
          <t>solid-08</t>
        </is>
      </c>
      <c r="D1471" t="n">
        <v>15</v>
      </c>
      <c r="E1471" t="inlineStr">
        <is>
          <t>TP</t>
        </is>
      </c>
      <c r="F1471" t="inlineStr">
        <is>
          <t>useInverse assigned once, never reassigned or used elsewhere</t>
        </is>
      </c>
    </row>
    <row r="1472">
      <c r="A1472" t="inlineStr">
        <is>
          <t>financialwell</t>
        </is>
      </c>
      <c r="B1472" t="inlineStr">
        <is>
          <t>/Users/manczg/Documents/development/financialwell/FinancialWell/Models/ModelCurrencies.swift</t>
        </is>
      </c>
      <c r="C1472" t="inlineStr">
        <is>
          <t>solid-08</t>
        </is>
      </c>
      <c r="D1472" t="n">
        <v>24</v>
      </c>
      <c r="E1472" t="inlineStr">
        <is>
          <t>FP</t>
        </is>
      </c>
      <c r="F1472" t="inlineStr">
        <is>
          <t>currencyArray mutated via self.currencyArray.removeAll()/.append()/.sort(), value-type mutators require var</t>
        </is>
      </c>
    </row>
    <row r="1473">
      <c r="A1473" t="inlineStr">
        <is>
          <t>financialwell</t>
        </is>
      </c>
      <c r="B1473" t="inlineStr">
        <is>
          <t>/Users/manczg/Documents/development/financialwell/FinancialWell/Models/ModelCurrencies.swift</t>
        </is>
      </c>
      <c r="C1473" t="inlineStr">
        <is>
          <t>solid-08</t>
        </is>
      </c>
      <c r="D1473" t="n">
        <v>25</v>
      </c>
      <c r="E1473" t="inlineStr">
        <is>
          <t>TP</t>
        </is>
      </c>
      <c r="F1473" t="inlineStr">
        <is>
          <t>currencyDG (class/reference type DispatchGroup) only mutated via its own methods, never reassigned, could be let</t>
        </is>
      </c>
    </row>
    <row r="1474">
      <c r="A1474" t="inlineStr">
        <is>
          <t>financialwell</t>
        </is>
      </c>
      <c r="B1474" t="inlineStr">
        <is>
          <t>/Users/manczg/Documents/development/financialwell/FinancialWell/Models/ModelCurrencies.swift</t>
        </is>
      </c>
      <c r="C1474" t="inlineStr">
        <is>
          <t>solid-08</t>
        </is>
      </c>
      <c r="D1474" t="n">
        <v>26</v>
      </c>
      <c r="E1474" t="inlineStr">
        <is>
          <t>TP</t>
        </is>
      </c>
      <c r="F1474" t="inlineStr">
        <is>
          <t>waitForCurrencyDG assigned once, never reassigned</t>
        </is>
      </c>
    </row>
    <row r="1475">
      <c r="A1475" t="inlineStr">
        <is>
          <t>financialwell</t>
        </is>
      </c>
      <c r="B1475" t="inlineStr">
        <is>
          <t>/Users/manczg/Documents/development/financialwell/FinancialWell/Models/ModelCurrencies.swift</t>
        </is>
      </c>
      <c r="C1475" t="inlineStr">
        <is>
          <t>solid-09</t>
        </is>
      </c>
      <c r="D1475" t="n">
        <v>21</v>
      </c>
      <c r="E1475" t="inlineStr">
        <is>
          <t>TP</t>
        </is>
      </c>
      <c r="F1475" t="inlineStr">
        <is>
          <t>static var regionCurrency, global mutable dictionary</t>
        </is>
      </c>
    </row>
    <row r="1476">
      <c r="A1476" t="inlineStr">
        <is>
          <t>financialwell</t>
        </is>
      </c>
      <c r="B1476" t="inlineStr">
        <is>
          <t>/Users/manczg/Documents/development/financialwell/FinancialWell/Models/ModelCurrencies.swift</t>
        </is>
      </c>
      <c r="C1476" t="inlineStr">
        <is>
          <t>solid-09</t>
        </is>
      </c>
      <c r="D1476" t="n">
        <v>22</v>
      </c>
      <c r="E1476" t="inlineStr">
        <is>
          <t>TP</t>
        </is>
      </c>
      <c r="F1476" t="inlineStr">
        <is>
          <t>static var allCurrencies, global mutable array</t>
        </is>
      </c>
    </row>
    <row r="1477">
      <c r="A1477" t="inlineStr">
        <is>
          <t>financialwell</t>
        </is>
      </c>
      <c r="B1477" t="inlineStr">
        <is>
          <t>/Users/manczg/Documents/development/financialwell/FinancialWell/Models/ModelCurrencies.swift</t>
        </is>
      </c>
      <c r="C1477" t="inlineStr">
        <is>
          <t>solid-10</t>
        </is>
      </c>
      <c r="D1477" t="n">
        <v>193</v>
      </c>
      <c r="E1477" t="inlineStr">
        <is>
          <t>TP</t>
        </is>
      </c>
      <c r="F1477" t="inlineStr">
        <is>
          <t>new PerformanceLogger() hardcoded inline in business method, not injected</t>
        </is>
      </c>
    </row>
    <row r="1478">
      <c r="A1478" t="inlineStr">
        <is>
          <t>financialwell</t>
        </is>
      </c>
      <c r="B1478" t="inlineStr">
        <is>
          <t>/Users/manczg/Documents/development/financialwell/FinancialWell/Models/ModelCurrencies.swift</t>
        </is>
      </c>
      <c r="C1478" t="inlineStr">
        <is>
          <t>solid-10</t>
        </is>
      </c>
      <c r="D1478" t="n">
        <v>329</v>
      </c>
      <c r="E1478" t="inlineStr">
        <is>
          <t>TP</t>
        </is>
      </c>
      <c r="F1478" t="inlineStr">
        <is>
          <t>new PerformanceLogger() hardcoded inline in localFetch()</t>
        </is>
      </c>
    </row>
    <row r="1479">
      <c r="A1479" t="inlineStr">
        <is>
          <t>financialwell</t>
        </is>
      </c>
      <c r="B1479" t="inlineStr">
        <is>
          <t>/Users/manczg/Documents/development/financialwell/FinancialWell/Models/ModelCurrencies.swift</t>
        </is>
      </c>
      <c r="C1479" t="inlineStr">
        <is>
          <t>solid-10</t>
        </is>
      </c>
      <c r="D1479" t="n">
        <v>369</v>
      </c>
      <c r="E1479" t="inlineStr">
        <is>
          <t>TP</t>
        </is>
      </c>
      <c r="F1479" t="inlineStr">
        <is>
          <t>new PerformanceLogger() hardcoded inline in fetch()</t>
        </is>
      </c>
    </row>
    <row r="1480">
      <c r="A1480" t="inlineStr">
        <is>
          <t>financialwell</t>
        </is>
      </c>
      <c r="B1480" t="inlineStr">
        <is>
          <t>/Users/manczg/Documents/development/financialwell/FinancialWell/Models/ModelCurrencies.swift</t>
        </is>
      </c>
      <c r="C1480" t="inlineStr">
        <is>
          <t>solid-12</t>
        </is>
      </c>
      <c r="D1480" t="n">
        <v>36</v>
      </c>
      <c r="E1480" t="inlineStr">
        <is>
          <t>FP</t>
        </is>
      </c>
      <c r="F1480" t="inlineStr">
        <is>
          <t>commented-out print, not an actual logging call</t>
        </is>
      </c>
    </row>
    <row r="1481">
      <c r="A1481" t="inlineStr">
        <is>
          <t>financialwell</t>
        </is>
      </c>
      <c r="B1481" t="inlineStr">
        <is>
          <t>/Users/manczg/Documents/development/financialwell/FinancialWell/Models/ModelCurrencies.swift</t>
        </is>
      </c>
      <c r="C1481" t="inlineStr">
        <is>
          <t>solid-12</t>
        </is>
      </c>
      <c r="D1481" t="n">
        <v>41</v>
      </c>
      <c r="E1481" t="inlineStr">
        <is>
          <t>FP</t>
        </is>
      </c>
      <c r="F1481" t="inlineStr">
        <is>
          <t>commented-out print, not an actual logging call</t>
        </is>
      </c>
    </row>
    <row r="1482">
      <c r="A1482" t="inlineStr">
        <is>
          <t>financialwell</t>
        </is>
      </c>
      <c r="B1482" t="inlineStr">
        <is>
          <t>/Users/manczg/Documents/development/financialwell/FinancialWell/Models/ModelCurrencies.swift</t>
        </is>
      </c>
      <c r="C1482" t="inlineStr">
        <is>
          <t>solid-12</t>
        </is>
      </c>
      <c r="D1482" t="n">
        <v>166</v>
      </c>
      <c r="E1482" t="inlineStr">
        <is>
          <t>TP</t>
        </is>
      </c>
      <c r="F1482" t="inlineStr">
        <is>
          <t>AppLog.warning call inside model/business-logic class</t>
        </is>
      </c>
    </row>
    <row r="1483">
      <c r="A1483" t="inlineStr">
        <is>
          <t>financialwell</t>
        </is>
      </c>
      <c r="B1483" t="inlineStr">
        <is>
          <t>/Users/manczg/Documents/development/financialwell/FinancialWell/Models/ModelCurrencies.swift</t>
        </is>
      </c>
      <c r="C1483" t="inlineStr">
        <is>
          <t>solid-12</t>
        </is>
      </c>
      <c r="D1483" t="n">
        <v>183</v>
      </c>
      <c r="E1483" t="inlineStr">
        <is>
          <t>TP</t>
        </is>
      </c>
      <c r="F1483" t="inlineStr">
        <is>
          <t>AppLog.warning call inside model/business-logic class</t>
        </is>
      </c>
    </row>
    <row r="1484">
      <c r="A1484" t="inlineStr">
        <is>
          <t>financialwell</t>
        </is>
      </c>
      <c r="B1484" t="inlineStr">
        <is>
          <t>/Users/manczg/Documents/development/financialwell/FinancialWell/Models/ModelCurrencies.swift</t>
        </is>
      </c>
      <c r="C1484" t="inlineStr">
        <is>
          <t>solid-12</t>
        </is>
      </c>
      <c r="D1484" t="n">
        <v>225</v>
      </c>
      <c r="E1484" t="inlineStr">
        <is>
          <t>FP</t>
        </is>
      </c>
      <c r="F1484" t="inlineStr">
        <is>
          <t>commented-out print, not an actual logging call</t>
        </is>
      </c>
    </row>
    <row r="1485">
      <c r="A1485" t="inlineStr">
        <is>
          <t>financialwell</t>
        </is>
      </c>
      <c r="B1485" t="inlineStr">
        <is>
          <t>/Users/manczg/Documents/development/financialwell/FinancialWell/Models/ModelCurrencies.swift</t>
        </is>
      </c>
      <c r="C1485" t="inlineStr">
        <is>
          <t>solid-12</t>
        </is>
      </c>
      <c r="D1485" t="n">
        <v>230</v>
      </c>
      <c r="E1485" t="inlineStr">
        <is>
          <t>FP</t>
        </is>
      </c>
      <c r="F1485" t="inlineStr">
        <is>
          <t>commented-out print, not an actual logging call</t>
        </is>
      </c>
    </row>
    <row r="1486">
      <c r="A1486" t="inlineStr">
        <is>
          <t>financialwell</t>
        </is>
      </c>
      <c r="B1486" t="inlineStr">
        <is>
          <t>/Users/manczg/Documents/development/financialwell/FinancialWell/Models/ModelCurrencies.swift</t>
        </is>
      </c>
      <c r="C1486" t="inlineStr">
        <is>
          <t>solid-12</t>
        </is>
      </c>
      <c r="D1486" t="n">
        <v>290</v>
      </c>
      <c r="E1486" t="inlineStr">
        <is>
          <t>TP</t>
        </is>
      </c>
      <c r="F1486" t="inlineStr">
        <is>
          <t>AppLog.fail call inside model/business-logic class</t>
        </is>
      </c>
    </row>
    <row r="1487">
      <c r="A1487" t="inlineStr">
        <is>
          <t>financialwell</t>
        </is>
      </c>
      <c r="B1487" t="inlineStr">
        <is>
          <t>/Users/manczg/Documents/development/financialwell/FinancialWell/Models/ModelCurrencies.swift</t>
        </is>
      </c>
      <c r="C1487" t="inlineStr">
        <is>
          <t>solid-12</t>
        </is>
      </c>
      <c r="D1487" t="n">
        <v>293</v>
      </c>
      <c r="E1487" t="inlineStr">
        <is>
          <t>FP</t>
        </is>
      </c>
      <c r="F1487" t="inlineStr">
        <is>
          <t>commented-out print, not an actual logging call</t>
        </is>
      </c>
    </row>
    <row r="1488">
      <c r="A1488" t="inlineStr">
        <is>
          <t>financialwell</t>
        </is>
      </c>
      <c r="B1488" t="inlineStr">
        <is>
          <t>/Users/manczg/Documents/development/financialwell/FinancialWell/Models/ModelCurrencies.swift</t>
        </is>
      </c>
      <c r="C1488" t="inlineStr">
        <is>
          <t>solid-12</t>
        </is>
      </c>
      <c r="D1488" t="n">
        <v>321</v>
      </c>
      <c r="E1488" t="inlineStr">
        <is>
          <t>TP</t>
        </is>
      </c>
      <c r="F1488" t="inlineStr">
        <is>
          <t>AppLog.fail call inside model/business-logic class</t>
        </is>
      </c>
    </row>
    <row r="1489">
      <c r="A1489" t="inlineStr">
        <is>
          <t>financialwell</t>
        </is>
      </c>
      <c r="B1489" t="inlineStr">
        <is>
          <t>/Users/manczg/Documents/development/financialwell/FinancialWell/Models/ModelCurrencies.swift</t>
        </is>
      </c>
      <c r="C1489" t="inlineStr">
        <is>
          <t>solid-12</t>
        </is>
      </c>
      <c r="D1489" t="n">
        <v>358</v>
      </c>
      <c r="E1489" t="inlineStr">
        <is>
          <t>TP</t>
        </is>
      </c>
      <c r="F1489" t="inlineStr">
        <is>
          <t>AppLog.fail call inside model/business-logic class</t>
        </is>
      </c>
    </row>
    <row r="1490">
      <c r="A1490" t="inlineStr">
        <is>
          <t>financialwell</t>
        </is>
      </c>
      <c r="B1490" t="inlineStr">
        <is>
          <t>/Users/manczg/Documents/development/financialwell/FinancialWell/Models/ModelCurrencies.swift</t>
        </is>
      </c>
      <c r="C1490" t="inlineStr">
        <is>
          <t>solid-12</t>
        </is>
      </c>
      <c r="D1490" t="n">
        <v>381</v>
      </c>
      <c r="E1490" t="inlineStr">
        <is>
          <t>TP</t>
        </is>
      </c>
      <c r="F1490" t="inlineStr">
        <is>
          <t>AppLog.fail call inside model/business-logic class</t>
        </is>
      </c>
    </row>
    <row r="1491">
      <c r="A1491" t="inlineStr">
        <is>
          <t>financialwell</t>
        </is>
      </c>
      <c r="B1491" t="inlineStr">
        <is>
          <t>/Users/manczg/Documents/development/financialwell/FinancialWell/Models/ModelCurrencies.swift</t>
        </is>
      </c>
      <c r="C1491" t="inlineStr">
        <is>
          <t>solid-12</t>
        </is>
      </c>
      <c r="D1491" t="n">
        <v>388</v>
      </c>
      <c r="E1491" t="inlineStr">
        <is>
          <t>TP</t>
        </is>
      </c>
      <c r="F1491" t="inlineStr">
        <is>
          <t>AppLog.fail call inside model/business-logic class</t>
        </is>
      </c>
    </row>
    <row r="1492">
      <c r="A1492" t="inlineStr">
        <is>
          <t>financialwell</t>
        </is>
      </c>
      <c r="B1492" t="inlineStr">
        <is>
          <t>/Users/manczg/Documents/development/financialwell/FinancialWell/Models/ModelCurrencies.swift</t>
        </is>
      </c>
      <c r="C1492" t="inlineStr">
        <is>
          <t>solid-12</t>
        </is>
      </c>
      <c r="D1492" t="n">
        <v>395</v>
      </c>
      <c r="E1492" t="inlineStr">
        <is>
          <t>TP</t>
        </is>
      </c>
      <c r="F1492" t="inlineStr">
        <is>
          <t>AppLog.warning call inside model/business-logic class</t>
        </is>
      </c>
    </row>
    <row r="1493">
      <c r="A1493" t="inlineStr">
        <is>
          <t>financialwell</t>
        </is>
      </c>
      <c r="B1493" t="inlineStr">
        <is>
          <t>/Users/manczg/Documents/development/financialwell/FinancialWell/Models/ModelCurrencies.swift</t>
        </is>
      </c>
      <c r="C1493" t="inlineStr">
        <is>
          <t>solid-12</t>
        </is>
      </c>
      <c r="D1493" t="n">
        <v>403</v>
      </c>
      <c r="E1493" t="inlineStr">
        <is>
          <t>TP</t>
        </is>
      </c>
      <c r="F1493" t="inlineStr">
        <is>
          <t>AppLog.warning call inside model/business-logic class</t>
        </is>
      </c>
    </row>
    <row r="1494">
      <c r="A1494" t="inlineStr">
        <is>
          <t>financialwell</t>
        </is>
      </c>
      <c r="B1494" t="inlineStr">
        <is>
          <t>/Users/manczg/Documents/development/financialwell/FinancialWell/Models/ModelCurrencies.swift</t>
        </is>
      </c>
      <c r="C1494" t="inlineStr">
        <is>
          <t>solid-12</t>
        </is>
      </c>
      <c r="D1494" t="n">
        <v>412</v>
      </c>
      <c r="E1494" t="inlineStr">
        <is>
          <t>TP</t>
        </is>
      </c>
      <c r="F1494" t="inlineStr">
        <is>
          <t>AppLog.fail call inside model/business-logic class</t>
        </is>
      </c>
    </row>
    <row r="1495">
      <c r="A1495" t="inlineStr">
        <is>
          <t>financialwell</t>
        </is>
      </c>
      <c r="B1495" t="inlineStr">
        <is>
          <t>/Users/manczg/Documents/development/financialwell/FinancialWell/Models/ModelCurrencies.swift</t>
        </is>
      </c>
      <c r="C1495" t="inlineStr">
        <is>
          <t>solid-12</t>
        </is>
      </c>
      <c r="D1495" t="n">
        <v>424</v>
      </c>
      <c r="E1495" t="inlineStr">
        <is>
          <t>TP</t>
        </is>
      </c>
      <c r="F1495" t="inlineStr">
        <is>
          <t>AppLog.info call inside model/business-logic class</t>
        </is>
      </c>
    </row>
    <row r="1496">
      <c r="A1496" t="inlineStr">
        <is>
          <t>financialwell</t>
        </is>
      </c>
      <c r="B1496" t="inlineStr">
        <is>
          <t>/Users/manczg/Documents/development/financialwell/FinancialWell/Models/ModelCurrencies.swift</t>
        </is>
      </c>
      <c r="C1496" t="inlineStr">
        <is>
          <t>solid-12</t>
        </is>
      </c>
      <c r="D1496" t="n">
        <v>426</v>
      </c>
      <c r="E1496" t="inlineStr">
        <is>
          <t>TP</t>
        </is>
      </c>
      <c r="F1496" t="inlineStr">
        <is>
          <t>AppLog.info call inside model/business-logic class</t>
        </is>
      </c>
    </row>
    <row r="1497">
      <c r="A1497" t="inlineStr">
        <is>
          <t>financialwell</t>
        </is>
      </c>
      <c r="B1497" t="inlineStr">
        <is>
          <t>/Users/manczg/Documents/development/financialwell/FinancialWell/Models/ModelCurrencies.swift</t>
        </is>
      </c>
      <c r="C1497" t="inlineStr">
        <is>
          <t>solid-15</t>
        </is>
      </c>
      <c r="D1497" t="n">
        <v>86</v>
      </c>
      <c r="E1497" t="inlineStr">
        <is>
          <t>TP</t>
        </is>
      </c>
      <c r="F1497" t="inlineStr">
        <is>
          <t>start of behavior-dispatch chain on currency.code</t>
        </is>
      </c>
    </row>
    <row r="1498">
      <c r="A1498" t="inlineStr">
        <is>
          <t>financialwell</t>
        </is>
      </c>
      <c r="B1498" t="inlineStr">
        <is>
          <t>/Users/manczg/Documents/development/financialwell/FinancialWell/Models/ModelCurrencies.swift</t>
        </is>
      </c>
      <c r="C1498" t="inlineStr">
        <is>
          <t>solid-15</t>
        </is>
      </c>
      <c r="D1498" t="n">
        <v>88</v>
      </c>
      <c r="E1498" t="inlineStr">
        <is>
          <t>TP</t>
        </is>
      </c>
      <c r="F1498" t="inlineStr">
        <is>
          <t>nested dispatch on toCurrency.code with differing behavior</t>
        </is>
      </c>
    </row>
    <row r="1499">
      <c r="A1499" t="inlineStr">
        <is>
          <t>financialwell</t>
        </is>
      </c>
      <c r="B1499" t="inlineStr">
        <is>
          <t>/Users/manczg/Documents/development/financialwell/FinancialWell/Models/ModelCurrencies.swift</t>
        </is>
      </c>
      <c r="C1499" t="inlineStr">
        <is>
          <t>solid-15</t>
        </is>
      </c>
      <c r="D1499" t="n">
        <v>112</v>
      </c>
      <c r="E1499" t="inlineStr">
        <is>
          <t>TP</t>
        </is>
      </c>
      <c r="F1499" t="inlineStr">
        <is>
          <t>nested dispatch on toCurrency.code with differing behavior</t>
        </is>
      </c>
    </row>
    <row r="1500">
      <c r="A1500" t="inlineStr">
        <is>
          <t>financialwell</t>
        </is>
      </c>
      <c r="B1500" t="inlineStr">
        <is>
          <t>/Users/manczg/Documents/development/financialwell/FinancialWell/Models/ModelCurrencies.swift</t>
        </is>
      </c>
      <c r="C1500" t="inlineStr">
        <is>
          <t>solid-15</t>
        </is>
      </c>
      <c r="D1500" t="n">
        <v>136</v>
      </c>
      <c r="E1500" t="inlineStr">
        <is>
          <t>TP</t>
        </is>
      </c>
      <c r="F1500" t="inlineStr">
        <is>
          <t>nested dispatch on toCurrency.code with differing behavior</t>
        </is>
      </c>
    </row>
    <row r="1501">
      <c r="A1501" t="inlineStr">
        <is>
          <t>financialwell</t>
        </is>
      </c>
      <c r="B1501" t="inlineStr">
        <is>
          <t>/Users/manczg/Documents/development/financialwell/FinancialWell/Models/ModelCurrencies.swift</t>
        </is>
      </c>
      <c r="C1501" t="inlineStr">
        <is>
          <t>solid-15</t>
        </is>
      </c>
      <c r="D1501" t="n">
        <v>297</v>
      </c>
      <c r="E1501" t="inlineStr">
        <is>
          <t>FP</t>
        </is>
      </c>
      <c r="F1501" t="inlineStr">
        <is>
          <t>single standalone guard if, not part of a dispatch chain</t>
        </is>
      </c>
    </row>
    <row r="1502">
      <c r="A1502" t="inlineStr">
        <is>
          <t>financialwell</t>
        </is>
      </c>
      <c r="B1502" t="inlineStr">
        <is>
          <t>/Users/manczg/Documents/development/financialwell/FinancialWell/Models/ModelCurrencies.swift</t>
        </is>
      </c>
      <c r="C1502" t="inlineStr">
        <is>
          <t>tests-01</t>
        </is>
      </c>
      <c r="D1502" t="n">
        <v>11</v>
      </c>
      <c r="E1502" t="inlineStr">
        <is>
          <t>TP</t>
        </is>
      </c>
      <c r="F1502" t="inlineStr">
        <is>
          <t>no test file exists anywhere in the repo for the ModelCurrencies stem</t>
        </is>
      </c>
    </row>
    <row r="1503">
      <c r="A1503" t="inlineStr">
        <is>
          <t>financialwell</t>
        </is>
      </c>
      <c r="B1503" t="inlineStr">
        <is>
          <t>/Users/manczg/Documents/development/financialwell/FinancialWell/Models/TransactionModel.swift</t>
        </is>
      </c>
      <c r="C1503" t="inlineStr">
        <is>
          <t>arch-08</t>
        </is>
      </c>
      <c r="D1503" t="n">
        <v>15</v>
      </c>
      <c r="E1503" t="inlineStr">
        <is>
          <t>TP</t>
        </is>
      </c>
      <c r="F1503" t="inlineStr">
        <is>
          <t>ModelManager.shared project singleton reached from domain model business logic</t>
        </is>
      </c>
    </row>
    <row r="1504">
      <c r="A1504" t="inlineStr">
        <is>
          <t>financialwell</t>
        </is>
      </c>
      <c r="B1504" t="inlineStr">
        <is>
          <t>/Users/manczg/Documents/development/financialwell/FinancialWell/Models/TransactionModel.swift</t>
        </is>
      </c>
      <c r="C1504" t="inlineStr">
        <is>
          <t>arch-08</t>
        </is>
      </c>
      <c r="D1504" t="n">
        <v>19</v>
      </c>
      <c r="E1504" t="inlineStr">
        <is>
          <t>TP</t>
        </is>
      </c>
      <c r="F1504" t="inlineStr">
        <is>
          <t>ModelManager.shared call inside computed property, not DI config</t>
        </is>
      </c>
    </row>
    <row r="1505">
      <c r="A1505" t="inlineStr">
        <is>
          <t>financialwell</t>
        </is>
      </c>
      <c r="B1505" t="inlineStr">
        <is>
          <t>/Users/manczg/Documents/development/financialwell/FinancialWell/Models/TransactionModel.swift</t>
        </is>
      </c>
      <c r="C1505" t="inlineStr">
        <is>
          <t>arch-08</t>
        </is>
      </c>
      <c r="D1505" t="n">
        <v>186</v>
      </c>
      <c r="E1505" t="inlineStr">
        <is>
          <t>TP</t>
        </is>
      </c>
      <c r="F1505" t="inlineStr">
        <is>
          <t>ModelManager.shared.currencies lookup inside business method</t>
        </is>
      </c>
    </row>
    <row r="1506">
      <c r="A1506" t="inlineStr">
        <is>
          <t>financialwell</t>
        </is>
      </c>
      <c r="B1506" t="inlineStr">
        <is>
          <t>/Users/manczg/Documents/development/financialwell/FinancialWell/Models/TransactionModel.swift</t>
        </is>
      </c>
      <c r="C1506" t="inlineStr">
        <is>
          <t>arch-08</t>
        </is>
      </c>
      <c r="D1506" t="n">
        <v>198</v>
      </c>
      <c r="E1506" t="inlineStr">
        <is>
          <t>TP</t>
        </is>
      </c>
      <c r="F1506" t="inlineStr">
        <is>
          <t>ModelManager.shared.currencies lookup in guard condition</t>
        </is>
      </c>
    </row>
    <row r="1507">
      <c r="A1507" t="inlineStr">
        <is>
          <t>financialwell</t>
        </is>
      </c>
      <c r="B1507" t="inlineStr">
        <is>
          <t>/Users/manczg/Documents/development/financialwell/FinancialWell/Models/TransactionModel.swift</t>
        </is>
      </c>
      <c r="C1507" t="inlineStr">
        <is>
          <t>arch-08</t>
        </is>
      </c>
      <c r="D1507" t="n">
        <v>200</v>
      </c>
      <c r="E1507" t="inlineStr">
        <is>
          <t>TP</t>
        </is>
      </c>
      <c r="F1507" t="inlineStr">
        <is>
          <t>ModelManager.shared.currencies lookup inside assertion argument</t>
        </is>
      </c>
    </row>
    <row r="1508">
      <c r="A1508" t="inlineStr">
        <is>
          <t>financialwell</t>
        </is>
      </c>
      <c r="B1508" t="inlineStr">
        <is>
          <t>/Users/manczg/Documents/development/financialwell/FinancialWell/Models/TransactionModel.swift</t>
        </is>
      </c>
      <c r="C1508" t="inlineStr">
        <is>
          <t>arch-08</t>
        </is>
      </c>
      <c r="D1508" t="n">
        <v>264</v>
      </c>
      <c r="E1508" t="inlineStr">
        <is>
          <t>TP</t>
        </is>
      </c>
      <c r="F1508" t="inlineStr">
        <is>
          <t>ModelManager.shared.locationService reached from business logic</t>
        </is>
      </c>
    </row>
    <row r="1509">
      <c r="A1509" t="inlineStr">
        <is>
          <t>financialwell</t>
        </is>
      </c>
      <c r="B1509" t="inlineStr">
        <is>
          <t>/Users/manczg/Documents/development/financialwell/FinancialWell/Models/TransactionModel.swift</t>
        </is>
      </c>
      <c r="C1509" t="inlineStr">
        <is>
          <t>arch-08</t>
        </is>
      </c>
      <c r="D1509" t="n">
        <v>310</v>
      </c>
      <c r="E1509" t="inlineStr">
        <is>
          <t>TP</t>
        </is>
      </c>
      <c r="F1509" t="inlineStr">
        <is>
          <t>ModelManager.shared.currencies lookup, not composition root</t>
        </is>
      </c>
    </row>
    <row r="1510">
      <c r="A1510" t="inlineStr">
        <is>
          <t>financialwell</t>
        </is>
      </c>
      <c r="B1510" t="inlineStr">
        <is>
          <t>/Users/manczg/Documents/development/financialwell/FinancialWell/Models/TransactionModel.swift</t>
        </is>
      </c>
      <c r="C1510" t="inlineStr">
        <is>
          <t>arch-08</t>
        </is>
      </c>
      <c r="D1510" t="n">
        <v>371</v>
      </c>
      <c r="E1510" t="inlineStr">
        <is>
          <t>TP</t>
        </is>
      </c>
      <c r="F1510" t="inlineStr">
        <is>
          <t>ModelManager.shared.tags lookup inside update method</t>
        </is>
      </c>
    </row>
    <row r="1511">
      <c r="A1511" t="inlineStr">
        <is>
          <t>financialwell</t>
        </is>
      </c>
      <c r="B1511" t="inlineStr">
        <is>
          <t>/Users/manczg/Documents/development/financialwell/FinancialWell/Models/TransactionModel.swift</t>
        </is>
      </c>
      <c r="C1511" t="inlineStr">
        <is>
          <t>arch-08</t>
        </is>
      </c>
      <c r="D1511" t="n">
        <v>375</v>
      </c>
      <c r="E1511" t="inlineStr">
        <is>
          <t>TP</t>
        </is>
      </c>
      <c r="F1511" t="inlineStr">
        <is>
          <t>ModelManager.shared.tags lookup inside update method</t>
        </is>
      </c>
    </row>
    <row r="1512">
      <c r="A1512" t="inlineStr">
        <is>
          <t>financialwell</t>
        </is>
      </c>
      <c r="B1512" t="inlineStr">
        <is>
          <t>/Users/manczg/Documents/development/financialwell/FinancialWell/Models/TransactionModel.swift</t>
        </is>
      </c>
      <c r="C1512" t="inlineStr">
        <is>
          <t>arch-08</t>
        </is>
      </c>
      <c r="D1512" t="n">
        <v>433</v>
      </c>
      <c r="E1512" t="inlineStr">
        <is>
          <t>TP</t>
        </is>
      </c>
      <c r="F1512" t="inlineStr">
        <is>
          <t>ModelManager.shared.currencies lookup inside set(transaction:)</t>
        </is>
      </c>
    </row>
    <row r="1513">
      <c r="A1513" t="inlineStr">
        <is>
          <t>financialwell</t>
        </is>
      </c>
      <c r="B1513" t="inlineStr">
        <is>
          <t>/Users/manczg/Documents/development/financialwell/FinancialWell/Models/TransactionModel.swift</t>
        </is>
      </c>
      <c r="C1513" t="inlineStr">
        <is>
          <t>arch-08</t>
        </is>
      </c>
      <c r="D1513" t="n">
        <v>437</v>
      </c>
      <c r="E1513" t="inlineStr">
        <is>
          <t>TP</t>
        </is>
      </c>
      <c r="F1513" t="inlineStr">
        <is>
          <t>ModelManager.shared.accounts lookup inside set(transaction:)</t>
        </is>
      </c>
    </row>
    <row r="1514">
      <c r="A1514" t="inlineStr">
        <is>
          <t>financialwell</t>
        </is>
      </c>
      <c r="B1514" t="inlineStr">
        <is>
          <t>/Users/manczg/Documents/development/financialwell/FinancialWell/Models/TransactionModel.swift</t>
        </is>
      </c>
      <c r="C1514" t="inlineStr">
        <is>
          <t>arch-08</t>
        </is>
      </c>
      <c r="D1514" t="n">
        <v>441</v>
      </c>
      <c r="E1514" t="inlineStr">
        <is>
          <t>TP</t>
        </is>
      </c>
      <c r="F1514" t="inlineStr">
        <is>
          <t>ModelManager.shared.categories lookup inside set(transaction:)</t>
        </is>
      </c>
    </row>
    <row r="1515">
      <c r="A1515" t="inlineStr">
        <is>
          <t>financialwell</t>
        </is>
      </c>
      <c r="B1515" t="inlineStr">
        <is>
          <t>/Users/manczg/Documents/development/financialwell/FinancialWell/Models/TransactionModel.swift</t>
        </is>
      </c>
      <c r="C1515" t="inlineStr">
        <is>
          <t>arch-08</t>
        </is>
      </c>
      <c r="D1515" t="n">
        <v>447</v>
      </c>
      <c r="E1515" t="inlineStr">
        <is>
          <t>TP</t>
        </is>
      </c>
      <c r="F1515" t="inlineStr">
        <is>
          <t>ModelManager.shared.currencies lookup in if condition</t>
        </is>
      </c>
    </row>
    <row r="1516">
      <c r="A1516" t="inlineStr">
        <is>
          <t>financialwell</t>
        </is>
      </c>
      <c r="B1516" t="inlineStr">
        <is>
          <t>/Users/manczg/Documents/development/financialwell/FinancialWell/Models/TransactionModel.swift</t>
        </is>
      </c>
      <c r="C1516" t="inlineStr">
        <is>
          <t>arch-08</t>
        </is>
      </c>
      <c r="D1516" t="n">
        <v>453</v>
      </c>
      <c r="E1516" t="inlineStr">
        <is>
          <t>TP</t>
        </is>
      </c>
      <c r="F1516" t="inlineStr">
        <is>
          <t>ModelManager.shared.currencies.exchange/getBaseCurrency calls in business logic</t>
        </is>
      </c>
    </row>
    <row r="1517">
      <c r="A1517" t="inlineStr">
        <is>
          <t>financialwell</t>
        </is>
      </c>
      <c r="B1517" t="inlineStr">
        <is>
          <t>/Users/manczg/Documents/development/financialwell/FinancialWell/Models/TransactionModel.swift</t>
        </is>
      </c>
      <c r="C1517" t="inlineStr">
        <is>
          <t>arch-08</t>
        </is>
      </c>
      <c r="D1517" t="n">
        <v>460</v>
      </c>
      <c r="E1517" t="inlineStr">
        <is>
          <t>TP</t>
        </is>
      </c>
      <c r="F1517" t="inlineStr">
        <is>
          <t>ModelManager.shared.currencies.exchange/getBaseCurrency calls in business logic</t>
        </is>
      </c>
    </row>
    <row r="1518">
      <c r="A1518" t="inlineStr">
        <is>
          <t>financialwell</t>
        </is>
      </c>
      <c r="B1518" t="inlineStr">
        <is>
          <t>/Users/manczg/Documents/development/financialwell/FinancialWell/Models/TransactionModel.swift</t>
        </is>
      </c>
      <c r="C1518" t="inlineStr">
        <is>
          <t>arch-08</t>
        </is>
      </c>
      <c r="D1518" t="n">
        <v>470</v>
      </c>
      <c r="E1518" t="inlineStr">
        <is>
          <t>TP</t>
        </is>
      </c>
      <c r="F1518" t="inlineStr">
        <is>
          <t>ModelManager.shared.places lookup inside set(transaction:)</t>
        </is>
      </c>
    </row>
    <row r="1519">
      <c r="A1519" t="inlineStr">
        <is>
          <t>financialwell</t>
        </is>
      </c>
      <c r="B1519" t="inlineStr">
        <is>
          <t>/Users/manczg/Documents/development/financialwell/FinancialWell/Models/TransactionModel.swift</t>
        </is>
      </c>
      <c r="C1519" t="inlineStr">
        <is>
          <t>arch-08</t>
        </is>
      </c>
      <c r="D1519" t="n">
        <v>476</v>
      </c>
      <c r="E1519" t="inlineStr">
        <is>
          <t>TP</t>
        </is>
      </c>
      <c r="F1519" t="inlineStr">
        <is>
          <t>ModelManager.shared.tags lookup inside set(transaction:)</t>
        </is>
      </c>
    </row>
    <row r="1520">
      <c r="A1520" t="inlineStr">
        <is>
          <t>financialwell</t>
        </is>
      </c>
      <c r="B1520" t="inlineStr">
        <is>
          <t>/Users/manczg/Documents/development/financialwell/FinancialWell/Models/TransactionModel.swift</t>
        </is>
      </c>
      <c r="C1520" t="inlineStr">
        <is>
          <t>clarity-09</t>
        </is>
      </c>
      <c r="D1520" t="n">
        <v>273</v>
      </c>
      <c r="E1520" t="inlineStr">
        <is>
          <t>TP</t>
        </is>
      </c>
      <c r="F1520" t="inlineStr">
        <is>
          <t>assertion argument is 6 terms joined by &amp;&amp; / || (&gt;2 sub-expressions)</t>
        </is>
      </c>
    </row>
    <row r="1521">
      <c r="A1521" t="inlineStr">
        <is>
          <t>financialwell</t>
        </is>
      </c>
      <c r="B1521" t="inlineStr">
        <is>
          <t>/Users/manczg/Documents/development/financialwell/FinancialWell/Models/TransactionModel.swift</t>
        </is>
      </c>
      <c r="C1521" t="inlineStr">
        <is>
          <t>clarity-09</t>
        </is>
      </c>
      <c r="D1521" t="n">
        <v>278</v>
      </c>
      <c r="E1521" t="inlineStr">
        <is>
          <t>TP</t>
        </is>
      </c>
      <c r="F1521" t="inlineStr">
        <is>
          <t>if condition is (A&amp;&amp;B)||(C&amp;&amp;D)||E, more than two sub-expressions</t>
        </is>
      </c>
    </row>
    <row r="1522">
      <c r="A1522" t="inlineStr">
        <is>
          <t>financialwell</t>
        </is>
      </c>
      <c r="B1522" t="inlineStr">
        <is>
          <t>/Users/manczg/Documents/development/financialwell/FinancialWell/Models/TransactionModel.swift</t>
        </is>
      </c>
      <c r="C1522" t="inlineStr">
        <is>
          <t>clarity-09</t>
        </is>
      </c>
      <c r="D1522" t="n">
        <v>520</v>
      </c>
      <c r="E1522" t="inlineStr">
        <is>
          <t>TP</t>
        </is>
      </c>
      <c r="F1522" t="inlineStr">
        <is>
          <t>guard condition has 4 terms joined by &amp;&amp;</t>
        </is>
      </c>
    </row>
    <row r="1523">
      <c r="A1523" t="inlineStr">
        <is>
          <t>financialwell</t>
        </is>
      </c>
      <c r="B1523" t="inlineStr">
        <is>
          <t>/Users/manczg/Documents/development/financialwell/FinancialWell/Models/TransactionModel.swift</t>
        </is>
      </c>
      <c r="C1523" t="inlineStr">
        <is>
          <t>clarity-16</t>
        </is>
      </c>
      <c r="D1523" t="n">
        <v>120</v>
      </c>
      <c r="E1523" t="inlineStr">
        <is>
          <t>TP</t>
        </is>
      </c>
      <c r="F1523" t="inlineStr">
        <is>
          <t>switch with 9 cases plus ternary = 11 branch lines, above 10</t>
        </is>
      </c>
    </row>
    <row r="1524">
      <c r="A1524" t="inlineStr">
        <is>
          <t>financialwell</t>
        </is>
      </c>
      <c r="B1524" t="inlineStr">
        <is>
          <t>/Users/manczg/Documents/development/financialwell/FinancialWell/Models/TransactionModel.swift</t>
        </is>
      </c>
      <c r="C1524" t="inlineStr">
        <is>
          <t>clarity-16</t>
        </is>
      </c>
      <c r="D1524" t="n">
        <v>146</v>
      </c>
      <c r="E1524" t="inlineStr">
        <is>
          <t>TP</t>
        </is>
      </c>
      <c r="F1524" t="inlineStr">
        <is>
          <t>switch with 9 cases plus ternary = 11 branch lines, above 10</t>
        </is>
      </c>
    </row>
    <row r="1525">
      <c r="A1525" t="inlineStr">
        <is>
          <t>financialwell</t>
        </is>
      </c>
      <c r="B1525" t="inlineStr">
        <is>
          <t>/Users/manczg/Documents/development/financialwell/FinancialWell/Models/TransactionModel.swift</t>
        </is>
      </c>
      <c r="C1525" t="inlineStr">
        <is>
          <t>clarity-16</t>
        </is>
      </c>
      <c r="D1525" t="n">
        <v>432</v>
      </c>
      <c r="E1525" t="inlineStr">
        <is>
          <t>FP</t>
        </is>
      </c>
      <c r="F1525" t="inlineStr">
        <is>
          <t>real if/else/guard count is exactly 10, not above 10; excess came from Optional-type/nil-coalescing '?' noise</t>
        </is>
      </c>
    </row>
    <row r="1526">
      <c r="A1526" t="inlineStr">
        <is>
          <t>financialwell</t>
        </is>
      </c>
      <c r="B1526" t="inlineStr">
        <is>
          <t>/Users/manczg/Documents/development/financialwell/FinancialWell/Models/TransactionModel.swift</t>
        </is>
      </c>
      <c r="C1526" t="inlineStr">
        <is>
          <t>safety-02</t>
        </is>
      </c>
      <c r="D1526" t="n">
        <v>208</v>
      </c>
      <c r="E1526" t="inlineStr">
        <is>
          <t>FP</t>
        </is>
      </c>
      <c r="F1526" t="inlineStr">
        <is>
          <t>dbValue.priceInDevisa guarded non-nil at line 203 immediately before</t>
        </is>
      </c>
    </row>
    <row r="1527">
      <c r="A1527" t="inlineStr">
        <is>
          <t>financialwell</t>
        </is>
      </c>
      <c r="B1527" t="inlineStr">
        <is>
          <t>/Users/manczg/Documents/development/financialwell/FinancialWell/Models/TransactionModel.swift</t>
        </is>
      </c>
      <c r="C1527" t="inlineStr">
        <is>
          <t>safety-02</t>
        </is>
      </c>
      <c r="D1527" t="n">
        <v>240</v>
      </c>
      <c r="E1527" t="inlineStr">
        <is>
          <t>FP</t>
        </is>
      </c>
      <c r="F1527" t="inlineStr">
        <is>
          <t>decValue forced non-nil by preceding if decValue == nil check</t>
        </is>
      </c>
    </row>
    <row r="1528">
      <c r="A1528" t="inlineStr">
        <is>
          <t>financialwell</t>
        </is>
      </c>
      <c r="B1528" t="inlineStr">
        <is>
          <t>/Users/manczg/Documents/development/financialwell/FinancialWell/Models/TransactionModel.swift</t>
        </is>
      </c>
      <c r="C1528" t="inlineStr">
        <is>
          <t>safety-02</t>
        </is>
      </c>
      <c r="D1528" t="n">
        <v>310</v>
      </c>
      <c r="E1528" t="inlineStr">
        <is>
          <t>TP</t>
        </is>
      </c>
      <c r="F1528" t="inlineStr">
        <is>
          <t>unguarded as! force cast of .copy() result to NumberFormatter</t>
        </is>
      </c>
    </row>
    <row r="1529">
      <c r="A1529" t="inlineStr">
        <is>
          <t>financialwell</t>
        </is>
      </c>
      <c r="B1529" t="inlineStr">
        <is>
          <t>/Users/manczg/Documents/development/financialwell/FinancialWell/Models/TransactionModel.swift</t>
        </is>
      </c>
      <c r="C1529" t="inlineStr">
        <is>
          <t>safety-02</t>
        </is>
      </c>
      <c r="D1529" t="n">
        <v>312</v>
      </c>
      <c r="E1529" t="inlineStr">
        <is>
          <t>FP</t>
        </is>
      </c>
      <c r="F1529" t="inlineStr">
        <is>
          <t>guarded by preceding if numberOfDigits != nil</t>
        </is>
      </c>
    </row>
    <row r="1530">
      <c r="A1530" t="inlineStr">
        <is>
          <t>financialwell</t>
        </is>
      </c>
      <c r="B1530" t="inlineStr">
        <is>
          <t>/Users/manczg/Documents/development/financialwell/FinancialWell/Models/TransactionModel.swift</t>
        </is>
      </c>
      <c r="C1530" t="inlineStr">
        <is>
          <t>safety-02</t>
        </is>
      </c>
      <c r="D1530" t="n">
        <v>314</v>
      </c>
      <c r="E1530" t="inlineStr">
        <is>
          <t>TP</t>
        </is>
      </c>
      <c r="F1530" t="inlineStr">
        <is>
          <t>unguarded force unwrap of NumberFormatter.string(from:) which returns String?</t>
        </is>
      </c>
    </row>
    <row r="1531">
      <c r="A1531" t="inlineStr">
        <is>
          <t>financialwell</t>
        </is>
      </c>
      <c r="B1531" t="inlineStr">
        <is>
          <t>/Users/manczg/Documents/development/financialwell/FinancialWell/Models/TransactionModel.swift</t>
        </is>
      </c>
      <c r="C1531" t="inlineStr">
        <is>
          <t>safety-02</t>
        </is>
      </c>
      <c r="D1531" t="n">
        <v>322</v>
      </c>
      <c r="E1531" t="inlineStr">
        <is>
          <t>FP</t>
        </is>
      </c>
      <c r="F1531" t="inlineStr">
        <is>
          <t>guarded by preceding guard result != nil</t>
        </is>
      </c>
    </row>
    <row r="1532">
      <c r="A1532" t="inlineStr">
        <is>
          <t>financialwell</t>
        </is>
      </c>
      <c r="B1532" t="inlineStr">
        <is>
          <t>/Users/manczg/Documents/development/financialwell/FinancialWell/Models/TransactionModel.swift</t>
        </is>
      </c>
      <c r="C1532" t="inlineStr">
        <is>
          <t>safety-02</t>
        </is>
      </c>
      <c r="D1532" t="n">
        <v>332</v>
      </c>
      <c r="E1532" t="inlineStr">
        <is>
          <t>FP</t>
        </is>
      </c>
      <c r="F1532" t="inlineStr">
        <is>
          <t>guarded by preceding guard dbValue.priceInDevisa != nil</t>
        </is>
      </c>
    </row>
    <row r="1533">
      <c r="A1533" t="inlineStr">
        <is>
          <t>financialwell</t>
        </is>
      </c>
      <c r="B1533" t="inlineStr">
        <is>
          <t>/Users/manczg/Documents/development/financialwell/FinancialWell/Models/TransactionModel.swift</t>
        </is>
      </c>
      <c r="C1533" t="inlineStr">
        <is>
          <t>safety-02</t>
        </is>
      </c>
      <c r="D1533" t="n">
        <v>336</v>
      </c>
      <c r="E1533" t="inlineStr">
        <is>
          <t>FP</t>
        </is>
      </c>
      <c r="F1533" t="inlineStr">
        <is>
          <t>guarded by preceding guard result != nil</t>
        </is>
      </c>
    </row>
    <row r="1534">
      <c r="A1534" t="inlineStr">
        <is>
          <t>financialwell</t>
        </is>
      </c>
      <c r="B1534" t="inlineStr">
        <is>
          <t>/Users/manczg/Documents/development/financialwell/FinancialWell/Models/TransactionModel.swift</t>
        </is>
      </c>
      <c r="C1534" t="inlineStr">
        <is>
          <t>safety-02</t>
        </is>
      </c>
      <c r="D1534" t="n">
        <v>397</v>
      </c>
      <c r="E1534" t="inlineStr">
        <is>
          <t>TP</t>
        </is>
      </c>
      <c r="F1534" t="inlineStr">
        <is>
          <t>tag.category! force unwrapped with no preceding nil guard</t>
        </is>
      </c>
    </row>
    <row r="1535">
      <c r="A1535" t="inlineStr">
        <is>
          <t>financialwell</t>
        </is>
      </c>
      <c r="B1535" t="inlineStr">
        <is>
          <t>/Users/manczg/Documents/development/financialwell/FinancialWell/Models/TransactionModel.swift</t>
        </is>
      </c>
      <c r="C1535" t="inlineStr">
        <is>
          <t>safety-02</t>
        </is>
      </c>
      <c r="D1535" t="n">
        <v>445</v>
      </c>
      <c r="E1535" t="inlineStr">
        <is>
          <t>FP</t>
        </is>
      </c>
      <c r="F1535" t="inlineStr">
        <is>
          <t>the '!' is inside a trailing comment, not a force unwrap</t>
        </is>
      </c>
    </row>
    <row r="1536">
      <c r="A1536" t="inlineStr">
        <is>
          <t>financialwell</t>
        </is>
      </c>
      <c r="B1536" t="inlineStr">
        <is>
          <t>/Users/manczg/Documents/development/financialwell/FinancialWell/Models/TransactionModel.swift</t>
        </is>
      </c>
      <c r="C1536" t="inlineStr">
        <is>
          <t>safety-02</t>
        </is>
      </c>
      <c r="D1536" t="n">
        <v>461</v>
      </c>
      <c r="E1536" t="inlineStr">
        <is>
          <t>FP</t>
        </is>
      </c>
      <c r="F1536" t="inlineStr">
        <is>
          <t>priceInBase! guarded by short-circuit priceInBase != nil &amp;&amp; in same expression</t>
        </is>
      </c>
    </row>
    <row r="1537">
      <c r="A1537" t="inlineStr">
        <is>
          <t>financialwell</t>
        </is>
      </c>
      <c r="B1537" t="inlineStr">
        <is>
          <t>/Users/manczg/Documents/development/financialwell/FinancialWell/Models/TransactionModel.swift</t>
        </is>
      </c>
      <c r="C1537" t="inlineStr">
        <is>
          <t>safety-02</t>
        </is>
      </c>
      <c r="D1537" t="n">
        <v>478</v>
      </c>
      <c r="E1537" t="inlineStr">
        <is>
          <t>FP</t>
        </is>
      </c>
      <c r="F1537" t="inlineStr">
        <is>
          <t>tags! only reached in else branch of if tags == nil check</t>
        </is>
      </c>
    </row>
    <row r="1538">
      <c r="A1538" t="inlineStr">
        <is>
          <t>financialwell</t>
        </is>
      </c>
      <c r="B1538" t="inlineStr">
        <is>
          <t>/Users/manczg/Documents/development/financialwell/FinancialWell/Models/TransactionModel.swift</t>
        </is>
      </c>
      <c r="C1538" t="inlineStr">
        <is>
          <t>safety-02</t>
        </is>
      </c>
      <c r="D1538" t="n">
        <v>504</v>
      </c>
      <c r="E1538" t="inlineStr">
        <is>
          <t>FP</t>
        </is>
      </c>
      <c r="F1538" t="inlineStr">
        <is>
          <t>dbValue.priceInDevisa forced non-nil by preceding nil check that sets it to 0</t>
        </is>
      </c>
    </row>
    <row r="1539">
      <c r="A1539" t="inlineStr">
        <is>
          <t>financialwell</t>
        </is>
      </c>
      <c r="B1539" t="inlineStr">
        <is>
          <t>/Users/manczg/Documents/development/financialwell/FinancialWell/Models/TransactionModel.swift</t>
        </is>
      </c>
      <c r="C1539" t="inlineStr">
        <is>
          <t>safety-02</t>
        </is>
      </c>
      <c r="D1539" t="n">
        <v>505</v>
      </c>
      <c r="E1539" t="inlineStr">
        <is>
          <t>FP</t>
        </is>
      </c>
      <c r="F1539" t="inlineStr">
        <is>
          <t>dbValue.priceInDevisa forced non-nil by preceding nil check that sets it to 0</t>
        </is>
      </c>
    </row>
    <row r="1540">
      <c r="A1540" t="inlineStr">
        <is>
          <t>financialwell</t>
        </is>
      </c>
      <c r="B1540" t="inlineStr">
        <is>
          <t>/Users/manczg/Documents/development/financialwell/FinancialWell/Models/TransactionModel.swift</t>
        </is>
      </c>
      <c r="C1540" t="inlineStr">
        <is>
          <t>safety-02</t>
        </is>
      </c>
      <c r="D1540" t="n">
        <v>507</v>
      </c>
      <c r="E1540" t="inlineStr">
        <is>
          <t>FP</t>
        </is>
      </c>
      <c r="F1540" t="inlineStr">
        <is>
          <t>dbValue.priceInDevisa forced non-nil by preceding nil check that sets it to 0</t>
        </is>
      </c>
    </row>
    <row r="1541">
      <c r="A1541" t="inlineStr">
        <is>
          <t>financialwell</t>
        </is>
      </c>
      <c r="B1541" t="inlineStr">
        <is>
          <t>/Users/manczg/Documents/development/financialwell/FinancialWell/Models/TransactionModel.swift</t>
        </is>
      </c>
      <c r="C1541" t="inlineStr">
        <is>
          <t>safety-11</t>
        </is>
      </c>
      <c r="D1541" t="n">
        <v>247</v>
      </c>
      <c r="E1541" t="inlineStr">
        <is>
          <t>TP</t>
        </is>
      </c>
      <c r="F1541" t="inlineStr">
        <is>
          <t>Date() written into stored updateDatetime record field</t>
        </is>
      </c>
    </row>
    <row r="1542">
      <c r="A1542" t="inlineStr">
        <is>
          <t>financialwell</t>
        </is>
      </c>
      <c r="B1542" t="inlineStr">
        <is>
          <t>/Users/manczg/Documents/development/financialwell/FinancialWell/Models/TransactionModel.swift</t>
        </is>
      </c>
      <c r="C1542" t="inlineStr">
        <is>
          <t>safety-11</t>
        </is>
      </c>
      <c r="D1542" t="n">
        <v>252</v>
      </c>
      <c r="E1542" t="inlineStr">
        <is>
          <t>TP</t>
        </is>
      </c>
      <c r="F1542" t="inlineStr">
        <is>
          <t>Date() written into stored updateDatetime record field</t>
        </is>
      </c>
    </row>
    <row r="1543">
      <c r="A1543" t="inlineStr">
        <is>
          <t>financialwell</t>
        </is>
      </c>
      <c r="B1543" t="inlineStr">
        <is>
          <t>/Users/manczg/Documents/development/financialwell/FinancialWell/Models/TransactionModel.swift</t>
        </is>
      </c>
      <c r="C1543" t="inlineStr">
        <is>
          <t>safety-11</t>
        </is>
      </c>
      <c r="D1543" t="n">
        <v>344</v>
      </c>
      <c r="E1543" t="inlineStr">
        <is>
          <t>TP</t>
        </is>
      </c>
      <c r="F1543" t="inlineStr">
        <is>
          <t>Date() written into stored datetime record field via resetDate()</t>
        </is>
      </c>
    </row>
    <row r="1544">
      <c r="A1544" t="inlineStr">
        <is>
          <t>financialwell</t>
        </is>
      </c>
      <c r="B1544" t="inlineStr">
        <is>
          <t>/Users/manczg/Documents/development/financialwell/FinancialWell/Models/TransactionModel.swift</t>
        </is>
      </c>
      <c r="C1544" t="inlineStr">
        <is>
          <t>safety-16</t>
        </is>
      </c>
      <c r="D1544" t="n">
        <v>193</v>
      </c>
      <c r="E1544" t="inlineStr">
        <is>
          <t>FP</t>
        </is>
      </c>
      <c r="F1544" t="inlineStr">
        <is>
          <t>exchangePrice is a currency conversion rate, not a money amount</t>
        </is>
      </c>
    </row>
    <row r="1545">
      <c r="A1545" t="inlineStr">
        <is>
          <t>financialwell</t>
        </is>
      </c>
      <c r="B1545" t="inlineStr">
        <is>
          <t>/Users/manczg/Documents/development/financialwell/FinancialWell/Models/TransactionModel.swift</t>
        </is>
      </c>
      <c r="C1545" t="inlineStr">
        <is>
          <t>safety-16</t>
        </is>
      </c>
      <c r="D1545" t="n">
        <v>452</v>
      </c>
      <c r="E1545" t="inlineStr">
        <is>
          <t>FP</t>
        </is>
      </c>
      <c r="F1545" t="inlineStr">
        <is>
          <t>local exchangePrice Double is a conversion rate, not money</t>
        </is>
      </c>
    </row>
    <row r="1546">
      <c r="A1546" t="inlineStr">
        <is>
          <t>financialwell</t>
        </is>
      </c>
      <c r="B1546" t="inlineStr">
        <is>
          <t>/Users/manczg/Documents/development/financialwell/FinancialWell/Models/TransactionModel.swift</t>
        </is>
      </c>
      <c r="C1546" t="inlineStr">
        <is>
          <t>safety-16</t>
        </is>
      </c>
      <c r="D1546" t="n">
        <v>459</v>
      </c>
      <c r="E1546" t="inlineStr">
        <is>
          <t>FP</t>
        </is>
      </c>
      <c r="F1546" t="inlineStr">
        <is>
          <t>local exchangePrice Double is a conversion rate, not money</t>
        </is>
      </c>
    </row>
    <row r="1547">
      <c r="A1547" t="inlineStr">
        <is>
          <t>financialwell</t>
        </is>
      </c>
      <c r="B1547" t="inlineStr">
        <is>
          <t>/Users/manczg/Documents/development/financialwell/FinancialWell/Models/TransactionModel.swift</t>
        </is>
      </c>
      <c r="C1547" t="inlineStr">
        <is>
          <t>smells-02</t>
        </is>
      </c>
      <c r="D1547" t="n">
        <v>211</v>
      </c>
      <c r="E1547" t="inlineStr">
        <is>
          <t>TP</t>
        </is>
      </c>
      <c r="F1547" t="inlineStr">
        <is>
          <t>updatePrice(from:currency:exchangePrice:setIsExpense:) has 4 parameters</t>
        </is>
      </c>
    </row>
    <row r="1548">
      <c r="A1548" t="inlineStr">
        <is>
          <t>financialwell</t>
        </is>
      </c>
      <c r="B1548" t="inlineStr">
        <is>
          <t>/Users/manczg/Documents/development/financialwell/FinancialWell/Models/TransactionModel.swift</t>
        </is>
      </c>
      <c r="C1548" t="inlineStr">
        <is>
          <t>smells-03</t>
        </is>
      </c>
      <c r="D1548" t="n">
        <v>211</v>
      </c>
      <c r="E1548" t="inlineStr">
        <is>
          <t>TP</t>
        </is>
      </c>
      <c r="F1548" t="inlineStr">
        <is>
          <t>setIsExpense: Bool? is a behavioral-branching flag, not a state flag</t>
        </is>
      </c>
    </row>
    <row r="1549">
      <c r="A1549" t="inlineStr">
        <is>
          <t>financialwell</t>
        </is>
      </c>
      <c r="B1549" t="inlineStr">
        <is>
          <t>/Users/manczg/Documents/development/financialwell/FinancialWell/Models/TransactionModel.swift</t>
        </is>
      </c>
      <c r="C1549" t="inlineStr">
        <is>
          <t>smells-03</t>
        </is>
      </c>
      <c r="D1549" t="n">
        <v>231</v>
      </c>
      <c r="E1549" t="inlineStr">
        <is>
          <t>TP</t>
        </is>
      </c>
      <c r="F1549" t="inlineStr">
        <is>
          <t>setIsExpense: Bool? is a behavioral-branching flag</t>
        </is>
      </c>
    </row>
    <row r="1550">
      <c r="A1550" t="inlineStr">
        <is>
          <t>financialwell</t>
        </is>
      </c>
      <c r="B1550" t="inlineStr">
        <is>
          <t>/Users/manczg/Documents/development/financialwell/FinancialWell/Models/TransactionModel.swift</t>
        </is>
      </c>
      <c r="C1550" t="inlineStr">
        <is>
          <t>smells-08</t>
        </is>
      </c>
      <c r="D1550" t="n">
        <v>211</v>
      </c>
      <c r="E1550" t="inlineStr">
        <is>
          <t>FP</t>
        </is>
      </c>
      <c r="F1550" t="inlineStr">
        <is>
          <t>Optional params with nil defaults are Swift's own remedy, not the smell</t>
        </is>
      </c>
    </row>
    <row r="1551">
      <c r="A1551" t="inlineStr">
        <is>
          <t>financialwell</t>
        </is>
      </c>
      <c r="B1551" t="inlineStr">
        <is>
          <t>/Users/manczg/Documents/development/financialwell/FinancialWell/Models/TransactionModel.swift</t>
        </is>
      </c>
      <c r="C1551" t="inlineStr">
        <is>
          <t>smells-08</t>
        </is>
      </c>
      <c r="D1551" t="n">
        <v>231</v>
      </c>
      <c r="E1551" t="inlineStr">
        <is>
          <t>FP</t>
        </is>
      </c>
      <c r="F1551" t="inlineStr">
        <is>
          <t>Optional params with nil defaults are Swift's own remedy, not the smell</t>
        </is>
      </c>
    </row>
    <row r="1552">
      <c r="A1552" t="inlineStr">
        <is>
          <t>financialwell</t>
        </is>
      </c>
      <c r="B1552" t="inlineStr">
        <is>
          <t>/Users/manczg/Documents/development/financialwell/FinancialWell/Models/TransactionModel.swift</t>
        </is>
      </c>
      <c r="C1552" t="inlineStr">
        <is>
          <t>smells-08</t>
        </is>
      </c>
      <c r="D1552" t="n">
        <v>317</v>
      </c>
      <c r="E1552" t="inlineStr">
        <is>
          <t>FP</t>
        </is>
      </c>
      <c r="F1552" t="inlineStr">
        <is>
          <t>numberOfDigits: Int? = nil is the documented-default Optional shape</t>
        </is>
      </c>
    </row>
    <row r="1553">
      <c r="A1553" t="inlineStr">
        <is>
          <t>financialwell</t>
        </is>
      </c>
      <c r="B1553" t="inlineStr">
        <is>
          <t>/Users/manczg/Documents/development/financialwell/FinancialWell/Models/TransactionModel.swift</t>
        </is>
      </c>
      <c r="C1553" t="inlineStr">
        <is>
          <t>smells-08</t>
        </is>
      </c>
      <c r="D1553" t="n">
        <v>325</v>
      </c>
      <c r="E1553" t="inlineStr">
        <is>
          <t>FP</t>
        </is>
      </c>
      <c r="F1553" t="inlineStr">
        <is>
          <t>numberOfDigits: Int? = nil is the documented-default Optional shape</t>
        </is>
      </c>
    </row>
    <row r="1554">
      <c r="A1554" t="inlineStr">
        <is>
          <t>financialwell</t>
        </is>
      </c>
      <c r="B1554" t="inlineStr">
        <is>
          <t>/Users/manczg/Documents/development/financialwell/FinancialWell/Models/TransactionModel.swift</t>
        </is>
      </c>
      <c r="C1554" t="inlineStr">
        <is>
          <t>smells-08</t>
        </is>
      </c>
      <c r="D1554" t="n">
        <v>327</v>
      </c>
      <c r="E1554" t="inlineStr">
        <is>
          <t>TP</t>
        </is>
      </c>
      <c r="F1554" t="inlineStr">
        <is>
          <t>return nil where sibling basePriceInText uses "" instead, inconsistent Null Object usage</t>
        </is>
      </c>
    </row>
    <row r="1555">
      <c r="A1555" t="inlineStr">
        <is>
          <t>financialwell</t>
        </is>
      </c>
      <c r="B1555" t="inlineStr">
        <is>
          <t>/Users/manczg/Documents/development/financialwell/FinancialWell/Models/TransactionModel.swift</t>
        </is>
      </c>
      <c r="C1555" t="inlineStr">
        <is>
          <t>smells-08</t>
        </is>
      </c>
      <c r="D1555" t="n">
        <v>330</v>
      </c>
      <c r="E1555" t="inlineStr">
        <is>
          <t>TP</t>
        </is>
      </c>
      <c r="F1555" t="inlineStr">
        <is>
          <t>return nil where sibling basePriceInText uses "" instead, inconsistent Null Object usage</t>
        </is>
      </c>
    </row>
    <row r="1556">
      <c r="A1556" t="inlineStr">
        <is>
          <t>financialwell</t>
        </is>
      </c>
      <c r="B1556" t="inlineStr">
        <is>
          <t>/Users/manczg/Documents/development/financialwell/FinancialWell/Models/TransactionModel.swift</t>
        </is>
      </c>
      <c r="C1556" t="inlineStr">
        <is>
          <t>smells-08</t>
        </is>
      </c>
      <c r="D1556" t="n">
        <v>384</v>
      </c>
      <c r="E1556" t="inlineStr">
        <is>
          <t>FP</t>
        </is>
      </c>
      <c r="F1556" t="inlineStr">
        <is>
          <t>tags param already Optional with documented nil default</t>
        </is>
      </c>
    </row>
    <row r="1557">
      <c r="A1557" t="inlineStr">
        <is>
          <t>financialwell</t>
        </is>
      </c>
      <c r="B1557" t="inlineStr">
        <is>
          <t>/Users/manczg/Documents/development/financialwell/FinancialWell/Models/TransactionModel.swift</t>
        </is>
      </c>
      <c r="C1557" t="inlineStr">
        <is>
          <t>smells-08</t>
        </is>
      </c>
      <c r="D1557" t="n">
        <v>432</v>
      </c>
      <c r="E1557" t="inlineStr">
        <is>
          <t>FP</t>
        </is>
      </c>
      <c r="F1557" t="inlineStr">
        <is>
          <t>tags param already Optional with documented nil default</t>
        </is>
      </c>
    </row>
    <row r="1558">
      <c r="A1558" t="inlineStr">
        <is>
          <t>financialwell</t>
        </is>
      </c>
      <c r="B1558" t="inlineStr">
        <is>
          <t>/Users/manczg/Documents/development/financialwell/FinancialWell/Models/TransactionModel.swift</t>
        </is>
      </c>
      <c r="C1558" t="inlineStr">
        <is>
          <t>smells-10</t>
        </is>
      </c>
      <c r="D1558" t="n">
        <v>15</v>
      </c>
      <c r="E1558" t="inlineStr">
        <is>
          <t>TP</t>
        </is>
      </c>
      <c r="F1558" t="inlineStr">
        <is>
          <t>ModelManager.shared.currencies.getBaseCurrency() reaches singleton into collaborator</t>
        </is>
      </c>
    </row>
    <row r="1559">
      <c r="A1559" t="inlineStr">
        <is>
          <t>financialwell</t>
        </is>
      </c>
      <c r="B1559" t="inlineStr">
        <is>
          <t>/Users/manczg/Documents/development/financialwell/FinancialWell/Models/TransactionModel.swift</t>
        </is>
      </c>
      <c r="C1559" t="inlineStr">
        <is>
          <t>smells-10</t>
        </is>
      </c>
      <c r="D1559" t="n">
        <v>19</v>
      </c>
      <c r="E1559" t="inlineStr">
        <is>
          <t>TP</t>
        </is>
      </c>
      <c r="F1559" t="inlineStr">
        <is>
          <t>ModelManager.shared.currencies.getDefaultCurrency() reaches singleton into collaborator</t>
        </is>
      </c>
    </row>
    <row r="1560">
      <c r="A1560" t="inlineStr">
        <is>
          <t>financialwell</t>
        </is>
      </c>
      <c r="B1560" t="inlineStr">
        <is>
          <t>/Users/manczg/Documents/development/financialwell/FinancialWell/Models/TransactionModel.swift</t>
        </is>
      </c>
      <c r="C1560" t="inlineStr">
        <is>
          <t>smells-10</t>
        </is>
      </c>
      <c r="D1560" t="n">
        <v>186</v>
      </c>
      <c r="E1560" t="inlineStr">
        <is>
          <t>TP</t>
        </is>
      </c>
      <c r="F1560" t="inlineStr">
        <is>
          <t>3-hop chain through ModelManager.shared.currencies</t>
        </is>
      </c>
    </row>
    <row r="1561">
      <c r="A1561" t="inlineStr">
        <is>
          <t>financialwell</t>
        </is>
      </c>
      <c r="B1561" t="inlineStr">
        <is>
          <t>/Users/manczg/Documents/development/financialwell/FinancialWell/Models/TransactionModel.swift</t>
        </is>
      </c>
      <c r="C1561" t="inlineStr">
        <is>
          <t>smells-10</t>
        </is>
      </c>
      <c r="D1561" t="n">
        <v>198</v>
      </c>
      <c r="E1561" t="inlineStr">
        <is>
          <t>TP</t>
        </is>
      </c>
      <c r="F1561" t="inlineStr">
        <is>
          <t>3-hop chain through ModelManager.shared.currencies</t>
        </is>
      </c>
    </row>
    <row r="1562">
      <c r="A1562" t="inlineStr">
        <is>
          <t>financialwell</t>
        </is>
      </c>
      <c r="B1562" t="inlineStr">
        <is>
          <t>/Users/manczg/Documents/development/financialwell/FinancialWell/Models/TransactionModel.swift</t>
        </is>
      </c>
      <c r="C1562" t="inlineStr">
        <is>
          <t>smells-10</t>
        </is>
      </c>
      <c r="D1562" t="n">
        <v>200</v>
      </c>
      <c r="E1562" t="inlineStr">
        <is>
          <t>TP</t>
        </is>
      </c>
      <c r="F1562" t="inlineStr">
        <is>
          <t>3-hop chain through ModelManager.shared.currencies</t>
        </is>
      </c>
    </row>
    <row r="1563">
      <c r="A1563" t="inlineStr">
        <is>
          <t>financialwell</t>
        </is>
      </c>
      <c r="B1563" t="inlineStr">
        <is>
          <t>/Users/manczg/Documents/development/financialwell/FinancialWell/Models/TransactionModel.swift</t>
        </is>
      </c>
      <c r="C1563" t="inlineStr">
        <is>
          <t>smells-10</t>
        </is>
      </c>
      <c r="D1563" t="n">
        <v>264</v>
      </c>
      <c r="E1563" t="inlineStr">
        <is>
          <t>TP</t>
        </is>
      </c>
      <c r="F1563" t="inlineStr">
        <is>
          <t>3-hop chain ModelManager.shared.locationService.location</t>
        </is>
      </c>
    </row>
    <row r="1564">
      <c r="A1564" t="inlineStr">
        <is>
          <t>financialwell</t>
        </is>
      </c>
      <c r="B1564" t="inlineStr">
        <is>
          <t>/Users/manczg/Documents/development/financialwell/FinancialWell/Models/TransactionModel.swift</t>
        </is>
      </c>
      <c r="C1564" t="inlineStr">
        <is>
          <t>smells-10</t>
        </is>
      </c>
      <c r="D1564" t="n">
        <v>310</v>
      </c>
      <c r="E1564" t="inlineStr">
        <is>
          <t>TP</t>
        </is>
      </c>
      <c r="F1564" t="inlineStr">
        <is>
          <t>4-hop chain through ModelManager.shared.currencies.baseNumberFormatter.copy()</t>
        </is>
      </c>
    </row>
    <row r="1565">
      <c r="A1565" t="inlineStr">
        <is>
          <t>financialwell</t>
        </is>
      </c>
      <c r="B1565" t="inlineStr">
        <is>
          <t>/Users/manczg/Documents/development/financialwell/FinancialWell/Models/TransactionModel.swift</t>
        </is>
      </c>
      <c r="C1565" t="inlineStr">
        <is>
          <t>smells-10</t>
        </is>
      </c>
      <c r="D1565" t="n">
        <v>371</v>
      </c>
      <c r="E1565" t="inlineStr">
        <is>
          <t>TP</t>
        </is>
      </c>
      <c r="F1565" t="inlineStr">
        <is>
          <t>3-hop chain through ModelManager.shared.tags.filter</t>
        </is>
      </c>
    </row>
    <row r="1566">
      <c r="A1566" t="inlineStr">
        <is>
          <t>financialwell</t>
        </is>
      </c>
      <c r="B1566" t="inlineStr">
        <is>
          <t>/Users/manczg/Documents/development/financialwell/FinancialWell/Models/TransactionModel.swift</t>
        </is>
      </c>
      <c r="C1566" t="inlineStr">
        <is>
          <t>smells-10</t>
        </is>
      </c>
      <c r="D1566" t="n">
        <v>375</v>
      </c>
      <c r="E1566" t="inlineStr">
        <is>
          <t>TP</t>
        </is>
      </c>
      <c r="F1566" t="inlineStr">
        <is>
          <t>3-hop chain through ModelManager.shared.tags.filter</t>
        </is>
      </c>
    </row>
    <row r="1567">
      <c r="A1567" t="inlineStr">
        <is>
          <t>financialwell</t>
        </is>
      </c>
      <c r="B1567" t="inlineStr">
        <is>
          <t>/Users/manczg/Documents/development/financialwell/FinancialWell/Models/TransactionModel.swift</t>
        </is>
      </c>
      <c r="C1567" t="inlineStr">
        <is>
          <t>smells-10</t>
        </is>
      </c>
      <c r="D1567" t="n">
        <v>433</v>
      </c>
      <c r="E1567" t="inlineStr">
        <is>
          <t>TP</t>
        </is>
      </c>
      <c r="F1567" t="inlineStr">
        <is>
          <t>3-hop chain through ModelManager.shared.currencies.getCurrency</t>
        </is>
      </c>
    </row>
    <row r="1568">
      <c r="A1568" t="inlineStr">
        <is>
          <t>financialwell</t>
        </is>
      </c>
      <c r="B1568" t="inlineStr">
        <is>
          <t>/Users/manczg/Documents/development/financialwell/FinancialWell/Models/TransactionModel.swift</t>
        </is>
      </c>
      <c r="C1568" t="inlineStr">
        <is>
          <t>smells-10</t>
        </is>
      </c>
      <c r="D1568" t="n">
        <v>437</v>
      </c>
      <c r="E1568" t="inlineStr">
        <is>
          <t>TP</t>
        </is>
      </c>
      <c r="F1568" t="inlineStr">
        <is>
          <t>3-hop chain through ModelManager.shared.accounts.get</t>
        </is>
      </c>
    </row>
    <row r="1569">
      <c r="A1569" t="inlineStr">
        <is>
          <t>financialwell</t>
        </is>
      </c>
      <c r="B1569" t="inlineStr">
        <is>
          <t>/Users/manczg/Documents/development/financialwell/FinancialWell/Models/TransactionModel.swift</t>
        </is>
      </c>
      <c r="C1569" t="inlineStr">
        <is>
          <t>smells-10</t>
        </is>
      </c>
      <c r="D1569" t="n">
        <v>441</v>
      </c>
      <c r="E1569" t="inlineStr">
        <is>
          <t>TP</t>
        </is>
      </c>
      <c r="F1569" t="inlineStr">
        <is>
          <t>3-hop chain through ModelManager.shared.categories.get</t>
        </is>
      </c>
    </row>
    <row r="1570">
      <c r="A1570" t="inlineStr">
        <is>
          <t>financialwell</t>
        </is>
      </c>
      <c r="B1570" t="inlineStr">
        <is>
          <t>/Users/manczg/Documents/development/financialwell/FinancialWell/Models/TransactionModel.swift</t>
        </is>
      </c>
      <c r="C1570" t="inlineStr">
        <is>
          <t>smells-10</t>
        </is>
      </c>
      <c r="D1570" t="n">
        <v>447</v>
      </c>
      <c r="E1570" t="inlineStr">
        <is>
          <t>TP</t>
        </is>
      </c>
      <c r="F1570" t="inlineStr">
        <is>
          <t>3-hop chain through ModelManager.shared.currencies.isBase</t>
        </is>
      </c>
    </row>
    <row r="1571">
      <c r="A1571" t="inlineStr">
        <is>
          <t>financialwell</t>
        </is>
      </c>
      <c r="B1571" t="inlineStr">
        <is>
          <t>/Users/manczg/Documents/development/financialwell/FinancialWell/Models/TransactionModel.swift</t>
        </is>
      </c>
      <c r="C1571" t="inlineStr">
        <is>
          <t>smells-10</t>
        </is>
      </c>
      <c r="D1571" t="n">
        <v>448</v>
      </c>
      <c r="E1571" t="inlineStr">
        <is>
          <t>FP</t>
        </is>
      </c>
      <c r="F1571" t="inlineStr">
        <is>
          <t>self.dbValue.exchangePrice?.doubleValue traverses own owned struct, not a collaborator boundary</t>
        </is>
      </c>
    </row>
    <row r="1572">
      <c r="A1572" t="inlineStr">
        <is>
          <t>financialwell</t>
        </is>
      </c>
      <c r="B1572" t="inlineStr">
        <is>
          <t>/Users/manczg/Documents/development/financialwell/FinancialWell/Models/TransactionModel.swift</t>
        </is>
      </c>
      <c r="C1572" t="inlineStr">
        <is>
          <t>smells-10</t>
        </is>
      </c>
      <c r="D1572" t="n">
        <v>453</v>
      </c>
      <c r="E1572" t="inlineStr">
        <is>
          <t>TP</t>
        </is>
      </c>
      <c r="F1572" t="inlineStr">
        <is>
          <t>ModelManager.shared.currencies.exchange/getBaseCurrency chains</t>
        </is>
      </c>
    </row>
    <row r="1573">
      <c r="A1573" t="inlineStr">
        <is>
          <t>financialwell</t>
        </is>
      </c>
      <c r="B1573" t="inlineStr">
        <is>
          <t>/Users/manczg/Documents/development/financialwell/FinancialWell/Models/TransactionModel.swift</t>
        </is>
      </c>
      <c r="C1573" t="inlineStr">
        <is>
          <t>smells-10</t>
        </is>
      </c>
      <c r="D1573" t="n">
        <v>460</v>
      </c>
      <c r="E1573" t="inlineStr">
        <is>
          <t>TP</t>
        </is>
      </c>
      <c r="F1573" t="inlineStr">
        <is>
          <t>ModelManager.shared.currencies.exchange/getBaseCurrency chains</t>
        </is>
      </c>
    </row>
    <row r="1574">
      <c r="A1574" t="inlineStr">
        <is>
          <t>financialwell</t>
        </is>
      </c>
      <c r="B1574" t="inlineStr">
        <is>
          <t>/Users/manczg/Documents/development/financialwell/FinancialWell/Models/TransactionModel.swift</t>
        </is>
      </c>
      <c r="C1574" t="inlineStr">
        <is>
          <t>smells-10</t>
        </is>
      </c>
      <c r="D1574" t="n">
        <v>470</v>
      </c>
      <c r="E1574" t="inlineStr">
        <is>
          <t>TP</t>
        </is>
      </c>
      <c r="F1574" t="inlineStr">
        <is>
          <t>3-hop chain through ModelManager.shared.places.getPlace</t>
        </is>
      </c>
    </row>
    <row r="1575">
      <c r="A1575" t="inlineStr">
        <is>
          <t>financialwell</t>
        </is>
      </c>
      <c r="B1575" t="inlineStr">
        <is>
          <t>/Users/manczg/Documents/development/financialwell/FinancialWell/Models/TransactionModel.swift</t>
        </is>
      </c>
      <c r="C1575" t="inlineStr">
        <is>
          <t>smells-10</t>
        </is>
      </c>
      <c r="D1575" t="n">
        <v>476</v>
      </c>
      <c r="E1575" t="inlineStr">
        <is>
          <t>TP</t>
        </is>
      </c>
      <c r="F1575" t="inlineStr">
        <is>
          <t>3-hop chain through ModelManager.shared.tags.filter</t>
        </is>
      </c>
    </row>
    <row r="1576">
      <c r="A1576" t="inlineStr">
        <is>
          <t>financialwell</t>
        </is>
      </c>
      <c r="B1576" t="inlineStr">
        <is>
          <t>/Users/manczg/Documents/development/financialwell/FinancialWell/Models/TransactionModel.swift</t>
        </is>
      </c>
      <c r="C1576" t="inlineStr">
        <is>
          <t>smells-21</t>
        </is>
      </c>
      <c r="D1576" t="n">
        <v>14</v>
      </c>
      <c r="E1576" t="inlineStr">
        <is>
          <t>TP</t>
        </is>
      </c>
      <c r="F1576" t="inlineStr">
        <is>
          <t>computed property declared Currency! in production model code</t>
        </is>
      </c>
    </row>
    <row r="1577">
      <c r="A1577" t="inlineStr">
        <is>
          <t>financialwell</t>
        </is>
      </c>
      <c r="B1577" t="inlineStr">
        <is>
          <t>/Users/manczg/Documents/development/financialwell/FinancialWell/Models/TransactionModel.swift</t>
        </is>
      </c>
      <c r="C1577" t="inlineStr">
        <is>
          <t>smells-21</t>
        </is>
      </c>
      <c r="D1577" t="n">
        <v>18</v>
      </c>
      <c r="E1577" t="inlineStr">
        <is>
          <t>TP</t>
        </is>
      </c>
      <c r="F1577" t="inlineStr">
        <is>
          <t>computed property declared Currency! in production model code</t>
        </is>
      </c>
    </row>
    <row r="1578">
      <c r="A1578" t="inlineStr">
        <is>
          <t>financialwell</t>
        </is>
      </c>
      <c r="B1578" t="inlineStr">
        <is>
          <t>/Users/manczg/Documents/development/financialwell/FinancialWell/Models/TransactionModel.swift</t>
        </is>
      </c>
      <c r="C1578" t="inlineStr">
        <is>
          <t>solid-06</t>
        </is>
      </c>
      <c r="D1578" t="n">
        <v>13</v>
      </c>
      <c r="E1578" t="inlineStr">
        <is>
          <t>TP</t>
        </is>
      </c>
      <c r="F1578" t="inlineStr">
        <is>
          <t>public var dbValue exposes entire backing struct, bypassing update methods</t>
        </is>
      </c>
    </row>
    <row r="1579">
      <c r="A1579" t="inlineStr">
        <is>
          <t>financialwell</t>
        </is>
      </c>
      <c r="B1579" t="inlineStr">
        <is>
          <t>/Users/manczg/Documents/development/financialwell/FinancialWell/Models/TransactionModel.swift</t>
        </is>
      </c>
      <c r="C1579" t="inlineStr">
        <is>
          <t>solid-06</t>
        </is>
      </c>
      <c r="D1579" t="n">
        <v>108</v>
      </c>
      <c r="E1579" t="inlineStr">
        <is>
          <t>TP</t>
        </is>
      </c>
      <c r="F1579" t="inlineStr">
        <is>
          <t>public var recurrency is a mutable collaborator exposed with no encapsulation</t>
        </is>
      </c>
    </row>
    <row r="1580">
      <c r="A1580" t="inlineStr">
        <is>
          <t>financialwell</t>
        </is>
      </c>
      <c r="B1580" t="inlineStr">
        <is>
          <t>/Users/manczg/Documents/development/financialwell/FinancialWell/Models/TransactionModel.swift</t>
        </is>
      </c>
      <c r="C1580" t="inlineStr">
        <is>
          <t>solid-10</t>
        </is>
      </c>
      <c r="D1580" t="n">
        <v>108</v>
      </c>
      <c r="E1580" t="inlineStr">
        <is>
          <t>TP</t>
        </is>
      </c>
      <c r="F1580" t="inlineStr">
        <is>
          <t>RecurrentTransactionModel() collaborator hardcoded in property default, not injected</t>
        </is>
      </c>
    </row>
    <row r="1581">
      <c r="A1581" t="inlineStr">
        <is>
          <t>financialwell</t>
        </is>
      </c>
      <c r="B1581" t="inlineStr">
        <is>
          <t>/Users/manczg/Documents/development/financialwell/FinancialWell/Models/TransactionModel.swift</t>
        </is>
      </c>
      <c r="C1581" t="inlineStr">
        <is>
          <t>solid-12</t>
        </is>
      </c>
      <c r="D1581" t="n">
        <v>199</v>
      </c>
      <c r="E1581" t="inlineStr">
        <is>
          <t>TP</t>
        </is>
      </c>
      <c r="F1581" t="inlineStr">
        <is>
          <t>AppLog.warning called directly inside domain Model class business logic</t>
        </is>
      </c>
    </row>
    <row r="1582">
      <c r="A1582" t="inlineStr">
        <is>
          <t>financialwell</t>
        </is>
      </c>
      <c r="B1582" t="inlineStr">
        <is>
          <t>/Users/manczg/Documents/development/financialwell/FinancialWell/Models/TransactionModel.swift</t>
        </is>
      </c>
      <c r="C1582" t="inlineStr">
        <is>
          <t>solid-12</t>
        </is>
      </c>
      <c r="D1582" t="n">
        <v>204</v>
      </c>
      <c r="E1582" t="inlineStr">
        <is>
          <t>TP</t>
        </is>
      </c>
      <c r="F1582" t="inlineStr">
        <is>
          <t>AppLog.warning called directly inside domain Model class business logic</t>
        </is>
      </c>
    </row>
    <row r="1583">
      <c r="A1583" t="inlineStr">
        <is>
          <t>financialwell</t>
        </is>
      </c>
      <c r="B1583" t="inlineStr">
        <is>
          <t>/Users/manczg/Documents/development/financialwell/FinancialWell/Models/TransactionModel.swift</t>
        </is>
      </c>
      <c r="C1583" t="inlineStr">
        <is>
          <t>solid-12</t>
        </is>
      </c>
      <c r="D1583" t="n">
        <v>279</v>
      </c>
      <c r="E1583" t="inlineStr">
        <is>
          <t>TP</t>
        </is>
      </c>
      <c r="F1583" t="inlineStr">
        <is>
          <t>AppLog.warning called directly inside domain Model class business logic</t>
        </is>
      </c>
    </row>
    <row r="1584">
      <c r="A1584" t="inlineStr">
        <is>
          <t>financialwell</t>
        </is>
      </c>
      <c r="B1584" t="inlineStr">
        <is>
          <t>/Users/manczg/Documents/development/financialwell/FinancialWell/Models/TransactionModel.swift</t>
        </is>
      </c>
      <c r="C1584" t="inlineStr">
        <is>
          <t>solid-12</t>
        </is>
      </c>
      <c r="D1584" t="n">
        <v>461</v>
      </c>
      <c r="E1584" t="inlineStr">
        <is>
          <t>TP</t>
        </is>
      </c>
      <c r="F1584" t="inlineStr">
        <is>
          <t>AppLog.warning called directly inside domain Model class business logic</t>
        </is>
      </c>
    </row>
    <row r="1585">
      <c r="A1585" t="inlineStr">
        <is>
          <t>financialwell</t>
        </is>
      </c>
      <c r="B1585" t="inlineStr">
        <is>
          <t>/Users/manczg/Documents/development/financialwell/FinancialWell/Models/TransactionModel.swift</t>
        </is>
      </c>
      <c r="C1585" t="inlineStr">
        <is>
          <t>solid-12</t>
        </is>
      </c>
      <c r="D1585" t="n">
        <v>501</v>
      </c>
      <c r="E1585" t="inlineStr">
        <is>
          <t>TP</t>
        </is>
      </c>
      <c r="F1585" t="inlineStr">
        <is>
          <t>AppLog.warning called directly inside domain Model class business logic</t>
        </is>
      </c>
    </row>
    <row r="1586">
      <c r="A1586" t="inlineStr">
        <is>
          <t>financialwell</t>
        </is>
      </c>
      <c r="B1586" t="inlineStr">
        <is>
          <t>/Users/manczg/Documents/development/financialwell/FinancialWell/Models/TransactionModel.swift</t>
        </is>
      </c>
      <c r="C1586" t="inlineStr">
        <is>
          <t>tests-01</t>
        </is>
      </c>
      <c r="D1586" t="n">
        <v>12</v>
      </c>
      <c r="E1586" t="inlineStr">
        <is>
          <t>TP</t>
        </is>
      </c>
      <c r="F1586" t="inlineStr">
        <is>
          <t>no TransactionModelTests.swift or matching test file found in repo</t>
        </is>
      </c>
    </row>
    <row r="1587">
      <c r="A1587" t="inlineStr">
        <is>
          <t>financialwell</t>
        </is>
      </c>
      <c r="B1587" t="inlineStr">
        <is>
          <t>/Users/manczg/Documents/development/financialwell/FinancialWell/Import/Import.swift</t>
        </is>
      </c>
      <c r="C1587" t="inlineStr">
        <is>
          <t>arch-08</t>
        </is>
      </c>
      <c r="D1587" t="n">
        <v>30</v>
      </c>
      <c r="E1587" t="inlineStr">
        <is>
          <t>TP</t>
        </is>
      </c>
      <c r="F1587" t="inlineStr">
        <is>
          <t>ModelManager.shared.transactions lookup inside business extension method</t>
        </is>
      </c>
    </row>
    <row r="1588">
      <c r="A1588" t="inlineStr">
        <is>
          <t>financialwell</t>
        </is>
      </c>
      <c r="B1588" t="inlineStr">
        <is>
          <t>/Users/manczg/Documents/development/financialwell/FinancialWell/Import/Import.swift</t>
        </is>
      </c>
      <c r="C1588" t="inlineStr">
        <is>
          <t>arch-08</t>
        </is>
      </c>
      <c r="D1588" t="n">
        <v>117</v>
      </c>
      <c r="E1588" t="inlineStr">
        <is>
          <t>TP</t>
        </is>
      </c>
      <c r="F1588" t="inlineStr">
        <is>
          <t>FileManagerWrapper.shared is a project wrapper, explicitly still matched per NOTE</t>
        </is>
      </c>
    </row>
    <row r="1589">
      <c r="A1589" t="inlineStr">
        <is>
          <t>financialwell</t>
        </is>
      </c>
      <c r="B1589" t="inlineStr">
        <is>
          <t>/Users/manczg/Documents/development/financialwell/FinancialWell/Import/Import.swift</t>
        </is>
      </c>
      <c r="C1589" t="inlineStr">
        <is>
          <t>clarity-09</t>
        </is>
      </c>
      <c r="D1589" t="n">
        <v>55</v>
      </c>
      <c r="E1589" t="inlineStr">
        <is>
          <t>TP</t>
        </is>
      </c>
      <c r="F1589" t="inlineStr">
        <is>
          <t>while condition has 3 terms joined by &amp;&amp;</t>
        </is>
      </c>
    </row>
    <row r="1590">
      <c r="A1590" t="inlineStr">
        <is>
          <t>financialwell</t>
        </is>
      </c>
      <c r="B1590" t="inlineStr">
        <is>
          <t>/Users/manczg/Documents/development/financialwell/FinancialWell/Import/Import.swift</t>
        </is>
      </c>
      <c r="C1590" t="inlineStr">
        <is>
          <t>clarity-09</t>
        </is>
      </c>
      <c r="D1590" t="n">
        <v>64</v>
      </c>
      <c r="E1590" t="inlineStr">
        <is>
          <t>TP</t>
        </is>
      </c>
      <c r="F1590" t="inlineStr">
        <is>
          <t>while condition has 3 terms joined by &amp;&amp;</t>
        </is>
      </c>
    </row>
    <row r="1591">
      <c r="A1591" t="inlineStr">
        <is>
          <t>financialwell</t>
        </is>
      </c>
      <c r="B1591" t="inlineStr">
        <is>
          <t>/Users/manczg/Documents/development/financialwell/FinancialWell/Import/Import.swift</t>
        </is>
      </c>
      <c r="C1591" t="inlineStr">
        <is>
          <t>clarity-16</t>
        </is>
      </c>
      <c r="D1591" t="n">
        <v>22</v>
      </c>
      <c r="E1591" t="inlineStr">
        <is>
          <t>TP</t>
        </is>
      </c>
      <c r="F1591" t="inlineStr">
        <is>
          <t>skipAlreadyImported has 13 branch lines (guards, for, while, if, else), well above 10</t>
        </is>
      </c>
    </row>
    <row r="1592">
      <c r="A1592" t="inlineStr">
        <is>
          <t>financialwell</t>
        </is>
      </c>
      <c r="B1592" t="inlineStr">
        <is>
          <t>/Users/manczg/Documents/development/financialwell/FinancialWell/Import/Import.swift</t>
        </is>
      </c>
      <c r="C1592" t="inlineStr">
        <is>
          <t>ddd-01</t>
        </is>
      </c>
      <c r="D1592" t="n">
        <v>118</v>
      </c>
      <c r="E1592" t="inlineStr">
        <is>
          <t>FP</t>
        </is>
      </c>
      <c r="F1592" t="inlineStr">
        <is>
          <t>Importer is an orchestrator/service class, not a Value Object</t>
        </is>
      </c>
    </row>
    <row r="1593">
      <c r="A1593" t="inlineStr">
        <is>
          <t>financialwell</t>
        </is>
      </c>
      <c r="B1593" t="inlineStr">
        <is>
          <t>/Users/manczg/Documents/development/financialwell/FinancialWell/Import/Import.swift</t>
        </is>
      </c>
      <c r="C1593" t="inlineStr">
        <is>
          <t>ddd-01</t>
        </is>
      </c>
      <c r="D1593" t="n">
        <v>119</v>
      </c>
      <c r="E1593" t="inlineStr">
        <is>
          <t>FP</t>
        </is>
      </c>
      <c r="F1593" t="inlineStr">
        <is>
          <t>Importer is an orchestrator/service class, not a Value Object</t>
        </is>
      </c>
    </row>
    <row r="1594">
      <c r="A1594" t="inlineStr">
        <is>
          <t>financialwell</t>
        </is>
      </c>
      <c r="B1594" t="inlineStr">
        <is>
          <t>/Users/manczg/Documents/development/financialwell/FinancialWell/Import/Import.swift</t>
        </is>
      </c>
      <c r="C1594" t="inlineStr">
        <is>
          <t>ddd-01</t>
        </is>
      </c>
      <c r="D1594" t="n">
        <v>122</v>
      </c>
      <c r="E1594" t="inlineStr">
        <is>
          <t>FP</t>
        </is>
      </c>
      <c r="F1594" t="inlineStr">
        <is>
          <t>Importer is an orchestrator/service class, not a Value Object</t>
        </is>
      </c>
    </row>
    <row r="1595">
      <c r="A1595" t="inlineStr">
        <is>
          <t>financialwell</t>
        </is>
      </c>
      <c r="B1595" t="inlineStr">
        <is>
          <t>/Users/manczg/Documents/development/financialwell/FinancialWell/Import/Import.swift</t>
        </is>
      </c>
      <c r="C1595" t="inlineStr">
        <is>
          <t>safety-02</t>
        </is>
      </c>
      <c r="D1595" t="n">
        <v>30</v>
      </c>
      <c r="E1595" t="inlineStr">
        <is>
          <t>FP</t>
        </is>
      </c>
      <c r="F1595" t="inlineStr">
        <is>
          <t>minDate!/maxDate! guarded by preceding guard minDate != nil &amp;&amp; maxDate != nil</t>
        </is>
      </c>
    </row>
    <row r="1596">
      <c r="A1596" t="inlineStr">
        <is>
          <t>financialwell</t>
        </is>
      </c>
      <c r="B1596" t="inlineStr">
        <is>
          <t>/Users/manczg/Documents/development/financialwell/FinancialWell/Import/Import.swift</t>
        </is>
      </c>
      <c r="C1596" t="inlineStr">
        <is>
          <t>safety-02</t>
        </is>
      </c>
      <c r="D1596" t="n">
        <v>40</v>
      </c>
      <c r="E1596" t="inlineStr">
        <is>
          <t>TP</t>
        </is>
      </c>
      <c r="F1596" t="inlineStr">
        <is>
          <t>transaction.account.id!/category.id! force unwrapped with no preceding nil guard</t>
        </is>
      </c>
    </row>
    <row r="1597">
      <c r="A1597" t="inlineStr">
        <is>
          <t>financialwell</t>
        </is>
      </c>
      <c r="B1597" t="inlineStr">
        <is>
          <t>/Users/manczg/Documents/development/financialwell/FinancialWell/Import/Import.swift</t>
        </is>
      </c>
      <c r="C1597" t="inlineStr">
        <is>
          <t>smells-02</t>
        </is>
      </c>
      <c r="D1597" t="n">
        <v>22</v>
      </c>
      <c r="E1597" t="inlineStr">
        <is>
          <t>TP</t>
        </is>
      </c>
      <c r="F1597" t="inlineStr">
        <is>
          <t>skipAlreadyImported has 4 parameters</t>
        </is>
      </c>
    </row>
    <row r="1598">
      <c r="A1598" t="inlineStr">
        <is>
          <t>financialwell</t>
        </is>
      </c>
      <c r="B1598" t="inlineStr">
        <is>
          <t>/Users/manczg/Documents/development/financialwell/FinancialWell/Import/Import.swift</t>
        </is>
      </c>
      <c r="C1598" t="inlineStr">
        <is>
          <t>smells-10</t>
        </is>
      </c>
      <c r="D1598" t="n">
        <v>30</v>
      </c>
      <c r="E1598" t="inlineStr">
        <is>
          <t>TP</t>
        </is>
      </c>
      <c r="F1598" t="inlineStr">
        <is>
          <t>3-hop chain ModelManager.shared.transactions.fetchImported</t>
        </is>
      </c>
    </row>
    <row r="1599">
      <c r="A1599" t="inlineStr">
        <is>
          <t>financialwell</t>
        </is>
      </c>
      <c r="B1599" t="inlineStr">
        <is>
          <t>/Users/manczg/Documents/development/financialwell/FinancialWell/Import/Import.swift</t>
        </is>
      </c>
      <c r="C1599" t="inlineStr">
        <is>
          <t>smells-12</t>
        </is>
      </c>
      <c r="D1599" t="n">
        <v>143</v>
      </c>
      <c r="E1599" t="inlineStr">
        <is>
          <t>TP</t>
        </is>
      </c>
      <c r="F1599" t="inlineStr">
        <is>
          <t>catch body only prints error and continues, error info dropped</t>
        </is>
      </c>
    </row>
    <row r="1600">
      <c r="A1600" t="inlineStr">
        <is>
          <t>financialwell</t>
        </is>
      </c>
      <c r="B1600" t="inlineStr">
        <is>
          <t>/Users/manczg/Documents/development/financialwell/FinancialWell/Import/Import.swift</t>
        </is>
      </c>
      <c r="C1600" t="inlineStr">
        <is>
          <t>smells-12</t>
        </is>
      </c>
      <c r="D1600" t="n">
        <v>152</v>
      </c>
      <c r="E1600" t="inlineStr">
        <is>
          <t>TP</t>
        </is>
      </c>
      <c r="F1600" t="inlineStr">
        <is>
          <t>empty catch {} block</t>
        </is>
      </c>
    </row>
    <row r="1601">
      <c r="A1601" t="inlineStr">
        <is>
          <t>financialwell</t>
        </is>
      </c>
      <c r="B1601" t="inlineStr">
        <is>
          <t>/Users/manczg/Documents/development/financialwell/FinancialWell/Import/Import.swift</t>
        </is>
      </c>
      <c r="C1601" t="inlineStr">
        <is>
          <t>smells-21</t>
        </is>
      </c>
      <c r="D1601" t="n">
        <v>119</v>
      </c>
      <c r="E1601" t="inlineStr">
        <is>
          <t>TP</t>
        </is>
      </c>
      <c r="F1601" t="inlineStr">
        <is>
          <t>stored property declared SheetImporter! in production Importer class</t>
        </is>
      </c>
    </row>
    <row r="1602">
      <c r="A1602" t="inlineStr">
        <is>
          <t>financialwell</t>
        </is>
      </c>
      <c r="B1602" t="inlineStr">
        <is>
          <t>/Users/manczg/Documents/development/financialwell/FinancialWell/Import/Import.swift</t>
        </is>
      </c>
      <c r="C1602" t="inlineStr">
        <is>
          <t>solid-06</t>
        </is>
      </c>
      <c r="D1602" t="n">
        <v>118</v>
      </c>
      <c r="E1602" t="inlineStr">
        <is>
          <t>TP</t>
        </is>
      </c>
      <c r="F1602" t="inlineStr">
        <is>
          <t>public var linkedHeaderIDs exposed with no encapsulation</t>
        </is>
      </c>
    </row>
    <row r="1603">
      <c r="A1603" t="inlineStr">
        <is>
          <t>financialwell</t>
        </is>
      </c>
      <c r="B1603" t="inlineStr">
        <is>
          <t>/Users/manczg/Documents/development/financialwell/FinancialWell/Import/Import.swift</t>
        </is>
      </c>
      <c r="C1603" t="inlineStr">
        <is>
          <t>solid-06</t>
        </is>
      </c>
      <c r="D1603" t="n">
        <v>119</v>
      </c>
      <c r="E1603" t="inlineStr">
        <is>
          <t>TP</t>
        </is>
      </c>
      <c r="F1603" t="inlineStr">
        <is>
          <t>public var handler exposed with no encapsulation</t>
        </is>
      </c>
    </row>
    <row r="1604">
      <c r="A1604" t="inlineStr">
        <is>
          <t>financialwell</t>
        </is>
      </c>
      <c r="B1604" t="inlineStr">
        <is>
          <t>/Users/manczg/Documents/development/financialwell/FinancialWell/Import/Import.swift</t>
        </is>
      </c>
      <c r="C1604" t="inlineStr">
        <is>
          <t>solid-06</t>
        </is>
      </c>
      <c r="D1604" t="n">
        <v>121</v>
      </c>
      <c r="E1604" t="inlineStr">
        <is>
          <t>TP</t>
        </is>
      </c>
      <c r="F1604" t="inlineStr">
        <is>
          <t>public var supportedFormatProtocols collaborator list exposed mutable</t>
        </is>
      </c>
    </row>
    <row r="1605">
      <c r="A1605" t="inlineStr">
        <is>
          <t>financialwell</t>
        </is>
      </c>
      <c r="B1605" t="inlineStr">
        <is>
          <t>/Users/manczg/Documents/development/financialwell/FinancialWell/Import/Import.swift</t>
        </is>
      </c>
      <c r="C1605" t="inlineStr">
        <is>
          <t>solid-06</t>
        </is>
      </c>
      <c r="D1605" t="n">
        <v>122</v>
      </c>
      <c r="E1605" t="inlineStr">
        <is>
          <t>TP</t>
        </is>
      </c>
      <c r="F1605" t="inlineStr">
        <is>
          <t>public var delegate exposed with no encapsulation</t>
        </is>
      </c>
    </row>
    <row r="1606">
      <c r="A1606" t="inlineStr">
        <is>
          <t>financialwell</t>
        </is>
      </c>
      <c r="B1606" t="inlineStr">
        <is>
          <t>/Users/manczg/Documents/development/financialwell/FinancialWell/Import/Import.swift</t>
        </is>
      </c>
      <c r="C1606" t="inlineStr">
        <is>
          <t>solid-08</t>
        </is>
      </c>
      <c r="D1606" t="n">
        <v>91</v>
      </c>
      <c r="E1606" t="inlineStr">
        <is>
          <t>FP</t>
        </is>
      </c>
      <c r="F1606" t="inlineStr">
        <is>
          <t>newAccounts is a mutable accumulator field on ImportResult, populated by callers</t>
        </is>
      </c>
    </row>
    <row r="1607">
      <c r="A1607" t="inlineStr">
        <is>
          <t>financialwell</t>
        </is>
      </c>
      <c r="B1607" t="inlineStr">
        <is>
          <t>/Users/manczg/Documents/development/financialwell/FinancialWell/Import/Import.swift</t>
        </is>
      </c>
      <c r="C1607" t="inlineStr">
        <is>
          <t>solid-08</t>
        </is>
      </c>
      <c r="D1607" t="n">
        <v>92</v>
      </c>
      <c r="E1607" t="inlineStr">
        <is>
          <t>FP</t>
        </is>
      </c>
      <c r="F1607" t="inlineStr">
        <is>
          <t>newCategories is a mutable accumulator field on ImportResult, populated by callers</t>
        </is>
      </c>
    </row>
    <row r="1608">
      <c r="A1608" t="inlineStr">
        <is>
          <t>financialwell</t>
        </is>
      </c>
      <c r="B1608" t="inlineStr">
        <is>
          <t>/Users/manczg/Documents/development/financialwell/FinancialWell/Import/Import.swift</t>
        </is>
      </c>
      <c r="C1608" t="inlineStr">
        <is>
          <t>solid-08</t>
        </is>
      </c>
      <c r="D1608" t="n">
        <v>93</v>
      </c>
      <c r="E1608" t="inlineStr">
        <is>
          <t>FP</t>
        </is>
      </c>
      <c r="F1608" t="inlineStr">
        <is>
          <t>numberOfTransactions is a counter on the ImportResult accumulator class</t>
        </is>
      </c>
    </row>
    <row r="1609">
      <c r="A1609" t="inlineStr">
        <is>
          <t>financialwell</t>
        </is>
      </c>
      <c r="B1609" t="inlineStr">
        <is>
          <t>/Users/manczg/Documents/development/financialwell/FinancialWell/Import/Import.swift</t>
        </is>
      </c>
      <c r="C1609" t="inlineStr">
        <is>
          <t>solid-08</t>
        </is>
      </c>
      <c r="D1609" t="n">
        <v>94</v>
      </c>
      <c r="E1609" t="inlineStr">
        <is>
          <t>FP</t>
        </is>
      </c>
      <c r="F1609" t="inlineStr">
        <is>
          <t>numberOfImportedTransactions reassigned via result.numberOfImportedTransactions -= at line 81 (qualified-reference blind spot)</t>
        </is>
      </c>
    </row>
    <row r="1610">
      <c r="A1610" t="inlineStr">
        <is>
          <t>financialwell</t>
        </is>
      </c>
      <c r="B1610" t="inlineStr">
        <is>
          <t>/Users/manczg/Documents/development/financialwell/FinancialWell/Import/Import.swift</t>
        </is>
      </c>
      <c r="C1610" t="inlineStr">
        <is>
          <t>solid-08</t>
        </is>
      </c>
      <c r="D1610" t="n">
        <v>95</v>
      </c>
      <c r="E1610" t="inlineStr">
        <is>
          <t>FP</t>
        </is>
      </c>
      <c r="F1610" t="inlineStr">
        <is>
          <t>numberOfSkippedTransactions is a counter on the ImportResult accumulator class</t>
        </is>
      </c>
    </row>
    <row r="1611">
      <c r="A1611" t="inlineStr">
        <is>
          <t>financialwell</t>
        </is>
      </c>
      <c r="B1611" t="inlineStr">
        <is>
          <t>/Users/manczg/Documents/development/financialwell/FinancialWell/Import/Import.swift</t>
        </is>
      </c>
      <c r="C1611" t="inlineStr">
        <is>
          <t>solid-08</t>
        </is>
      </c>
      <c r="D1611" t="n">
        <v>96</v>
      </c>
      <c r="E1611" t="inlineStr">
        <is>
          <t>FP</t>
        </is>
      </c>
      <c r="F1611" t="inlineStr">
        <is>
          <t>numberOfAlreadyImportedTransactions reassigned via result.numberOfAlreadyImportedTransactions = at line 80 (qualified-reference blind spot)</t>
        </is>
      </c>
    </row>
    <row r="1612">
      <c r="A1612" t="inlineStr">
        <is>
          <t>financialwell</t>
        </is>
      </c>
      <c r="B1612" t="inlineStr">
        <is>
          <t>/Users/manczg/Documents/development/financialwell/FinancialWell/Import/Import.swift</t>
        </is>
      </c>
      <c r="C1612" t="inlineStr">
        <is>
          <t>solid-08</t>
        </is>
      </c>
      <c r="D1612" t="n">
        <v>118</v>
      </c>
      <c r="E1612" t="inlineStr">
        <is>
          <t>FP</t>
        </is>
      </c>
      <c r="F1612" t="inlineStr">
        <is>
          <t>linkedHeaderIDs starts as empty dict, designed to be populated later</t>
        </is>
      </c>
    </row>
    <row r="1613">
      <c r="A1613" t="inlineStr">
        <is>
          <t>financialwell</t>
        </is>
      </c>
      <c r="B1613" t="inlineStr">
        <is>
          <t>/Users/manczg/Documents/development/financialwell/FinancialWell/Import/Import.swift</t>
        </is>
      </c>
      <c r="C1613" t="inlineStr">
        <is>
          <t>solid-08</t>
        </is>
      </c>
      <c r="D1613" t="n">
        <v>122</v>
      </c>
      <c r="E1613" t="inlineStr">
        <is>
          <t>FP</t>
        </is>
      </c>
      <c r="F1613" t="inlineStr">
        <is>
          <t>delegate is set post-init from outside; var is structurally required, not "unnecessary"</t>
        </is>
      </c>
    </row>
    <row r="1614">
      <c r="A1614" t="inlineStr">
        <is>
          <t>financialwell</t>
        </is>
      </c>
      <c r="B1614" t="inlineStr">
        <is>
          <t>/Users/manczg/Documents/development/financialwell/FinancialWell/Import/Import.swift</t>
        </is>
      </c>
      <c r="C1614" t="inlineStr">
        <is>
          <t>tests-01</t>
        </is>
      </c>
      <c r="D1614" t="n">
        <v>12</v>
      </c>
      <c r="E1614" t="inlineStr">
        <is>
          <t>TP</t>
        </is>
      </c>
      <c r="F1614" t="inlineStr">
        <is>
          <t>no test file found matching ThirdPartyDataImportProtocol/Importer stems</t>
        </is>
      </c>
    </row>
    <row r="1615">
      <c r="A1615" t="inlineStr">
        <is>
          <t>financialwell</t>
        </is>
      </c>
      <c r="B1615" t="inlineStr">
        <is>
          <t>/Users/manczg/Documents/development/financialwell/FinancialWell/ViewModels/AccountEditViewModel.swift</t>
        </is>
      </c>
      <c r="C1615" t="inlineStr">
        <is>
          <t>arch-08</t>
        </is>
      </c>
      <c r="D1615" t="n">
        <v>21</v>
      </c>
      <c r="E1615" t="inlineStr">
        <is>
          <t>TP</t>
        </is>
      </c>
      <c r="F1615" t="inlineStr">
        <is>
          <t>ModelManager.shared.choosableCategories lookup inside setup()</t>
        </is>
      </c>
    </row>
    <row r="1616">
      <c r="A1616" t="inlineStr">
        <is>
          <t>financialwell</t>
        </is>
      </c>
      <c r="B1616" t="inlineStr">
        <is>
          <t>/Users/manczg/Documents/development/financialwell/FinancialWell/ViewModels/AccountEditViewModel.swift</t>
        </is>
      </c>
      <c r="C1616" t="inlineStr">
        <is>
          <t>arch-08</t>
        </is>
      </c>
      <c r="D1616" t="n">
        <v>79</v>
      </c>
      <c r="E1616" t="inlineStr">
        <is>
          <t>TP</t>
        </is>
      </c>
      <c r="F1616" t="inlineStr">
        <is>
          <t>ModelManager.shared.accounts lookup inside business method</t>
        </is>
      </c>
    </row>
    <row r="1617">
      <c r="A1617" t="inlineStr">
        <is>
          <t>financialwell</t>
        </is>
      </c>
      <c r="B1617" t="inlineStr">
        <is>
          <t>/Users/manczg/Documents/development/financialwell/FinancialWell/ViewModels/AccountEditViewModel.swift</t>
        </is>
      </c>
      <c r="C1617" t="inlineStr">
        <is>
          <t>safety-02</t>
        </is>
      </c>
      <c r="D1617" t="n">
        <v>83</v>
      </c>
      <c r="E1617" t="inlineStr">
        <is>
          <t>FP</t>
        </is>
      </c>
      <c r="F1617" t="inlineStr">
        <is>
          <t>image! guarded by preceding if image == nil check</t>
        </is>
      </c>
    </row>
    <row r="1618">
      <c r="A1618" t="inlineStr">
        <is>
          <t>financialwell</t>
        </is>
      </c>
      <c r="B1618" t="inlineStr">
        <is>
          <t>/Users/manczg/Documents/development/financialwell/FinancialWell/ViewModels/AccountEditViewModel.swift</t>
        </is>
      </c>
      <c r="C1618" t="inlineStr">
        <is>
          <t>smells-10</t>
        </is>
      </c>
      <c r="D1618" t="n">
        <v>21</v>
      </c>
      <c r="E1618" t="inlineStr">
        <is>
          <t>TP</t>
        </is>
      </c>
      <c r="F1618" t="inlineStr">
        <is>
          <t>3-hop chain ModelManager.shared.choosableCategories.choosableCategoryImagesArray</t>
        </is>
      </c>
    </row>
    <row r="1619">
      <c r="A1619" t="inlineStr">
        <is>
          <t>financialwell</t>
        </is>
      </c>
      <c r="B1619" t="inlineStr">
        <is>
          <t>/Users/manczg/Documents/development/financialwell/FinancialWell/ViewModels/AccountEditViewModel.swift</t>
        </is>
      </c>
      <c r="C1619" t="inlineStr">
        <is>
          <t>smells-10</t>
        </is>
      </c>
      <c r="D1619" t="n">
        <v>79</v>
      </c>
      <c r="E1619" t="inlineStr">
        <is>
          <t>TP</t>
        </is>
      </c>
      <c r="F1619" t="inlineStr">
        <is>
          <t>3-hop chain ModelManager.shared.accounts.getUIImage</t>
        </is>
      </c>
    </row>
    <row r="1620">
      <c r="A1620" t="inlineStr">
        <is>
          <t>financialwell</t>
        </is>
      </c>
      <c r="B1620" t="inlineStr">
        <is>
          <t>/Users/manczg/Documents/development/financialwell/FinancialWell/ViewModels/AccountEditViewModel.swift</t>
        </is>
      </c>
      <c r="C1620" t="inlineStr">
        <is>
          <t>smells-21</t>
        </is>
      </c>
      <c r="D1620" t="n">
        <v>12</v>
      </c>
      <c r="E1620" t="inlineStr">
        <is>
          <t>TP</t>
        </is>
      </c>
      <c r="F1620" t="inlineStr">
        <is>
          <t>stored property declared AccountViewModel! in production ViewModel code</t>
        </is>
      </c>
    </row>
    <row r="1621">
      <c r="A1621" t="inlineStr">
        <is>
          <t>financialwell</t>
        </is>
      </c>
      <c r="B1621" t="inlineStr">
        <is>
          <t>/Users/manczg/Documents/development/financialwell/FinancialWell/ViewModels/AccountEditViewModel.swift</t>
        </is>
      </c>
      <c r="C1621" t="inlineStr">
        <is>
          <t>smells-21</t>
        </is>
      </c>
      <c r="D1621" t="n">
        <v>15</v>
      </c>
      <c r="E1621" t="inlineStr">
        <is>
          <t>TP</t>
        </is>
      </c>
      <c r="F1621" t="inlineStr">
        <is>
          <t>stored property declared Account! in production ViewModel code</t>
        </is>
      </c>
    </row>
    <row r="1622">
      <c r="A1622" t="inlineStr">
        <is>
          <t>financialwell</t>
        </is>
      </c>
      <c r="B1622" t="inlineStr">
        <is>
          <t>/Users/manczg/Documents/development/financialwell/FinancialWell/ViewModels/AccountEditViewModel.swift</t>
        </is>
      </c>
      <c r="C1622" t="inlineStr">
        <is>
          <t>solid-06</t>
        </is>
      </c>
      <c r="D1622" t="n">
        <v>12</v>
      </c>
      <c r="E1622" t="inlineStr">
        <is>
          <t>TP</t>
        </is>
      </c>
      <c r="F1622" t="inlineStr">
        <is>
          <t>public var parent exposed with no encapsulation</t>
        </is>
      </c>
    </row>
    <row r="1623">
      <c r="A1623" t="inlineStr">
        <is>
          <t>financialwell</t>
        </is>
      </c>
      <c r="B1623" t="inlineStr">
        <is>
          <t>/Users/manczg/Documents/development/financialwell/FinancialWell/ViewModels/AccountEditViewModel.swift</t>
        </is>
      </c>
      <c r="C1623" t="inlineStr">
        <is>
          <t>solid-06</t>
        </is>
      </c>
      <c r="D1623" t="n">
        <v>14</v>
      </c>
      <c r="E1623" t="inlineStr">
        <is>
          <t>TP</t>
        </is>
      </c>
      <c r="F1623" t="inlineStr">
        <is>
          <t>public var accountChoosableImages exposed mutable</t>
        </is>
      </c>
    </row>
    <row r="1624">
      <c r="A1624" t="inlineStr">
        <is>
          <t>financialwell</t>
        </is>
      </c>
      <c r="B1624" t="inlineStr">
        <is>
          <t>/Users/manczg/Documents/development/financialwell/FinancialWell/ViewModels/AccountEditViewModel.swift</t>
        </is>
      </c>
      <c r="C1624" t="inlineStr">
        <is>
          <t>solid-06</t>
        </is>
      </c>
      <c r="D1624" t="n">
        <v>15</v>
      </c>
      <c r="E1624" t="inlineStr">
        <is>
          <t>TP</t>
        </is>
      </c>
      <c r="F1624" t="inlineStr">
        <is>
          <t>public var selectedItem exposed with no encapsulation</t>
        </is>
      </c>
    </row>
    <row r="1625">
      <c r="A1625" t="inlineStr">
        <is>
          <t>financialwell</t>
        </is>
      </c>
      <c r="B1625" t="inlineStr">
        <is>
          <t>/Users/manczg/Documents/development/financialwell/FinancialWell/ViewModels/AccountEditViewModel.swift</t>
        </is>
      </c>
      <c r="C1625" t="inlineStr">
        <is>
          <t>solid-08</t>
        </is>
      </c>
      <c r="D1625" t="n">
        <v>15</v>
      </c>
      <c r="E1625" t="inlineStr">
        <is>
          <t>FP</t>
        </is>
      </c>
      <c r="F1625" t="inlineStr">
        <is>
          <t>selectedItem is deferred-injected externally after init; var required since let cannot support post-init assignment</t>
        </is>
      </c>
    </row>
    <row r="1626">
      <c r="A1626" t="inlineStr">
        <is>
          <t>financialwell</t>
        </is>
      </c>
      <c r="B1626" t="inlineStr">
        <is>
          <t>/Users/manczg/Documents/development/financialwell/FinancialWell/ViewModels/AccountEditViewModel.swift</t>
        </is>
      </c>
      <c r="C1626" t="inlineStr">
        <is>
          <t>tests-01</t>
        </is>
      </c>
      <c r="D1626" t="n">
        <v>11</v>
      </c>
      <c r="E1626" t="inlineStr">
        <is>
          <t>TP</t>
        </is>
      </c>
      <c r="F1626" t="inlineStr">
        <is>
          <t>no test file found for AccountEditViewModel</t>
        </is>
      </c>
    </row>
    <row r="1627">
      <c r="A1627" t="inlineStr">
        <is>
          <t>financialwell</t>
        </is>
      </c>
      <c r="B1627" t="inlineStr">
        <is>
          <t>/Users/manczg/Documents/development/financialwell/FinancialWell/Import/ImportTransactionsImportFailedViewController.swift</t>
        </is>
      </c>
      <c r="C1627" t="inlineStr">
        <is>
          <t>smells-03</t>
        </is>
      </c>
      <c r="D1627" t="n">
        <v>36</v>
      </c>
      <c r="E1627" t="inlineStr">
        <is>
          <t>FP</t>
        </is>
      </c>
      <c r="F1627" t="inlineStr">
        <is>
          <t>overridden UIViewController.viewWillAppear(_:) has a framework-fixed signature</t>
        </is>
      </c>
    </row>
    <row r="1628">
      <c r="A1628" t="inlineStr">
        <is>
          <t>financialwell</t>
        </is>
      </c>
      <c r="B1628" t="inlineStr">
        <is>
          <t>/Users/manczg/Documents/development/financialwell/FinancialWell/Import/ImportTransactionsImportFailedViewController.swift</t>
        </is>
      </c>
      <c r="C1628" t="inlineStr">
        <is>
          <t>smells-10</t>
        </is>
      </c>
      <c r="D1628" t="n">
        <v>42</v>
      </c>
      <c r="E1628" t="inlineStr">
        <is>
          <t>FP</t>
        </is>
      </c>
      <c r="F1628" t="inlineStr">
        <is>
          <t>view.window.rootViewController.dismiss is a standard UIKit view-hierarchy chain, not a domain Demeter violation</t>
        </is>
      </c>
    </row>
    <row r="1629">
      <c r="A1629" t="inlineStr">
        <is>
          <t>financialwell</t>
        </is>
      </c>
      <c r="B1629" t="inlineStr">
        <is>
          <t>/Users/manczg/Documents/development/financialwell/FinancialWell/Import/ImportTransactionsImportFailedViewController.swift</t>
        </is>
      </c>
      <c r="C1629" t="inlineStr">
        <is>
          <t>solid-06</t>
        </is>
      </c>
      <c r="D1629" t="n">
        <v>12</v>
      </c>
      <c r="E1629" t="inlineStr">
        <is>
          <t>TP</t>
        </is>
      </c>
      <c r="F1629" t="inlineStr">
        <is>
          <t>public var viewModel exposed with no encapsulation</t>
        </is>
      </c>
    </row>
    <row r="1630">
      <c r="A1630" t="inlineStr">
        <is>
          <t>financialwell</t>
        </is>
      </c>
      <c r="B1630" t="inlineStr">
        <is>
          <t>/Users/manczg/Documents/development/financialwell/FinancialWell/Import/ImportTransactionsImportFailedViewController.swift</t>
        </is>
      </c>
      <c r="C1630" t="inlineStr">
        <is>
          <t>solid-06</t>
        </is>
      </c>
      <c r="D1630" t="n">
        <v>13</v>
      </c>
      <c r="E1630" t="inlineStr">
        <is>
          <t>TP</t>
        </is>
      </c>
      <c r="F1630" t="inlineStr">
        <is>
          <t>public var message exposed with no encapsulation</t>
        </is>
      </c>
    </row>
    <row r="1631">
      <c r="A1631" t="inlineStr">
        <is>
          <t>financialwell</t>
        </is>
      </c>
      <c r="B1631" t="inlineStr">
        <is>
          <t>/Users/manczg/Documents/development/financialwell/FinancialWell/Import/ImportTransactionsImportFailedViewController.swift</t>
        </is>
      </c>
      <c r="C1631" t="inlineStr">
        <is>
          <t>solid-06</t>
        </is>
      </c>
      <c r="D1631" t="n">
        <v>16</v>
      </c>
      <c r="E1631" t="inlineStr">
        <is>
          <t>TP</t>
        </is>
      </c>
      <c r="F1631" t="inlineStr">
        <is>
          <t>IBOutlet only read within the class, should be private per SwiftLint private_outlet convention</t>
        </is>
      </c>
    </row>
    <row r="1632">
      <c r="A1632" t="inlineStr">
        <is>
          <t>financialwell</t>
        </is>
      </c>
      <c r="B1632" t="inlineStr">
        <is>
          <t>/Users/manczg/Documents/development/financialwell/FinancialWell/Import/ImportTransactionsImportFailedViewController.swift</t>
        </is>
      </c>
      <c r="C1632" t="inlineStr">
        <is>
          <t>solid-06</t>
        </is>
      </c>
      <c r="D1632" t="n">
        <v>17</v>
      </c>
      <c r="E1632" t="inlineStr">
        <is>
          <t>TP</t>
        </is>
      </c>
      <c r="F1632" t="inlineStr">
        <is>
          <t>IBOutlet only read within the class, should be private</t>
        </is>
      </c>
    </row>
    <row r="1633">
      <c r="A1633" t="inlineStr">
        <is>
          <t>financialwell</t>
        </is>
      </c>
      <c r="B1633" t="inlineStr">
        <is>
          <t>/Users/manczg/Documents/development/financialwell/FinancialWell/Import/ImportTransactionsImportFailedViewController.swift</t>
        </is>
      </c>
      <c r="C1633" t="inlineStr">
        <is>
          <t>solid-06</t>
        </is>
      </c>
      <c r="D1633" t="n">
        <v>18</v>
      </c>
      <c r="E1633" t="inlineStr">
        <is>
          <t>TP</t>
        </is>
      </c>
      <c r="F1633" t="inlineStr">
        <is>
          <t>IBOutlet only read within the class, should be private</t>
        </is>
      </c>
    </row>
    <row r="1634">
      <c r="A1634" t="inlineStr">
        <is>
          <t>financialwell</t>
        </is>
      </c>
      <c r="B1634" t="inlineStr">
        <is>
          <t>/Users/manczg/Documents/development/financialwell/FinancialWell/Import/ImportTransactionsImportFailedViewController.swift</t>
        </is>
      </c>
      <c r="C1634" t="inlineStr">
        <is>
          <t>solid-08</t>
        </is>
      </c>
      <c r="D1634" t="n">
        <v>12</v>
      </c>
      <c r="E1634" t="inlineStr">
        <is>
          <t>TP</t>
        </is>
      </c>
      <c r="F1634" t="inlineStr">
        <is>
          <t>viewModel never reassigned in file, fully initialized at declaration, could be let</t>
        </is>
      </c>
    </row>
    <row r="1635">
      <c r="A1635" t="inlineStr">
        <is>
          <t>financialwell</t>
        </is>
      </c>
      <c r="B1635" t="inlineStr">
        <is>
          <t>/Users/manczg/Documents/development/financialwell/FinancialWell/Import/ImportTransactionsImportFailedViewController.swift</t>
        </is>
      </c>
      <c r="C1635" t="inlineStr">
        <is>
          <t>solid-08</t>
        </is>
      </c>
      <c r="D1635" t="n">
        <v>13</v>
      </c>
      <c r="E1635" t="inlineStr">
        <is>
          <t>TP</t>
        </is>
      </c>
      <c r="F1635" t="inlineStr">
        <is>
          <t>message never reassigned in file, could be let</t>
        </is>
      </c>
    </row>
    <row r="1636">
      <c r="A1636" t="inlineStr">
        <is>
          <t>financialwell</t>
        </is>
      </c>
      <c r="B1636" t="inlineStr">
        <is>
          <t>/Users/manczg/Documents/development/financialwell/FinancialWell/Import/ImportTransactionsImportFailedViewController.swift</t>
        </is>
      </c>
      <c r="C1636" t="inlineStr">
        <is>
          <t>solid-10</t>
        </is>
      </c>
      <c r="D1636" t="n">
        <v>12</v>
      </c>
      <c r="E1636" t="inlineStr">
        <is>
          <t>FP</t>
        </is>
      </c>
      <c r="F1636" t="inlineStr">
        <is>
          <t>ImportViewModel() owned by its ViewController is idiomatic MVVM, not domain/application service code</t>
        </is>
      </c>
    </row>
    <row r="1637">
      <c r="A1637" t="inlineStr">
        <is>
          <t>financialwell</t>
        </is>
      </c>
      <c r="B1637" t="inlineStr">
        <is>
          <t>/Users/manczg/Documents/development/financialwell/FinancialWell/Import/ImportTransactionsImportFailedViewController.swift</t>
        </is>
      </c>
      <c r="C1637" t="inlineStr">
        <is>
          <t>tests-01</t>
        </is>
      </c>
      <c r="D1637" t="n">
        <v>11</v>
      </c>
      <c r="E1637" t="inlineStr">
        <is>
          <t>TP</t>
        </is>
      </c>
      <c r="F1637" t="inlineStr">
        <is>
          <t>no test file found for ImportTransactionsImportFailedViewController</t>
        </is>
      </c>
    </row>
    <row r="1638">
      <c r="A1638" t="inlineStr">
        <is>
          <t>financialwell</t>
        </is>
      </c>
      <c r="B1638" t="inlineStr">
        <is>
          <t>/Users/manczg/Documents/development/financialwell/UITests/FrenchLocaleE2ESmokeTests.swift</t>
        </is>
      </c>
      <c r="C1638" t="inlineStr">
        <is>
          <t>clarity-16</t>
        </is>
      </c>
      <c r="D1638" t="n">
        <v>210</v>
      </c>
      <c r="E1638" t="inlineStr">
        <is>
          <t>TP</t>
        </is>
      </c>
      <c r="F1638" t="inlineStr">
        <is>
          <t>testOnboardingFlowInFrench has 15+ if/else branches, well over 10</t>
        </is>
      </c>
    </row>
    <row r="1639">
      <c r="A1639" t="inlineStr">
        <is>
          <t>financialwell</t>
        </is>
      </c>
      <c r="B1639" t="inlineStr">
        <is>
          <t>/Users/manczg/Documents/development/financialwell/UITests/FrenchLocaleE2ESmokeTests.swift</t>
        </is>
      </c>
      <c r="C1639" t="inlineStr">
        <is>
          <t>clarity-17</t>
        </is>
      </c>
      <c r="D1639" t="n">
        <v>210</v>
      </c>
      <c r="E1639" t="inlineStr">
        <is>
          <t>TP</t>
        </is>
      </c>
      <c r="F1639" t="inlineStr">
        <is>
          <t>function spans lines 210-362 (153 lines), over 150-line threshold</t>
        </is>
      </c>
    </row>
    <row r="1640">
      <c r="A1640" t="inlineStr">
        <is>
          <t>financialwell</t>
        </is>
      </c>
      <c r="B1640" t="inlineStr">
        <is>
          <t>/Users/manczg/Documents/development/financialwell/UITests/FrenchLocaleE2ESmokeTests.swift</t>
        </is>
      </c>
      <c r="C1640" t="inlineStr">
        <is>
          <t>smells-10</t>
        </is>
      </c>
      <c r="D1640" t="n">
        <v>151</v>
      </c>
      <c r="E1640" t="inlineStr">
        <is>
          <t>FP</t>
        </is>
      </c>
      <c r="F1640" t="inlineStr">
        <is>
          <t>app.tabBars.buttons.element(boundBy:) is a standard XCUITest UI-framework locator chain</t>
        </is>
      </c>
    </row>
    <row r="1641">
      <c r="A1641" t="inlineStr">
        <is>
          <t>financialwell</t>
        </is>
      </c>
      <c r="B1641" t="inlineStr">
        <is>
          <t>/Users/manczg/Documents/development/financialwell/UITests/FrenchLocaleE2ESmokeTests.swift</t>
        </is>
      </c>
      <c r="C1641" t="inlineStr">
        <is>
          <t>smells-10</t>
        </is>
      </c>
      <c r="D1641" t="n">
        <v>426</v>
      </c>
      <c r="E1641" t="inlineStr">
        <is>
          <t>FP</t>
        </is>
      </c>
      <c r="F1641" t="inlineStr">
        <is>
          <t>app.navigationBars.buttons.firstMatch is a standard XCUITest UI-framework locator chain</t>
        </is>
      </c>
    </row>
    <row r="1642">
      <c r="A1642" t="inlineStr">
        <is>
          <t>financialwell</t>
        </is>
      </c>
      <c r="B1642" t="inlineStr">
        <is>
          <t>/Users/manczg/Documents/development/financialwell/UITests/FrenchLocaleE2ESmokeTests.swift</t>
        </is>
      </c>
      <c r="C1642" t="inlineStr">
        <is>
          <t>smells-10</t>
        </is>
      </c>
      <c r="D1642" t="n">
        <v>575</v>
      </c>
      <c r="E1642" t="inlineStr">
        <is>
          <t>FP</t>
        </is>
      </c>
      <c r="F1642" t="inlineStr">
        <is>
          <t>app.navigationBars.buttons.firstMatch is a standard XCUITest UI-framework locator chain</t>
        </is>
      </c>
    </row>
    <row r="1643">
      <c r="A1643" t="inlineStr">
        <is>
          <t>financialwell</t>
        </is>
      </c>
      <c r="B1643" t="inlineStr">
        <is>
          <t>/Users/manczg/Documents/development/financialwell/UITests/FrenchLocaleE2ESmokeTests.swift</t>
        </is>
      </c>
      <c r="C1643" t="inlineStr">
        <is>
          <t>smells-10</t>
        </is>
      </c>
      <c r="D1643" t="n">
        <v>648</v>
      </c>
      <c r="E1643" t="inlineStr">
        <is>
          <t>FP</t>
        </is>
      </c>
      <c r="F1643" t="inlineStr">
        <is>
          <t>app.tabBars.buttons.element(boundBy:) is a standard XCUITest UI-framework locator chain</t>
        </is>
      </c>
    </row>
    <row r="1644">
      <c r="A1644" t="inlineStr">
        <is>
          <t>financialwell</t>
        </is>
      </c>
      <c r="B1644" t="inlineStr">
        <is>
          <t>/Users/manczg/Documents/development/financialwell/UITests/FrenchLocaleE2ESmokeTests.swift</t>
        </is>
      </c>
      <c r="C1644" t="inlineStr">
        <is>
          <t>tests-04</t>
        </is>
      </c>
      <c r="D1644" t="n">
        <v>135</v>
      </c>
      <c r="E1644" t="inlineStr">
        <is>
          <t>TP</t>
        </is>
      </c>
      <c r="F1644" t="inlineStr">
        <is>
          <t>real sleep(1) call in UI test, no clock injection</t>
        </is>
      </c>
    </row>
    <row r="1645">
      <c r="A1645" t="inlineStr">
        <is>
          <t>financialwell</t>
        </is>
      </c>
      <c r="B1645" t="inlineStr">
        <is>
          <t>/Users/manczg/Documents/development/financialwell/UITests/FrenchLocaleE2ESmokeTests.swift</t>
        </is>
      </c>
      <c r="C1645" t="inlineStr">
        <is>
          <t>tests-04</t>
        </is>
      </c>
      <c r="D1645" t="n">
        <v>154</v>
      </c>
      <c r="E1645" t="inlineStr">
        <is>
          <t>TP</t>
        </is>
      </c>
      <c r="F1645" t="inlineStr">
        <is>
          <t>real sleep(1) call in UI test, no clock injection</t>
        </is>
      </c>
    </row>
    <row r="1646">
      <c r="A1646" t="inlineStr">
        <is>
          <t>financialwell</t>
        </is>
      </c>
      <c r="B1646" t="inlineStr">
        <is>
          <t>/Users/manczg/Documents/development/financialwell/UITests/FrenchLocaleE2ESmokeTests.swift</t>
        </is>
      </c>
      <c r="C1646" t="inlineStr">
        <is>
          <t>tests-04</t>
        </is>
      </c>
      <c r="D1646" t="n">
        <v>160</v>
      </c>
      <c r="E1646" t="inlineStr">
        <is>
          <t>TP</t>
        </is>
      </c>
      <c r="F1646" t="inlineStr">
        <is>
          <t>real sleep(1) call in UI test, no clock injection</t>
        </is>
      </c>
    </row>
    <row r="1647">
      <c r="A1647" t="inlineStr">
        <is>
          <t>financialwell</t>
        </is>
      </c>
      <c r="B1647" t="inlineStr">
        <is>
          <t>/Users/manczg/Documents/development/financialwell/UITests/FrenchLocaleE2ESmokeTests.swift</t>
        </is>
      </c>
      <c r="C1647" t="inlineStr">
        <is>
          <t>tests-04</t>
        </is>
      </c>
      <c r="D1647" t="n">
        <v>229</v>
      </c>
      <c r="E1647" t="inlineStr">
        <is>
          <t>TP</t>
        </is>
      </c>
      <c r="F1647" t="inlineStr">
        <is>
          <t>real sleep(1) call in UI test, no clock injection</t>
        </is>
      </c>
    </row>
    <row r="1648">
      <c r="A1648" t="inlineStr">
        <is>
          <t>financialwell</t>
        </is>
      </c>
      <c r="B1648" t="inlineStr">
        <is>
          <t>/Users/manczg/Documents/development/financialwell/UITests/FrenchLocaleE2ESmokeTests.swift</t>
        </is>
      </c>
      <c r="C1648" t="inlineStr">
        <is>
          <t>tests-04</t>
        </is>
      </c>
      <c r="D1648" t="n">
        <v>240</v>
      </c>
      <c r="E1648" t="inlineStr">
        <is>
          <t>TP</t>
        </is>
      </c>
      <c r="F1648" t="inlineStr">
        <is>
          <t>real sleep(1) call in UI test, no clock injection</t>
        </is>
      </c>
    </row>
    <row r="1649">
      <c r="A1649" t="inlineStr">
        <is>
          <t>financialwell</t>
        </is>
      </c>
      <c r="B1649" t="inlineStr">
        <is>
          <t>/Users/manczg/Documents/development/financialwell/UITests/FrenchLocaleE2ESmokeTests.swift</t>
        </is>
      </c>
      <c r="C1649" t="inlineStr">
        <is>
          <t>tests-04</t>
        </is>
      </c>
      <c r="D1649" t="n">
        <v>247</v>
      </c>
      <c r="E1649" t="inlineStr">
        <is>
          <t>TP</t>
        </is>
      </c>
      <c r="F1649" t="inlineStr">
        <is>
          <t>real sleep(1) call in UI test, no clock injection</t>
        </is>
      </c>
    </row>
    <row r="1650">
      <c r="A1650" t="inlineStr">
        <is>
          <t>financialwell</t>
        </is>
      </c>
      <c r="B1650" t="inlineStr">
        <is>
          <t>/Users/manczg/Documents/development/financialwell/UITests/FrenchLocaleE2ESmokeTests.swift</t>
        </is>
      </c>
      <c r="C1650" t="inlineStr">
        <is>
          <t>tests-04</t>
        </is>
      </c>
      <c r="D1650" t="n">
        <v>267</v>
      </c>
      <c r="E1650" t="inlineStr">
        <is>
          <t>TP</t>
        </is>
      </c>
      <c r="F1650" t="inlineStr">
        <is>
          <t>real sleep(1) call in UI test, no clock injection</t>
        </is>
      </c>
    </row>
    <row r="1651">
      <c r="A1651" t="inlineStr">
        <is>
          <t>financialwell</t>
        </is>
      </c>
      <c r="B1651" t="inlineStr">
        <is>
          <t>/Users/manczg/Documents/development/financialwell/UITests/FrenchLocaleE2ESmokeTests.swift</t>
        </is>
      </c>
      <c r="C1651" t="inlineStr">
        <is>
          <t>tests-04</t>
        </is>
      </c>
      <c r="D1651" t="n">
        <v>277</v>
      </c>
      <c r="E1651" t="inlineStr">
        <is>
          <t>TP</t>
        </is>
      </c>
      <c r="F1651" t="inlineStr">
        <is>
          <t>real sleep(1) call in UI test, no clock injection</t>
        </is>
      </c>
    </row>
    <row r="1652">
      <c r="A1652" t="inlineStr">
        <is>
          <t>financialwell</t>
        </is>
      </c>
      <c r="B1652" t="inlineStr">
        <is>
          <t>/Users/manczg/Documents/development/financialwell/UITests/FrenchLocaleE2ESmokeTests.swift</t>
        </is>
      </c>
      <c r="C1652" t="inlineStr">
        <is>
          <t>tests-04</t>
        </is>
      </c>
      <c r="D1652" t="n">
        <v>287</v>
      </c>
      <c r="E1652" t="inlineStr">
        <is>
          <t>TP</t>
        </is>
      </c>
      <c r="F1652" t="inlineStr">
        <is>
          <t>real sleep(1) call in UI test, no clock injection</t>
        </is>
      </c>
    </row>
    <row r="1653">
      <c r="A1653" t="inlineStr">
        <is>
          <t>financialwell</t>
        </is>
      </c>
      <c r="B1653" t="inlineStr">
        <is>
          <t>/Users/manczg/Documents/development/financialwell/UITests/FrenchLocaleE2ESmokeTests.swift</t>
        </is>
      </c>
      <c r="C1653" t="inlineStr">
        <is>
          <t>tests-04</t>
        </is>
      </c>
      <c r="D1653" t="n">
        <v>298</v>
      </c>
      <c r="E1653" t="inlineStr">
        <is>
          <t>TP</t>
        </is>
      </c>
      <c r="F1653" t="inlineStr">
        <is>
          <t>real sleep(1) call in UI test, no clock injection</t>
        </is>
      </c>
    </row>
    <row r="1654">
      <c r="A1654" t="inlineStr">
        <is>
          <t>financialwell</t>
        </is>
      </c>
      <c r="B1654" t="inlineStr">
        <is>
          <t>/Users/manczg/Documents/development/financialwell/UITests/FrenchLocaleE2ESmokeTests.swift</t>
        </is>
      </c>
      <c r="C1654" t="inlineStr">
        <is>
          <t>tests-04</t>
        </is>
      </c>
      <c r="D1654" t="n">
        <v>310</v>
      </c>
      <c r="E1654" t="inlineStr">
        <is>
          <t>TP</t>
        </is>
      </c>
      <c r="F1654" t="inlineStr">
        <is>
          <t>real sleep(2) call in UI test, no clock injection</t>
        </is>
      </c>
    </row>
    <row r="1655">
      <c r="A1655" t="inlineStr">
        <is>
          <t>financialwell</t>
        </is>
      </c>
      <c r="B1655" t="inlineStr">
        <is>
          <t>/Users/manczg/Documents/development/financialwell/UITests/FrenchLocaleE2ESmokeTests.swift</t>
        </is>
      </c>
      <c r="C1655" t="inlineStr">
        <is>
          <t>tests-04</t>
        </is>
      </c>
      <c r="D1655" t="n">
        <v>313</v>
      </c>
      <c r="E1655" t="inlineStr">
        <is>
          <t>TP</t>
        </is>
      </c>
      <c r="F1655" t="inlineStr">
        <is>
          <t>real sleep(1) call in UI test, no clock injection</t>
        </is>
      </c>
    </row>
    <row r="1656">
      <c r="A1656" t="inlineStr">
        <is>
          <t>financialwell</t>
        </is>
      </c>
      <c r="B1656" t="inlineStr">
        <is>
          <t>/Users/manczg/Documents/development/financialwell/UITests/FrenchLocaleE2ESmokeTests.swift</t>
        </is>
      </c>
      <c r="C1656" t="inlineStr">
        <is>
          <t>tests-04</t>
        </is>
      </c>
      <c r="D1656" t="n">
        <v>325</v>
      </c>
      <c r="E1656" t="inlineStr">
        <is>
          <t>TP</t>
        </is>
      </c>
      <c r="F1656" t="inlineStr">
        <is>
          <t>real sleep(1) call in UI test, no clock injection</t>
        </is>
      </c>
    </row>
    <row r="1657">
      <c r="A1657" t="inlineStr">
        <is>
          <t>financialwell</t>
        </is>
      </c>
      <c r="B1657" t="inlineStr">
        <is>
          <t>/Users/manczg/Documents/development/financialwell/UITests/FrenchLocaleE2ESmokeTests.swift</t>
        </is>
      </c>
      <c r="C1657" t="inlineStr">
        <is>
          <t>tests-04</t>
        </is>
      </c>
      <c r="D1657" t="n">
        <v>342</v>
      </c>
      <c r="E1657" t="inlineStr">
        <is>
          <t>TP</t>
        </is>
      </c>
      <c r="F1657" t="inlineStr">
        <is>
          <t>real sleep(1) call in UI test, no clock injection</t>
        </is>
      </c>
    </row>
    <row r="1658">
      <c r="A1658" t="inlineStr">
        <is>
          <t>financialwell</t>
        </is>
      </c>
      <c r="B1658" t="inlineStr">
        <is>
          <t>/Users/manczg/Documents/development/financialwell/UITests/FrenchLocaleE2ESmokeTests.swift</t>
        </is>
      </c>
      <c r="C1658" t="inlineStr">
        <is>
          <t>tests-04</t>
        </is>
      </c>
      <c r="D1658" t="n">
        <v>356</v>
      </c>
      <c r="E1658" t="inlineStr">
        <is>
          <t>TP</t>
        </is>
      </c>
      <c r="F1658" t="inlineStr">
        <is>
          <t>real sleep(2) call in UI test, no clock injection</t>
        </is>
      </c>
    </row>
    <row r="1659">
      <c r="A1659" t="inlineStr">
        <is>
          <t>financialwell</t>
        </is>
      </c>
      <c r="B1659" t="inlineStr">
        <is>
          <t>/Users/manczg/Documents/development/financialwell/UITests/FrenchLocaleE2ESmokeTests.swift</t>
        </is>
      </c>
      <c r="C1659" t="inlineStr">
        <is>
          <t>tests-04</t>
        </is>
      </c>
      <c r="D1659" t="n">
        <v>377</v>
      </c>
      <c r="E1659" t="inlineStr">
        <is>
          <t>TP</t>
        </is>
      </c>
      <c r="F1659" t="inlineStr">
        <is>
          <t>real sleep(1) call in UI test, no clock injection</t>
        </is>
      </c>
    </row>
    <row r="1660">
      <c r="A1660" t="inlineStr">
        <is>
          <t>financialwell</t>
        </is>
      </c>
      <c r="B1660" t="inlineStr">
        <is>
          <t>/Users/manczg/Documents/development/financialwell/UITests/FrenchLocaleE2ESmokeTests.swift</t>
        </is>
      </c>
      <c r="C1660" t="inlineStr">
        <is>
          <t>tests-04</t>
        </is>
      </c>
      <c r="D1660" t="n">
        <v>443</v>
      </c>
      <c r="E1660" t="inlineStr">
        <is>
          <t>TP</t>
        </is>
      </c>
      <c r="F1660" t="inlineStr">
        <is>
          <t>real sleep(2) call in UI test, no clock injection</t>
        </is>
      </c>
    </row>
    <row r="1661">
      <c r="A1661" t="inlineStr">
        <is>
          <t>financialwell</t>
        </is>
      </c>
      <c r="B1661" t="inlineStr">
        <is>
          <t>/Users/manczg/Documents/development/financialwell/UITests/FrenchLocaleE2ESmokeTests.swift</t>
        </is>
      </c>
      <c r="C1661" t="inlineStr">
        <is>
          <t>tests-04</t>
        </is>
      </c>
      <c r="D1661" t="n">
        <v>517</v>
      </c>
      <c r="E1661" t="inlineStr">
        <is>
          <t>TP</t>
        </is>
      </c>
      <c r="F1661" t="inlineStr">
        <is>
          <t>real sleep(1) call in UI test, no clock injection</t>
        </is>
      </c>
    </row>
    <row r="1662">
      <c r="A1662" t="inlineStr">
        <is>
          <t>financialwell</t>
        </is>
      </c>
      <c r="B1662" t="inlineStr">
        <is>
          <t>/Users/manczg/Documents/development/financialwell/UITests/FrenchLocaleE2ESmokeTests.swift</t>
        </is>
      </c>
      <c r="C1662" t="inlineStr">
        <is>
          <t>tests-04</t>
        </is>
      </c>
      <c r="D1662" t="n">
        <v>546</v>
      </c>
      <c r="E1662" t="inlineStr">
        <is>
          <t>TP</t>
        </is>
      </c>
      <c r="F1662" t="inlineStr">
        <is>
          <t>real sleep(1) call in UI test, no clock injection</t>
        </is>
      </c>
    </row>
    <row r="1663">
      <c r="A1663" t="inlineStr">
        <is>
          <t>financialwell</t>
        </is>
      </c>
      <c r="B1663" t="inlineStr">
        <is>
          <t>/Users/manczg/Documents/development/financialwell/UITests/FrenchLocaleE2ESmokeTests.swift</t>
        </is>
      </c>
      <c r="C1663" t="inlineStr">
        <is>
          <t>tests-04</t>
        </is>
      </c>
      <c r="D1663" t="n">
        <v>566</v>
      </c>
      <c r="E1663" t="inlineStr">
        <is>
          <t>TP</t>
        </is>
      </c>
      <c r="F1663" t="inlineStr">
        <is>
          <t>real sleep(1) call in UI test, no clock injection</t>
        </is>
      </c>
    </row>
    <row r="1664">
      <c r="A1664" t="inlineStr">
        <is>
          <t>financialwell</t>
        </is>
      </c>
      <c r="B1664" t="inlineStr">
        <is>
          <t>/Users/manczg/Documents/development/financialwell/UITests/FrenchLocaleE2ESmokeTests.swift</t>
        </is>
      </c>
      <c r="C1664" t="inlineStr">
        <is>
          <t>tests-04</t>
        </is>
      </c>
      <c r="D1664" t="n">
        <v>576</v>
      </c>
      <c r="E1664" t="inlineStr">
        <is>
          <t>TP</t>
        </is>
      </c>
      <c r="F1664" t="inlineStr">
        <is>
          <t>real sleep(1) call in UI test, no clock injection</t>
        </is>
      </c>
    </row>
    <row r="1665">
      <c r="A1665" t="inlineStr">
        <is>
          <t>financialwell</t>
        </is>
      </c>
      <c r="B1665" t="inlineStr">
        <is>
          <t>/Users/manczg/Documents/development/financialwell/UITests/FrenchLocaleE2ESmokeTests.swift</t>
        </is>
      </c>
      <c r="C1665" t="inlineStr">
        <is>
          <t>tests-04</t>
        </is>
      </c>
      <c r="D1665" t="n">
        <v>650</v>
      </c>
      <c r="E1665" t="inlineStr">
        <is>
          <t>TP</t>
        </is>
      </c>
      <c r="F1665" t="inlineStr">
        <is>
          <t>real sleep(1) call in UI test, no clock injection</t>
        </is>
      </c>
    </row>
    <row r="1666">
      <c r="A1666" t="inlineStr">
        <is>
          <t>financialwell</t>
        </is>
      </c>
      <c r="B1666" t="inlineStr">
        <is>
          <t>/Users/manczg/Documents/development/financialwell/UITests/FrenchLocaleE2ESmokeTests.swift</t>
        </is>
      </c>
      <c r="C1666" t="inlineStr">
        <is>
          <t>tests-04</t>
        </is>
      </c>
      <c r="D1666" t="n">
        <v>663</v>
      </c>
      <c r="E1666" t="inlineStr">
        <is>
          <t>TP</t>
        </is>
      </c>
      <c r="F1666" t="inlineStr">
        <is>
          <t>real sleep(1) call in UI test, no clock injection</t>
        </is>
      </c>
    </row>
    <row r="1667">
      <c r="A1667" t="inlineStr">
        <is>
          <t>financialwell</t>
        </is>
      </c>
      <c r="B1667" t="inlineStr">
        <is>
          <t>/Users/manczg/Documents/development/financialwell/UITests/FrenchLocaleE2ESmokeTests.swift</t>
        </is>
      </c>
      <c r="C1667" t="inlineStr">
        <is>
          <t>tests-04</t>
        </is>
      </c>
      <c r="D1667" t="n">
        <v>694</v>
      </c>
      <c r="E1667" t="inlineStr">
        <is>
          <t>TP</t>
        </is>
      </c>
      <c r="F1667" t="inlineStr">
        <is>
          <t>real sleep(1) call in UI test, no clock injection</t>
        </is>
      </c>
    </row>
    <row r="1668">
      <c r="A1668" t="inlineStr">
        <is>
          <t>financialwell</t>
        </is>
      </c>
      <c r="B1668" t="inlineStr">
        <is>
          <t>/Users/manczg/Documents/development/financialwell/UITests/FrenchLocaleE2ESmokeTests.swift</t>
        </is>
      </c>
      <c r="C1668" t="inlineStr">
        <is>
          <t>tests-04</t>
        </is>
      </c>
      <c r="D1668" t="n">
        <v>717</v>
      </c>
      <c r="E1668" t="inlineStr">
        <is>
          <t>TP</t>
        </is>
      </c>
      <c r="F1668" t="inlineStr">
        <is>
          <t>real sleep(1) call in UI test, no clock injection</t>
        </is>
      </c>
    </row>
    <row r="1669">
      <c r="A1669" t="inlineStr">
        <is>
          <t>financialwell</t>
        </is>
      </c>
      <c r="B1669" t="inlineStr">
        <is>
          <t>/Users/manczg/Documents/development/financialwell/UITests/FrenchLocaleE2ESmokeTests.swift</t>
        </is>
      </c>
      <c r="C1669" t="inlineStr">
        <is>
          <t>tests-06</t>
        </is>
      </c>
      <c r="D1669" t="n">
        <v>30</v>
      </c>
      <c r="E1669" t="inlineStr">
        <is>
          <t>FP</t>
        </is>
      </c>
      <c r="F1669" t="inlineStr">
        <is>
          <t>app field is reassigned every setUpWithError (line 109) and nilled in tearDown, correct pattern</t>
        </is>
      </c>
    </row>
    <row r="1670">
      <c r="A1670" t="inlineStr">
        <is>
          <t>financialwell</t>
        </is>
      </c>
      <c r="B1670" t="inlineStr">
        <is>
          <t>/Users/manczg/Documents/development/financialwell/UITests/Authentication/LockScreenUITests.swift</t>
        </is>
      </c>
      <c r="C1670" t="inlineStr">
        <is>
          <t>tests-04</t>
        </is>
      </c>
      <c r="D1670" t="n">
        <v>79</v>
      </c>
      <c r="E1670" t="inlineStr">
        <is>
          <t>TP</t>
        </is>
      </c>
      <c r="F1670" t="inlineStr">
        <is>
          <t>real sleep(1) call in UI test, no clock injection</t>
        </is>
      </c>
    </row>
    <row r="1671">
      <c r="A1671" t="inlineStr">
        <is>
          <t>financialwell</t>
        </is>
      </c>
      <c r="B1671" t="inlineStr">
        <is>
          <t>/Users/manczg/Documents/development/financialwell/UITests/Authentication/LockScreenUITests.swift</t>
        </is>
      </c>
      <c r="C1671" t="inlineStr">
        <is>
          <t>tests-04</t>
        </is>
      </c>
      <c r="D1671" t="n">
        <v>87</v>
      </c>
      <c r="E1671" t="inlineStr">
        <is>
          <t>TP</t>
        </is>
      </c>
      <c r="F1671" t="inlineStr">
        <is>
          <t>real sleep(1) call in UI test, no clock injection</t>
        </is>
      </c>
    </row>
    <row r="1672">
      <c r="A1672" t="inlineStr">
        <is>
          <t>financialwell</t>
        </is>
      </c>
      <c r="B1672" t="inlineStr">
        <is>
          <t>/Users/manczg/Documents/development/financialwell/UITests/Authentication/LockScreenUITests.swift</t>
        </is>
      </c>
      <c r="C1672" t="inlineStr">
        <is>
          <t>tests-04</t>
        </is>
      </c>
      <c r="D1672" t="n">
        <v>168</v>
      </c>
      <c r="E1672" t="inlineStr">
        <is>
          <t>TP</t>
        </is>
      </c>
      <c r="F1672" t="inlineStr">
        <is>
          <t>real sleep(2) call in UI test, no clock injection</t>
        </is>
      </c>
    </row>
    <row r="1673">
      <c r="A1673" t="inlineStr">
        <is>
          <t>financialwell</t>
        </is>
      </c>
      <c r="B1673" t="inlineStr">
        <is>
          <t>/Users/manczg/Documents/development/financialwell/UITests/Authentication/LockScreenUITests.swift</t>
        </is>
      </c>
      <c r="C1673" t="inlineStr">
        <is>
          <t>tests-04</t>
        </is>
      </c>
      <c r="D1673" t="n">
        <v>200</v>
      </c>
      <c r="E1673" t="inlineStr">
        <is>
          <t>TP</t>
        </is>
      </c>
      <c r="F1673" t="inlineStr">
        <is>
          <t>real sleep(2) call in UI test, no clock injection</t>
        </is>
      </c>
    </row>
    <row r="1674">
      <c r="A1674" t="inlineStr">
        <is>
          <t>financialwell</t>
        </is>
      </c>
      <c r="B1674" t="inlineStr">
        <is>
          <t>/Users/manczg/Documents/development/financialwell/UITests/Authentication/LockScreenUITests.swift</t>
        </is>
      </c>
      <c r="C1674" t="inlineStr">
        <is>
          <t>tests-04</t>
        </is>
      </c>
      <c r="D1674" t="n">
        <v>234</v>
      </c>
      <c r="E1674" t="inlineStr">
        <is>
          <t>TP</t>
        </is>
      </c>
      <c r="F1674" t="inlineStr">
        <is>
          <t>real sleep(2) call in UI test, no clock injection</t>
        </is>
      </c>
    </row>
    <row r="1675">
      <c r="A1675" t="inlineStr">
        <is>
          <t>financialwell</t>
        </is>
      </c>
      <c r="B1675" t="inlineStr">
        <is>
          <t>/Users/manczg/Documents/development/financialwell/UITests/Authentication/LockScreenUITests.swift</t>
        </is>
      </c>
      <c r="C1675" t="inlineStr">
        <is>
          <t>tests-04</t>
        </is>
      </c>
      <c r="D1675" t="n">
        <v>245</v>
      </c>
      <c r="E1675" t="inlineStr">
        <is>
          <t>TP</t>
        </is>
      </c>
      <c r="F1675" t="inlineStr">
        <is>
          <t>real sleep(1) call in UI test, no clock injection</t>
        </is>
      </c>
    </row>
    <row r="1676">
      <c r="A1676" t="inlineStr">
        <is>
          <t>financialwell</t>
        </is>
      </c>
      <c r="B1676" t="inlineStr">
        <is>
          <t>/Users/manczg/Documents/development/financialwell/UITests/Authentication/LockScreenUITests.swift</t>
        </is>
      </c>
      <c r="C1676" t="inlineStr">
        <is>
          <t>tests-04</t>
        </is>
      </c>
      <c r="D1676" t="n">
        <v>315</v>
      </c>
      <c r="E1676" t="inlineStr">
        <is>
          <t>TP</t>
        </is>
      </c>
      <c r="F1676" t="inlineStr">
        <is>
          <t>real sleep(2) call in UI test, no clock injection</t>
        </is>
      </c>
    </row>
    <row r="1677">
      <c r="A1677" t="inlineStr">
        <is>
          <t>financialwell</t>
        </is>
      </c>
      <c r="B1677" t="inlineStr">
        <is>
          <t>/Users/manczg/Documents/development/financialwell/UITests/Authentication/LockScreenUITests.swift</t>
        </is>
      </c>
      <c r="C1677" t="inlineStr">
        <is>
          <t>tests-04</t>
        </is>
      </c>
      <c r="D1677" t="n">
        <v>358</v>
      </c>
      <c r="E1677" t="inlineStr">
        <is>
          <t>TP</t>
        </is>
      </c>
      <c r="F1677" t="inlineStr">
        <is>
          <t>real sleep(2) call in UI test, no clock injection</t>
        </is>
      </c>
    </row>
    <row r="1678">
      <c r="A1678" t="inlineStr">
        <is>
          <t>financialwell</t>
        </is>
      </c>
      <c r="B1678" t="inlineStr">
        <is>
          <t>/Users/manczg/Documents/development/financialwell/UITests/Authentication/LockScreenUITests.swift</t>
        </is>
      </c>
      <c r="C1678" t="inlineStr">
        <is>
          <t>tests-04</t>
        </is>
      </c>
      <c r="D1678" t="n">
        <v>384</v>
      </c>
      <c r="E1678" t="inlineStr">
        <is>
          <t>TP</t>
        </is>
      </c>
      <c r="F1678" t="inlineStr">
        <is>
          <t>real sleep(3) call in UI test, no clock injection</t>
        </is>
      </c>
    </row>
    <row r="1679">
      <c r="A1679" t="inlineStr">
        <is>
          <t>financialwell</t>
        </is>
      </c>
      <c r="B1679" t="inlineStr">
        <is>
          <t>/Users/manczg/Documents/development/financialwell/UITests/Authentication/LockScreenUITests.swift</t>
        </is>
      </c>
      <c r="C1679" t="inlineStr">
        <is>
          <t>tests-04</t>
        </is>
      </c>
      <c r="D1679" t="n">
        <v>446</v>
      </c>
      <c r="E1679" t="inlineStr">
        <is>
          <t>TP</t>
        </is>
      </c>
      <c r="F1679" t="inlineStr">
        <is>
          <t>real sleep(1) call in UI test, no clock injection</t>
        </is>
      </c>
    </row>
    <row r="1680">
      <c r="A1680" t="inlineStr">
        <is>
          <t>financialwell</t>
        </is>
      </c>
      <c r="B1680" t="inlineStr">
        <is>
          <t>/Users/manczg/Documents/development/financialwell/UITests/Authentication/LockScreenUITests.swift</t>
        </is>
      </c>
      <c r="C1680" t="inlineStr">
        <is>
          <t>tests-04</t>
        </is>
      </c>
      <c r="D1680" t="n">
        <v>454</v>
      </c>
      <c r="E1680" t="inlineStr">
        <is>
          <t>TP</t>
        </is>
      </c>
      <c r="F1680" t="inlineStr">
        <is>
          <t>real sleep(1) call in UI test, no clock injection</t>
        </is>
      </c>
    </row>
    <row r="1681">
      <c r="A1681" t="inlineStr">
        <is>
          <t>financialwell</t>
        </is>
      </c>
      <c r="B1681" t="inlineStr">
        <is>
          <t>/Users/manczg/Documents/development/financialwell/UITests/Authentication/LockScreenUITests.swift</t>
        </is>
      </c>
      <c r="C1681" t="inlineStr">
        <is>
          <t>tests-04</t>
        </is>
      </c>
      <c r="D1681" t="n">
        <v>512</v>
      </c>
      <c r="E1681" t="inlineStr">
        <is>
          <t>TP</t>
        </is>
      </c>
      <c r="F1681" t="inlineStr">
        <is>
          <t>real sleep(1) call in UI test, no clock injection</t>
        </is>
      </c>
    </row>
    <row r="1682">
      <c r="A1682" t="inlineStr">
        <is>
          <t>financialwell</t>
        </is>
      </c>
      <c r="B1682" t="inlineStr">
        <is>
          <t>/Users/manczg/Documents/development/financialwell/UITests/Authentication/LockScreenUITests.swift</t>
        </is>
      </c>
      <c r="C1682" t="inlineStr">
        <is>
          <t>tests-04</t>
        </is>
      </c>
      <c r="D1682" t="n">
        <v>536</v>
      </c>
      <c r="E1682" t="inlineStr">
        <is>
          <t>TP</t>
        </is>
      </c>
      <c r="F1682" t="inlineStr">
        <is>
          <t>real sleep(1) call in UI test, no clock injection</t>
        </is>
      </c>
    </row>
    <row r="1683">
      <c r="A1683" t="inlineStr">
        <is>
          <t>financialwell</t>
        </is>
      </c>
      <c r="B1683" t="inlineStr">
        <is>
          <t>/Users/manczg/Documents/development/financialwell/UITests/Authentication/LockScreenUITests.swift</t>
        </is>
      </c>
      <c r="C1683" t="inlineStr">
        <is>
          <t>tests-04</t>
        </is>
      </c>
      <c r="D1683" t="n">
        <v>602</v>
      </c>
      <c r="E1683" t="inlineStr">
        <is>
          <t>TP</t>
        </is>
      </c>
      <c r="F1683" t="inlineStr">
        <is>
          <t>real sleep(1) call in UI test, no clock injection</t>
        </is>
      </c>
    </row>
    <row r="1684">
      <c r="A1684" t="inlineStr">
        <is>
          <t>financialwell</t>
        </is>
      </c>
      <c r="B1684" t="inlineStr">
        <is>
          <t>/Users/manczg/Documents/development/financialwell/UITests/Authentication/LockScreenUITests.swift</t>
        </is>
      </c>
      <c r="C1684" t="inlineStr">
        <is>
          <t>tests-04</t>
        </is>
      </c>
      <c r="D1684" t="n">
        <v>647</v>
      </c>
      <c r="E1684" t="inlineStr">
        <is>
          <t>TP</t>
        </is>
      </c>
      <c r="F1684" t="inlineStr">
        <is>
          <t>real sleep(2) call in UI test, no clock injection</t>
        </is>
      </c>
    </row>
    <row r="1685">
      <c r="A1685" t="inlineStr">
        <is>
          <t>financialwell</t>
        </is>
      </c>
      <c r="B1685" t="inlineStr">
        <is>
          <t>/Users/manczg/Documents/development/financialwell/UITests/Authentication/LockScreenUITests.swift</t>
        </is>
      </c>
      <c r="C1685" t="inlineStr">
        <is>
          <t>tests-04</t>
        </is>
      </c>
      <c r="D1685" t="n">
        <v>671</v>
      </c>
      <c r="E1685" t="inlineStr">
        <is>
          <t>TP</t>
        </is>
      </c>
      <c r="F1685" t="inlineStr">
        <is>
          <t>real sleep(1) call in UI test, no clock injection</t>
        </is>
      </c>
    </row>
    <row r="1686">
      <c r="A1686" t="inlineStr">
        <is>
          <t>financialwell</t>
        </is>
      </c>
      <c r="B1686" t="inlineStr">
        <is>
          <t>/Users/manczg/Documents/development/financialwell/UITests/Authentication/LockScreenUITests.swift</t>
        </is>
      </c>
      <c r="C1686" t="inlineStr">
        <is>
          <t>tests-06</t>
        </is>
      </c>
      <c r="D1686" t="n">
        <v>16</v>
      </c>
      <c r="E1686" t="inlineStr">
        <is>
          <t>FP</t>
        </is>
      </c>
      <c r="F1686" t="inlineStr">
        <is>
          <t>app field is reassigned every setUpWithError (line 26) and nilled in tearDown, correct pattern</t>
        </is>
      </c>
    </row>
    <row r="1687">
      <c r="A1687" t="inlineStr">
        <is>
          <t>financialwell</t>
        </is>
      </c>
      <c r="B1687" t="inlineStr">
        <is>
          <t>/Users/manczg/Documents/development/financialwell/UITests/Authentication/LockScreenUITests.swift</t>
        </is>
      </c>
      <c r="C1687" t="inlineStr">
        <is>
          <t>tests-08</t>
        </is>
      </c>
      <c r="D1687" t="n">
        <v>349</v>
      </c>
      <c r="E1687" t="inlineStr">
        <is>
          <t>TP</t>
        </is>
      </c>
      <c r="F1687" t="inlineStr">
        <is>
          <t>XCTSkip call is a live skip marker in a test method</t>
        </is>
      </c>
    </row>
    <row r="1688">
      <c r="A1688" t="inlineStr">
        <is>
          <t>financialwell</t>
        </is>
      </c>
      <c r="B1688" t="inlineStr">
        <is>
          <t>/Users/manczg/Documents/development/financialwell/UITests/Authentication/LockScreenUITests.swift</t>
        </is>
      </c>
      <c r="C1688" t="inlineStr">
        <is>
          <t>tests-08</t>
        </is>
      </c>
      <c r="D1688" t="n">
        <v>376</v>
      </c>
      <c r="E1688" t="inlineStr">
        <is>
          <t>TP</t>
        </is>
      </c>
      <c r="F1688" t="inlineStr">
        <is>
          <t>XCTSkip call is a live skip marker in a test method</t>
        </is>
      </c>
    </row>
    <row r="1689">
      <c r="A1689" t="inlineStr">
        <is>
          <t>financialwell</t>
        </is>
      </c>
      <c r="B1689" t="inlineStr">
        <is>
          <t>/Users/manczg/Documents/development/financialwell/UITests/Authentication/LockScreenUITests.swift</t>
        </is>
      </c>
      <c r="C1689" t="inlineStr">
        <is>
          <t>tests-08</t>
        </is>
      </c>
      <c r="D1689" t="n">
        <v>408</v>
      </c>
      <c r="E1689" t="inlineStr">
        <is>
          <t>TP</t>
        </is>
      </c>
      <c r="F1689" t="inlineStr">
        <is>
          <t>XCTSkip call is a live skip marker in a test method</t>
        </is>
      </c>
    </row>
    <row r="1690">
      <c r="A1690" t="inlineStr">
        <is>
          <t>financialwell</t>
        </is>
      </c>
      <c r="B1690" t="inlineStr">
        <is>
          <t>/Users/manczg/Documents/development/financialwell/UITests/Authentication/LockScreenUITests.swift</t>
        </is>
      </c>
      <c r="C1690" t="inlineStr">
        <is>
          <t>tests-09</t>
        </is>
      </c>
      <c r="D1690" t="n">
        <v>123</v>
      </c>
      <c r="E1690" t="inlineStr">
        <is>
          <t>TP</t>
        </is>
      </c>
      <c r="F1690" t="inlineStr">
        <is>
          <t>XCTAssertTrue(true, ...) is a tautological assertion that can never fail</t>
        </is>
      </c>
    </row>
    <row r="1691">
      <c r="A1691" t="inlineStr">
        <is>
          <t>dddd</t>
        </is>
      </c>
      <c r="B1691" t="inlineStr">
        <is>
          <t>/Users/manczg/Documents/development/dddd/src/metrics/pr-cycle-time-dashboard.ts</t>
        </is>
      </c>
      <c r="C1691" t="inlineStr">
        <is>
          <t>arch-02</t>
        </is>
      </c>
      <c r="D1691" t="n">
        <v>1</v>
      </c>
      <c r="E1691" t="inlineStr">
        <is>
          <t>TP</t>
        </is>
      </c>
      <c r="F1691" t="inlineStr">
        <is>
          <t>use case directly imports drizzle-orm ORM builder</t>
        </is>
      </c>
    </row>
    <row r="1692">
      <c r="A1692" t="inlineStr">
        <is>
          <t>dddd</t>
        </is>
      </c>
      <c r="B1692" t="inlineStr">
        <is>
          <t>/Users/manczg/Documents/development/dddd/src/metrics/pr-cycle-time-dashboard.ts</t>
        </is>
      </c>
      <c r="C1692" t="inlineStr">
        <is>
          <t>clarity-09</t>
        </is>
      </c>
      <c r="D1692" t="n">
        <v>217</v>
      </c>
      <c r="E1692" t="inlineStr">
        <is>
          <t>TP</t>
        </is>
      </c>
      <c r="F1692" t="inlineStr">
        <is>
          <t>3 terms joined by || not extracted</t>
        </is>
      </c>
    </row>
    <row r="1693">
      <c r="A1693" t="inlineStr">
        <is>
          <t>dddd</t>
        </is>
      </c>
      <c r="B1693" t="inlineStr">
        <is>
          <t>/Users/manczg/Documents/development/dddd/src/metrics/pr-cycle-time-dashboard.ts</t>
        </is>
      </c>
      <c r="C1693" t="inlineStr">
        <is>
          <t>clarity-09</t>
        </is>
      </c>
      <c r="D1693" t="n">
        <v>477</v>
      </c>
      <c r="E1693" t="inlineStr">
        <is>
          <t>TP</t>
        </is>
      </c>
      <c r="F1693" t="inlineStr">
        <is>
          <t>4 terms joined by &amp;&amp; / || not extracted</t>
        </is>
      </c>
    </row>
    <row r="1694">
      <c r="A1694" t="inlineStr">
        <is>
          <t>dddd</t>
        </is>
      </c>
      <c r="B1694" t="inlineStr">
        <is>
          <t>/Users/manczg/Documents/development/dddd/src/metrics/pr-cycle-time-dashboard.ts</t>
        </is>
      </c>
      <c r="C1694" t="inlineStr">
        <is>
          <t>clarity-09</t>
        </is>
      </c>
      <c r="D1694" t="n">
        <v>482</v>
      </c>
      <c r="E1694" t="inlineStr">
        <is>
          <t>TP</t>
        </is>
      </c>
      <c r="F1694" t="inlineStr">
        <is>
          <t>3-term inline filter predicate not extracted</t>
        </is>
      </c>
    </row>
    <row r="1695">
      <c r="A1695" t="inlineStr">
        <is>
          <t>dddd</t>
        </is>
      </c>
      <c r="B1695" t="inlineStr">
        <is>
          <t>/Users/manczg/Documents/development/dddd/src/metrics/pr-cycle-time-dashboard.ts</t>
        </is>
      </c>
      <c r="C1695" t="inlineStr">
        <is>
          <t>clarity-09</t>
        </is>
      </c>
      <c r="D1695" t="n">
        <v>507</v>
      </c>
      <c r="E1695" t="inlineStr">
        <is>
          <t>FP</t>
        </is>
      </c>
      <c r="F1695" t="inlineStr">
        <is>
          <t>continuation of named assignment const teamBaselineAvailable =</t>
        </is>
      </c>
    </row>
    <row r="1696">
      <c r="A1696" t="inlineStr">
        <is>
          <t>dddd</t>
        </is>
      </c>
      <c r="B1696" t="inlineStr">
        <is>
          <t>/Users/manczg/Documents/development/dddd/src/metrics/pr-cycle-time-dashboard.ts</t>
        </is>
      </c>
      <c r="C1696" t="inlineStr">
        <is>
          <t>clarity-09</t>
        </is>
      </c>
      <c r="D1696" t="n">
        <v>803</v>
      </c>
      <c r="E1696" t="inlineStr">
        <is>
          <t>FP</t>
        </is>
      </c>
      <c r="F1696" t="inlineStr">
        <is>
          <t>continuation of named assignment const repoFullName =</t>
        </is>
      </c>
    </row>
    <row r="1697">
      <c r="A1697" t="inlineStr">
        <is>
          <t>dddd</t>
        </is>
      </c>
      <c r="B1697" t="inlineStr">
        <is>
          <t>/Users/manczg/Documents/development/dddd/src/metrics/pr-cycle-time-dashboard.ts</t>
        </is>
      </c>
      <c r="C1697" t="inlineStr">
        <is>
          <t>clarity-09</t>
        </is>
      </c>
      <c r="D1697" t="n">
        <v>509</v>
      </c>
      <c r="E1697" t="inlineStr">
        <is>
          <t>TP</t>
        </is>
      </c>
      <c r="F1697" t="inlineStr">
        <is>
          <t>wrapped if condition with 4 terms joined by &amp;&amp;</t>
        </is>
      </c>
    </row>
    <row r="1698">
      <c r="A1698" t="inlineStr">
        <is>
          <t>dddd</t>
        </is>
      </c>
      <c r="B1698" t="inlineStr">
        <is>
          <t>/Users/manczg/Documents/development/dddd/src/metrics/pr-cycle-time-dashboard.ts</t>
        </is>
      </c>
      <c r="C1698" t="inlineStr">
        <is>
          <t>clarity-16</t>
        </is>
      </c>
      <c r="D1698" t="n">
        <v>349</v>
      </c>
      <c r="E1698" t="inlineStr">
        <is>
          <t>TP</t>
        </is>
      </c>
      <c r="F1698" t="inlineStr">
        <is>
          <t>function has well over 10 branches (ifs+ternaries+loops)</t>
        </is>
      </c>
    </row>
    <row r="1699">
      <c r="A1699" t="inlineStr">
        <is>
          <t>dddd</t>
        </is>
      </c>
      <c r="B1699" t="inlineStr">
        <is>
          <t>/Users/manczg/Documents/development/dddd/src/metrics/pr-cycle-time-dashboard.ts</t>
        </is>
      </c>
      <c r="C1699" t="inlineStr">
        <is>
          <t>clarity-17</t>
        </is>
      </c>
      <c r="D1699" t="n">
        <v>349</v>
      </c>
      <c r="E1699" t="inlineStr">
        <is>
          <t>TP</t>
        </is>
      </c>
      <c r="F1699" t="inlineStr">
        <is>
          <t>function spans ~474 lines, far over 150</t>
        </is>
      </c>
    </row>
    <row r="1700">
      <c r="A1700" t="inlineStr">
        <is>
          <t>dddd</t>
        </is>
      </c>
      <c r="B1700" t="inlineStr">
        <is>
          <t>/Users/manczg/Documents/development/dddd/src/metrics/pr-cycle-time-dashboard.ts</t>
        </is>
      </c>
      <c r="C1700" t="inlineStr">
        <is>
          <t>safety-11</t>
        </is>
      </c>
      <c r="D1700" t="n">
        <v>351</v>
      </c>
      <c r="E1700" t="inlineStr">
        <is>
          <t>FP</t>
        </is>
      </c>
      <c r="F1700" t="inlineStr">
        <is>
          <t>input.now already injectable, new Date() only the default fallback</t>
        </is>
      </c>
    </row>
    <row r="1701">
      <c r="A1701" t="inlineStr">
        <is>
          <t>dddd</t>
        </is>
      </c>
      <c r="B1701" t="inlineStr">
        <is>
          <t>/Users/manczg/Documents/development/dddd/src/metrics/pr-cycle-time-dashboard.ts</t>
        </is>
      </c>
      <c r="C1701" t="inlineStr">
        <is>
          <t>smells-08</t>
        </is>
      </c>
      <c r="D1701" t="n">
        <v>327</v>
      </c>
      <c r="E1701" t="inlineStr">
        <is>
          <t>TP</t>
        </is>
      </c>
      <c r="F1701" t="inlineStr">
        <is>
          <t>nullable return-type annotation, no exclusion applies</t>
        </is>
      </c>
    </row>
    <row r="1702">
      <c r="A1702" t="inlineStr">
        <is>
          <t>dddd</t>
        </is>
      </c>
      <c r="B1702" t="inlineStr">
        <is>
          <t>/Users/manczg/Documents/development/dddd/src/metrics/pr-cycle-time-dashboard.ts</t>
        </is>
      </c>
      <c r="C1702" t="inlineStr">
        <is>
          <t>smells-08</t>
        </is>
      </c>
      <c r="D1702" t="n">
        <v>342</v>
      </c>
      <c r="E1702" t="inlineStr">
        <is>
          <t>TP</t>
        </is>
      </c>
      <c r="F1702" t="inlineStr">
        <is>
          <t>return null guarded by non-null-check condition</t>
        </is>
      </c>
    </row>
    <row r="1703">
      <c r="A1703" t="inlineStr">
        <is>
          <t>dddd</t>
        </is>
      </c>
      <c r="B1703" t="inlineStr">
        <is>
          <t>/Users/manczg/Documents/development/dddd/src/metrics/pr-cycle-time-dashboard.ts</t>
        </is>
      </c>
      <c r="C1703" t="inlineStr">
        <is>
          <t>smells-21</t>
        </is>
      </c>
      <c r="D1703" t="n">
        <v>291</v>
      </c>
      <c r="E1703" t="inlineStr">
        <is>
          <t>TP</t>
        </is>
      </c>
      <c r="F1703" t="inlineStr">
        <is>
          <t>narrows raw string into union without runtime check</t>
        </is>
      </c>
    </row>
    <row r="1704">
      <c r="A1704" t="inlineStr">
        <is>
          <t>dddd</t>
        </is>
      </c>
      <c r="B1704" t="inlineStr">
        <is>
          <t>/Users/manczg/Documents/development/dddd/src/metrics/pr-cycle-time-dashboard.ts</t>
        </is>
      </c>
      <c r="C1704" t="inlineStr">
        <is>
          <t>smells-21</t>
        </is>
      </c>
      <c r="D1704" t="n">
        <v>646</v>
      </c>
      <c r="E1704" t="inlineStr">
        <is>
          <t>TP</t>
        </is>
      </c>
      <c r="F1704" t="inlineStr">
        <is>
          <t>narrows raw string into union without runtime check</t>
        </is>
      </c>
    </row>
    <row r="1705">
      <c r="A1705" t="inlineStr">
        <is>
          <t>dddd</t>
        </is>
      </c>
      <c r="B1705" t="inlineStr">
        <is>
          <t>/Users/manczg/Documents/development/dddd/src/metrics/pr-cycle-time-dashboard.ts</t>
        </is>
      </c>
      <c r="C1705" t="inlineStr">
        <is>
          <t>smells-21</t>
        </is>
      </c>
      <c r="D1705" t="n">
        <v>671</v>
      </c>
      <c r="E1705" t="inlineStr">
        <is>
          <t>TP</t>
        </is>
      </c>
      <c r="F1705" t="inlineStr">
        <is>
          <t>papers over nullability with as Date</t>
        </is>
      </c>
    </row>
    <row r="1706">
      <c r="A1706" t="inlineStr">
        <is>
          <t>dddd</t>
        </is>
      </c>
      <c r="B1706" t="inlineStr">
        <is>
          <t>/Users/manczg/Documents/development/dddd/src/metrics/pr-cycle-time-dashboard.ts</t>
        </is>
      </c>
      <c r="C1706" t="inlineStr">
        <is>
          <t>smells-21</t>
        </is>
      </c>
      <c r="D1706" t="n">
        <v>739</v>
      </c>
      <c r="E1706" t="inlineStr">
        <is>
          <t>FP</t>
        </is>
      </c>
      <c r="F1706" t="inlineStr">
        <is>
          <t>preceding .filter(!== null) already validated non-null</t>
        </is>
      </c>
    </row>
    <row r="1707">
      <c r="A1707" t="inlineStr">
        <is>
          <t>dddd</t>
        </is>
      </c>
      <c r="B1707" t="inlineStr">
        <is>
          <t>/Users/manczg/Documents/development/dddd/src/metrics/pr-cycle-time-dashboard.ts</t>
        </is>
      </c>
      <c r="C1707" t="inlineStr">
        <is>
          <t>smells-21</t>
        </is>
      </c>
      <c r="D1707" t="n">
        <v>746</v>
      </c>
      <c r="E1707" t="inlineStr">
        <is>
          <t>FP</t>
        </is>
      </c>
      <c r="F1707" t="inlineStr">
        <is>
          <t>preceding .filter(!== null) already validated non-null</t>
        </is>
      </c>
    </row>
    <row r="1708">
      <c r="A1708" t="inlineStr">
        <is>
          <t>dddd</t>
        </is>
      </c>
      <c r="B1708" t="inlineStr">
        <is>
          <t>/Users/manczg/Documents/development/dddd/src/metrics/pr-cycle-time-dashboard.ts</t>
        </is>
      </c>
      <c r="C1708" t="inlineStr">
        <is>
          <t>smells-21</t>
        </is>
      </c>
      <c r="D1708" t="n">
        <v>790</v>
      </c>
      <c r="E1708" t="inlineStr">
        <is>
          <t>FP</t>
        </is>
      </c>
      <c r="F1708" t="inlineStr">
        <is>
          <t>syncedRepos already filtered for non-null lastReviewSyncedAt</t>
        </is>
      </c>
    </row>
    <row r="1709">
      <c r="A1709" t="inlineStr">
        <is>
          <t>dddd</t>
        </is>
      </c>
      <c r="B1709" t="inlineStr">
        <is>
          <t>/Users/manczg/Documents/development/dddd/src/metrics/pr-cycle-time-dashboard.ts</t>
        </is>
      </c>
      <c r="C1709" t="inlineStr">
        <is>
          <t>solid-07</t>
        </is>
      </c>
      <c r="D1709" t="n">
        <v>60</v>
      </c>
      <c r="E1709" t="inlineStr">
        <is>
          <t>FP</t>
        </is>
      </c>
      <c r="F1709" t="inlineStr">
        <is>
          <t>url field in output DTO StaleOpenPrDetail</t>
        </is>
      </c>
    </row>
    <row r="1710">
      <c r="A1710" t="inlineStr">
        <is>
          <t>dddd</t>
        </is>
      </c>
      <c r="B1710" t="inlineStr">
        <is>
          <t>/Users/manczg/Documents/development/dddd/src/metrics/pr-cycle-time-dashboard.ts</t>
        </is>
      </c>
      <c r="C1710" t="inlineStr">
        <is>
          <t>solid-15</t>
        </is>
      </c>
      <c r="D1710" t="n">
        <v>826</v>
      </c>
      <c r="E1710" t="inlineStr">
        <is>
          <t>TP</t>
        </is>
      </c>
      <c r="F1710" t="inlineStr">
        <is>
          <t>if/if/fallback dispatch on e.type with differing messages</t>
        </is>
      </c>
    </row>
    <row r="1711">
      <c r="A1711" t="inlineStr">
        <is>
          <t>dddd</t>
        </is>
      </c>
      <c r="B1711" t="inlineStr">
        <is>
          <t>/Users/manczg/Documents/development/dddd/src/metrics/pr-cycle-time-dashboard.ts</t>
        </is>
      </c>
      <c r="C1711" t="inlineStr">
        <is>
          <t>solid-15</t>
        </is>
      </c>
      <c r="D1711" t="n">
        <v>829</v>
      </c>
      <c r="E1711" t="inlineStr">
        <is>
          <t>TP</t>
        </is>
      </c>
      <c r="F1711" t="inlineStr">
        <is>
          <t>if/if/fallback dispatch on e.type with differing messages</t>
        </is>
      </c>
    </row>
    <row r="1712">
      <c r="A1712" t="inlineStr">
        <is>
          <t>dddd</t>
        </is>
      </c>
      <c r="B1712" t="inlineStr">
        <is>
          <t>/Users/manczg/Documents/development/dddd/src/components/dashboard/PrCycleTimeDashboard.tsx</t>
        </is>
      </c>
      <c r="C1712" t="inlineStr">
        <is>
          <t>clarity-09</t>
        </is>
      </c>
      <c r="D1712" t="n">
        <v>115</v>
      </c>
      <c r="E1712" t="inlineStr">
        <is>
          <t>TP</t>
        </is>
      </c>
      <c r="F1712" t="inlineStr">
        <is>
          <t>4 terms joined by &amp;&amp; not extracted</t>
        </is>
      </c>
    </row>
    <row r="1713">
      <c r="A1713" t="inlineStr">
        <is>
          <t>dddd</t>
        </is>
      </c>
      <c r="B1713" t="inlineStr">
        <is>
          <t>/Users/manczg/Documents/development/dddd/src/components/dashboard/PrCycleTimeDashboard.tsx</t>
        </is>
      </c>
      <c r="C1713" t="inlineStr">
        <is>
          <t>clarity-09</t>
        </is>
      </c>
      <c r="D1713" t="n">
        <v>185</v>
      </c>
      <c r="E1713" t="inlineStr">
        <is>
          <t>TP</t>
        </is>
      </c>
      <c r="F1713" t="inlineStr">
        <is>
          <t>3 terms joined by || not extracted</t>
        </is>
      </c>
    </row>
    <row r="1714">
      <c r="A1714" t="inlineStr">
        <is>
          <t>dddd</t>
        </is>
      </c>
      <c r="B1714" t="inlineStr">
        <is>
          <t>/Users/manczg/Documents/development/dddd/src/components/dashboard/PrCycleTimeDashboard.tsx</t>
        </is>
      </c>
      <c r="C1714" t="inlineStr">
        <is>
          <t>clarity-09</t>
        </is>
      </c>
      <c r="D1714" t="n">
        <v>334</v>
      </c>
      <c r="E1714" t="inlineStr">
        <is>
          <t>TP</t>
        </is>
      </c>
      <c r="F1714" t="inlineStr">
        <is>
          <t>JSX render guard with 2 &amp;&amp; joining 3 terms</t>
        </is>
      </c>
    </row>
    <row r="1715">
      <c r="A1715" t="inlineStr">
        <is>
          <t>dddd</t>
        </is>
      </c>
      <c r="B1715" t="inlineStr">
        <is>
          <t>/Users/manczg/Documents/development/dddd/src/components/dashboard/PrCycleTimeDashboard.tsx</t>
        </is>
      </c>
      <c r="C1715" t="inlineStr">
        <is>
          <t>clarity-09</t>
        </is>
      </c>
      <c r="D1715" t="n">
        <v>383</v>
      </c>
      <c r="E1715" t="inlineStr">
        <is>
          <t>TP</t>
        </is>
      </c>
      <c r="F1715" t="inlineStr">
        <is>
          <t>inline JSX ternary condition with 3 terms</t>
        </is>
      </c>
    </row>
    <row r="1716">
      <c r="A1716" t="inlineStr">
        <is>
          <t>dddd</t>
        </is>
      </c>
      <c r="B1716" t="inlineStr">
        <is>
          <t>/Users/manczg/Documents/development/dddd/src/components/dashboard/PrCycleTimeDashboard.tsx</t>
        </is>
      </c>
      <c r="C1716" t="inlineStr">
        <is>
          <t>clarity-09</t>
        </is>
      </c>
      <c r="D1716" t="n">
        <v>439</v>
      </c>
      <c r="E1716" t="inlineStr">
        <is>
          <t>TP</t>
        </is>
      </c>
      <c r="F1716" t="inlineStr">
        <is>
          <t>inline JSX ternary condition with 3 terms</t>
        </is>
      </c>
    </row>
    <row r="1717">
      <c r="A1717" t="inlineStr">
        <is>
          <t>dddd</t>
        </is>
      </c>
      <c r="B1717" t="inlineStr">
        <is>
          <t>/Users/manczg/Documents/development/dddd/src/components/dashboard/PrCycleTimeDashboard.tsx</t>
        </is>
      </c>
      <c r="C1717" t="inlineStr">
        <is>
          <t>clarity-16</t>
        </is>
      </c>
      <c r="D1717" t="n">
        <v>240</v>
      </c>
      <c r="E1717" t="inlineStr">
        <is>
          <t>TP</t>
        </is>
      </c>
      <c r="F1717" t="inlineStr">
        <is>
          <t>component has well over 10 branches (many ternaries)</t>
        </is>
      </c>
    </row>
    <row r="1718">
      <c r="A1718" t="inlineStr">
        <is>
          <t>dddd</t>
        </is>
      </c>
      <c r="B1718" t="inlineStr">
        <is>
          <t>/Users/manczg/Documents/development/dddd/src/components/dashboard/PrCycleTimeDashboard.tsx</t>
        </is>
      </c>
      <c r="C1718" t="inlineStr">
        <is>
          <t>clarity-17</t>
        </is>
      </c>
      <c r="D1718" t="n">
        <v>240</v>
      </c>
      <c r="E1718" t="inlineStr">
        <is>
          <t>TP</t>
        </is>
      </c>
      <c r="F1718" t="inlineStr">
        <is>
          <t>component spans ~334 lines, far over 150</t>
        </is>
      </c>
    </row>
    <row r="1719">
      <c r="A1719" t="inlineStr">
        <is>
          <t>dddd</t>
        </is>
      </c>
      <c r="B1719" t="inlineStr">
        <is>
          <t>/Users/manczg/Documents/development/dddd/src/components/dashboard/PrCycleTimeDashboard.tsx</t>
        </is>
      </c>
      <c r="C1719" t="inlineStr">
        <is>
          <t>safety-03</t>
        </is>
      </c>
      <c r="D1719" t="n">
        <v>329</v>
      </c>
      <c r="E1719" t="inlineStr">
        <is>
          <t>TP</t>
        </is>
      </c>
      <c r="F1719" t="inlineStr">
        <is>
          <t>void onRefresh() discards a call that can return Promise&lt;void&gt;</t>
        </is>
      </c>
    </row>
    <row r="1720">
      <c r="A1720" t="inlineStr">
        <is>
          <t>dddd</t>
        </is>
      </c>
      <c r="B1720" t="inlineStr">
        <is>
          <t>/Users/manczg/Documents/development/dddd/src/components/dashboard/PrCycleTimeDashboard.tsx</t>
        </is>
      </c>
      <c r="C1720" t="inlineStr">
        <is>
          <t>safety-03</t>
        </is>
      </c>
      <c r="D1720" t="n">
        <v>353</v>
      </c>
      <c r="E1720" t="inlineStr">
        <is>
          <t>TP</t>
        </is>
      </c>
      <c r="F1720" t="inlineStr">
        <is>
          <t>void onRefresh?.() discards a call that can return Promise&lt;void&gt;</t>
        </is>
      </c>
    </row>
    <row r="1721">
      <c r="A1721" t="inlineStr">
        <is>
          <t>dddd</t>
        </is>
      </c>
      <c r="B1721" t="inlineStr">
        <is>
          <t>/Users/manczg/Documents/development/dddd/src/components/dashboard/PrCycleTimeDashboard.tsx</t>
        </is>
      </c>
      <c r="C1721" t="inlineStr">
        <is>
          <t>safety-11</t>
        </is>
      </c>
      <c r="D1721" t="n">
        <v>254</v>
      </c>
      <c r="E1721" t="inlineStr">
        <is>
          <t>TP</t>
        </is>
      </c>
      <c r="F1721" t="inlineStr">
        <is>
          <t>Date.now() drives observable "synced ago" UI text, unabstracted</t>
        </is>
      </c>
    </row>
    <row r="1722">
      <c r="A1722" t="inlineStr">
        <is>
          <t>dddd</t>
        </is>
      </c>
      <c r="B1722" t="inlineStr">
        <is>
          <t>/Users/manczg/Documents/development/dddd/src/components/dashboard/PrCycleTimeDashboard.tsx</t>
        </is>
      </c>
      <c r="C1722" t="inlineStr">
        <is>
          <t>smells-08</t>
        </is>
      </c>
      <c r="D1722" t="n">
        <v>185</v>
      </c>
      <c r="E1722" t="inlineStr">
        <is>
          <t>TP</t>
        </is>
      </c>
      <c r="F1722" t="inlineStr">
        <is>
          <t>return null guarded by compound non-null-check condition</t>
        </is>
      </c>
    </row>
    <row r="1723">
      <c r="A1723" t="inlineStr">
        <is>
          <t>dddd</t>
        </is>
      </c>
      <c r="B1723" t="inlineStr">
        <is>
          <t>/Users/manczg/Documents/development/dddd/src/components/dashboard/PrCycleTimeDashboard.tsx</t>
        </is>
      </c>
      <c r="C1723" t="inlineStr">
        <is>
          <t>smells-08</t>
        </is>
      </c>
      <c r="D1723" t="n">
        <v>217</v>
      </c>
      <c r="E1723" t="inlineStr">
        <is>
          <t>TP</t>
        </is>
      </c>
      <c r="F1723" t="inlineStr">
        <is>
          <t>return null guarded by type-check condition, not null-check</t>
        </is>
      </c>
    </row>
    <row r="1724">
      <c r="A1724" t="inlineStr">
        <is>
          <t>dddd</t>
        </is>
      </c>
      <c r="B1724" t="inlineStr">
        <is>
          <t>/Users/manczg/Documents/development/dddd/src/components/dashboard/PrCycleTimeDashboard.tsx</t>
        </is>
      </c>
      <c r="C1724" t="inlineStr">
        <is>
          <t>smells-08</t>
        </is>
      </c>
      <c r="D1724" t="n">
        <v>219</v>
      </c>
      <c r="E1724" t="inlineStr">
        <is>
          <t>FP</t>
        </is>
      </c>
      <c r="F1724" t="inlineStr">
        <is>
          <t>exact null-check guard shape if (x == null) return null</t>
        </is>
      </c>
    </row>
    <row r="1725">
      <c r="A1725" t="inlineStr">
        <is>
          <t>dddd</t>
        </is>
      </c>
      <c r="B1725" t="inlineStr">
        <is>
          <t>/Users/manczg/Documents/development/dddd/src/components/dashboard/PrCycleTimeDashboard.tsx</t>
        </is>
      </c>
      <c r="C1725" t="inlineStr">
        <is>
          <t>smells-08</t>
        </is>
      </c>
      <c r="D1725" t="n">
        <v>264</v>
      </c>
      <c r="E1725" t="inlineStr">
        <is>
          <t>TP</t>
        </is>
      </c>
      <c r="F1725" t="inlineStr">
        <is>
          <t>return null guarded by non-null-check condition</t>
        </is>
      </c>
    </row>
    <row r="1726">
      <c r="A1726" t="inlineStr">
        <is>
          <t>dddd</t>
        </is>
      </c>
      <c r="B1726" t="inlineStr">
        <is>
          <t>/Users/manczg/Documents/development/dddd/src/components/dashboard/PrCycleTimeDashboard.tsx</t>
        </is>
      </c>
      <c r="C1726" t="inlineStr">
        <is>
          <t>solid-15</t>
        </is>
      </c>
      <c r="D1726" t="n">
        <v>134</v>
      </c>
      <c r="E1726" t="inlineStr">
        <is>
          <t>TP</t>
        </is>
      </c>
      <c r="F1726" t="inlineStr">
        <is>
          <t>switch on e.type dispatching different title strings</t>
        </is>
      </c>
    </row>
    <row r="1727">
      <c r="A1727" t="inlineStr">
        <is>
          <t>dddd</t>
        </is>
      </c>
      <c r="B1727" t="inlineStr">
        <is>
          <t>/Users/manczg/Documents/development/dddd/src/components/dashboard/PrCycleTimeDashboard.tsx</t>
        </is>
      </c>
      <c r="C1727" t="inlineStr">
        <is>
          <t>solid-15</t>
        </is>
      </c>
      <c r="D1727" t="n">
        <v>148</v>
      </c>
      <c r="E1727" t="inlineStr">
        <is>
          <t>TP</t>
        </is>
      </c>
      <c r="F1727" t="inlineStr">
        <is>
          <t>switch on e.type dispatching different metric strings</t>
        </is>
      </c>
    </row>
    <row r="1728">
      <c r="A1728" t="inlineStr">
        <is>
          <t>dddd</t>
        </is>
      </c>
      <c r="B1728" t="inlineStr">
        <is>
          <t>/Users/manczg/Documents/development/dddd/src/components/dashboard/PrCycleTimeDashboard.tsx</t>
        </is>
      </c>
      <c r="C1728" t="inlineStr">
        <is>
          <t>solid-15</t>
        </is>
      </c>
      <c r="D1728" t="n">
        <v>172</v>
      </c>
      <c r="E1728" t="inlineStr">
        <is>
          <t>TP</t>
        </is>
      </c>
      <c r="F1728" t="inlineStr">
        <is>
          <t>switch on e.type dispatching different recommendation strings</t>
        </is>
      </c>
    </row>
    <row r="1729">
      <c r="A1729" t="inlineStr">
        <is>
          <t>dddd</t>
        </is>
      </c>
      <c r="B1729" t="inlineStr">
        <is>
          <t>/Users/manczg/Documents/development/dddd/src/components/dashboard/PrCycleTimeDashboard.tsx</t>
        </is>
      </c>
      <c r="C1729" t="inlineStr">
        <is>
          <t>solid-15</t>
        </is>
      </c>
      <c r="D1729" t="n">
        <v>231</v>
      </c>
      <c r="E1729" t="inlineStr">
        <is>
          <t>FP</t>
        </is>
      </c>
      <c r="F1729" t="inlineStr">
        <is>
          <t>single guard if on vocabulary word, not a dispatch chain</t>
        </is>
      </c>
    </row>
    <row r="1730">
      <c r="A1730" t="inlineStr">
        <is>
          <t>dddd</t>
        </is>
      </c>
      <c r="B1730" t="inlineStr">
        <is>
          <t>/Users/manczg/Documents/development/dddd/src/collector/github-client.ts</t>
        </is>
      </c>
      <c r="C1730" t="inlineStr">
        <is>
          <t>clarity-09</t>
        </is>
      </c>
      <c r="D1730" t="n">
        <v>273</v>
      </c>
      <c r="E1730" t="inlineStr">
        <is>
          <t>TP</t>
        </is>
      </c>
      <c r="F1730" t="inlineStr">
        <is>
          <t>3 terms joined by &amp;&amp; not extracted</t>
        </is>
      </c>
    </row>
    <row r="1731">
      <c r="A1731" t="inlineStr">
        <is>
          <t>dddd</t>
        </is>
      </c>
      <c r="B1731" t="inlineStr">
        <is>
          <t>/Users/manczg/Documents/development/dddd/src/collector/github-client.ts</t>
        </is>
      </c>
      <c r="C1731" t="inlineStr">
        <is>
          <t>clarity-09</t>
        </is>
      </c>
      <c r="D1731" t="n">
        <v>534</v>
      </c>
      <c r="E1731" t="inlineStr">
        <is>
          <t>FP</t>
        </is>
      </c>
      <c r="F1731" t="inlineStr">
        <is>
          <t>continuation of named assignment const msg =</t>
        </is>
      </c>
    </row>
    <row r="1732">
      <c r="A1732" t="inlineStr">
        <is>
          <t>dddd</t>
        </is>
      </c>
      <c r="B1732" t="inlineStr">
        <is>
          <t>/Users/manczg/Documents/development/dddd/src/collector/github-client.ts</t>
        </is>
      </c>
      <c r="C1732" t="inlineStr">
        <is>
          <t>clarity-16</t>
        </is>
      </c>
      <c r="D1732" t="n">
        <v>96</v>
      </c>
      <c r="E1732" t="inlineStr">
        <is>
          <t>TP</t>
        </is>
      </c>
      <c r="F1732" t="inlineStr">
        <is>
          <t>normalizePullRequest has 13+ branch lines, over 10</t>
        </is>
      </c>
    </row>
    <row r="1733">
      <c r="A1733" t="inlineStr">
        <is>
          <t>dddd</t>
        </is>
      </c>
      <c r="B1733" t="inlineStr">
        <is>
          <t>/Users/manczg/Documents/development/dddd/src/collector/github-client.ts</t>
        </is>
      </c>
      <c r="C1733" t="inlineStr">
        <is>
          <t>clarity-16</t>
        </is>
      </c>
      <c r="D1733" t="n">
        <v>480</v>
      </c>
      <c r="E1733" t="inlineStr">
        <is>
          <t>TP</t>
        </is>
      </c>
      <c r="F1733" t="inlineStr">
        <is>
          <t>listPullRequests has well over 10 branches</t>
        </is>
      </c>
    </row>
    <row r="1734">
      <c r="A1734" t="inlineStr">
        <is>
          <t>dddd</t>
        </is>
      </c>
      <c r="B1734" t="inlineStr">
        <is>
          <t>/Users/manczg/Documents/development/dddd/src/collector/github-client.ts</t>
        </is>
      </c>
      <c r="C1734" t="inlineStr">
        <is>
          <t>smells-02</t>
        </is>
      </c>
      <c r="D1734" t="n">
        <v>280</v>
      </c>
      <c r="E1734" t="inlineStr">
        <is>
          <t>TP</t>
        </is>
      </c>
      <c r="F1734" t="inlineStr">
        <is>
          <t>buildListPullsUrl has 4 parameters</t>
        </is>
      </c>
    </row>
    <row r="1735">
      <c r="A1735" t="inlineStr">
        <is>
          <t>dddd</t>
        </is>
      </c>
      <c r="B1735" t="inlineStr">
        <is>
          <t>/Users/manczg/Documents/development/dddd/src/collector/github-client.ts</t>
        </is>
      </c>
      <c r="C1735" t="inlineStr">
        <is>
          <t>smells-08</t>
        </is>
      </c>
      <c r="D1735" t="n">
        <v>90</v>
      </c>
      <c r="E1735" t="inlineStr">
        <is>
          <t>TP</t>
        </is>
      </c>
      <c r="F1735" t="inlineStr">
        <is>
          <t>nullable return-type annotation, no exclusion applies</t>
        </is>
      </c>
    </row>
    <row r="1736">
      <c r="A1736" t="inlineStr">
        <is>
          <t>dddd</t>
        </is>
      </c>
      <c r="B1736" t="inlineStr">
        <is>
          <t>/Users/manczg/Documents/development/dddd/src/collector/github-client.ts</t>
        </is>
      </c>
      <c r="C1736" t="inlineStr">
        <is>
          <t>smells-08</t>
        </is>
      </c>
      <c r="D1736" t="n">
        <v>91</v>
      </c>
      <c r="E1736" t="inlineStr">
        <is>
          <t>TP</t>
        </is>
      </c>
      <c r="F1736" t="inlineStr">
        <is>
          <t>return null guarded by compound non-pure-null-check condition</t>
        </is>
      </c>
    </row>
    <row r="1737">
      <c r="A1737" t="inlineStr">
        <is>
          <t>dddd</t>
        </is>
      </c>
      <c r="B1737" t="inlineStr">
        <is>
          <t>/Users/manczg/Documents/development/dddd/src/collector/github-client.ts</t>
        </is>
      </c>
      <c r="C1737" t="inlineStr">
        <is>
          <t>smells-08</t>
        </is>
      </c>
      <c r="D1737" t="n">
        <v>260</v>
      </c>
      <c r="E1737" t="inlineStr">
        <is>
          <t>TP</t>
        </is>
      </c>
      <c r="F1737" t="inlineStr">
        <is>
          <t>return null guarded by empty-string check, not null-check</t>
        </is>
      </c>
    </row>
    <row r="1738">
      <c r="A1738" t="inlineStr">
        <is>
          <t>dddd</t>
        </is>
      </c>
      <c r="B1738" t="inlineStr">
        <is>
          <t>/Users/manczg/Documents/development/dddd/src/collector/github-client.ts</t>
        </is>
      </c>
      <c r="C1738" t="inlineStr">
        <is>
          <t>smells-21</t>
        </is>
      </c>
      <c r="D1738" t="n">
        <v>208</v>
      </c>
      <c r="E1738" t="inlineStr">
        <is>
          <t>FP</t>
        </is>
      </c>
      <c r="F1738" t="inlineStr">
        <is>
          <t>cast is the validating check itself, matches SET.has(x as T) example</t>
        </is>
      </c>
    </row>
    <row r="1739">
      <c r="A1739" t="inlineStr">
        <is>
          <t>dddd</t>
        </is>
      </c>
      <c r="B1739" t="inlineStr">
        <is>
          <t>/Users/manczg/Documents/development/dddd/src/collector/github-client.ts</t>
        </is>
      </c>
      <c r="C1739" t="inlineStr">
        <is>
          <t>smells-21</t>
        </is>
      </c>
      <c r="D1739" t="n">
        <v>239</v>
      </c>
      <c r="E1739" t="inlineStr">
        <is>
          <t>FP</t>
        </is>
      </c>
      <c r="F1739" t="inlineStr">
        <is>
          <t>state already validated by preceding REVIEW_STATES.has check</t>
        </is>
      </c>
    </row>
    <row r="1740">
      <c r="A1740" t="inlineStr">
        <is>
          <t>dddd</t>
        </is>
      </c>
      <c r="B1740" t="inlineStr">
        <is>
          <t>/Users/manczg/Documents/development/dddd/src/collector/github-client.ts</t>
        </is>
      </c>
      <c r="C1740" t="inlineStr">
        <is>
          <t>solid-07</t>
        </is>
      </c>
      <c r="D1740" t="n">
        <v>11</v>
      </c>
      <c r="E1740" t="inlineStr">
        <is>
          <t>FP</t>
        </is>
      </c>
      <c r="F1740" t="inlineStr">
        <is>
          <t>url field in normalized GitHub API DTO GitHubPullRequest</t>
        </is>
      </c>
    </row>
    <row r="1741">
      <c r="A1741" t="inlineStr">
        <is>
          <t>dddd</t>
        </is>
      </c>
      <c r="B1741" t="inlineStr">
        <is>
          <t>/Users/manczg/Documents/development/dddd/src/collector/github-client.ts</t>
        </is>
      </c>
      <c r="C1741" t="inlineStr">
        <is>
          <t>solid-07</t>
        </is>
      </c>
      <c r="D1741" t="n">
        <v>68</v>
      </c>
      <c r="E1741" t="inlineStr">
        <is>
          <t>FP</t>
        </is>
      </c>
      <c r="F1741" t="inlineStr">
        <is>
          <t>generic string-trim utility, not domain modeling</t>
        </is>
      </c>
    </row>
    <row r="1742">
      <c r="A1742" t="inlineStr">
        <is>
          <t>dddd</t>
        </is>
      </c>
      <c r="B1742" t="inlineStr">
        <is>
          <t>/Users/manczg/Documents/development/dddd/src/components/dashboard/weekly-trend-chart.tsx</t>
        </is>
      </c>
      <c r="C1742" t="inlineStr">
        <is>
          <t>clarity-09</t>
        </is>
      </c>
      <c r="D1742" t="n">
        <v>148</v>
      </c>
      <c r="E1742" t="inlineStr">
        <is>
          <t>FP</t>
        </is>
      </c>
      <c r="F1742" t="inlineStr">
        <is>
          <t>continuation of named assignment const comparisonTrend =</t>
        </is>
      </c>
    </row>
    <row r="1743">
      <c r="A1743" t="inlineStr">
        <is>
          <t>dddd</t>
        </is>
      </c>
      <c r="B1743" t="inlineStr">
        <is>
          <t>/Users/manczg/Documents/development/dddd/src/components/dashboard/weekly-trend-chart.tsx</t>
        </is>
      </c>
      <c r="C1743" t="inlineStr">
        <is>
          <t>clarity-09</t>
        </is>
      </c>
      <c r="D1743" t="n">
        <v>275</v>
      </c>
      <c r="E1743" t="inlineStr">
        <is>
          <t>FP</t>
        </is>
      </c>
      <c r="F1743" t="inlineStr">
        <is>
          <t>continuation of named assignment const detachedLayout =</t>
        </is>
      </c>
    </row>
    <row r="1744">
      <c r="A1744" t="inlineStr">
        <is>
          <t>dddd</t>
        </is>
      </c>
      <c r="B1744" t="inlineStr">
        <is>
          <t>/Users/manczg/Documents/development/dddd/src/components/dashboard/weekly-trend-chart.tsx</t>
        </is>
      </c>
      <c r="C1744" t="inlineStr">
        <is>
          <t>clarity-09</t>
        </is>
      </c>
      <c r="D1744" t="n">
        <v>435</v>
      </c>
      <c r="E1744" t="inlineStr">
        <is>
          <t>TP</t>
        </is>
      </c>
      <c r="F1744" t="inlineStr">
        <is>
          <t>inline JSX ternary condition with 4 terms</t>
        </is>
      </c>
    </row>
    <row r="1745">
      <c r="A1745" t="inlineStr">
        <is>
          <t>dddd</t>
        </is>
      </c>
      <c r="B1745" t="inlineStr">
        <is>
          <t>/Users/manczg/Documents/development/dddd/src/components/dashboard/weekly-trend-chart.tsx</t>
        </is>
      </c>
      <c r="C1745" t="inlineStr">
        <is>
          <t>clarity-16</t>
        </is>
      </c>
      <c r="D1745" t="n">
        <v>145</v>
      </c>
      <c r="E1745" t="inlineStr">
        <is>
          <t>TP</t>
        </is>
      </c>
      <c r="F1745" t="inlineStr">
        <is>
          <t>component has well over 10 branches (many ternaries/loops)</t>
        </is>
      </c>
    </row>
    <row r="1746">
      <c r="A1746" t="inlineStr">
        <is>
          <t>dddd</t>
        </is>
      </c>
      <c r="B1746" t="inlineStr">
        <is>
          <t>/Users/manczg/Documents/development/dddd/src/components/dashboard/weekly-trend-chart.tsx</t>
        </is>
      </c>
      <c r="C1746" t="inlineStr">
        <is>
          <t>clarity-17</t>
        </is>
      </c>
      <c r="D1746" t="n">
        <v>145</v>
      </c>
      <c r="E1746" t="inlineStr">
        <is>
          <t>TP</t>
        </is>
      </c>
      <c r="F1746" t="inlineStr">
        <is>
          <t>component spans ~381 lines, far over 150</t>
        </is>
      </c>
    </row>
    <row r="1747">
      <c r="A1747" t="inlineStr">
        <is>
          <t>dddd</t>
        </is>
      </c>
      <c r="B1747" t="inlineStr">
        <is>
          <t>/Users/manczg/Documents/development/dddd/src/components/dashboard/weekly-trend-chart.tsx</t>
        </is>
      </c>
      <c r="C1747" t="inlineStr">
        <is>
          <t>safety-02</t>
        </is>
      </c>
      <c r="D1747" t="n">
        <v>122</v>
      </c>
      <c r="E1747" t="inlineStr">
        <is>
          <t>TP</t>
        </is>
      </c>
      <c r="F1747" t="inlineStr">
        <is>
          <t>non-null assertion force-unwraps array index access</t>
        </is>
      </c>
    </row>
    <row r="1748">
      <c r="A1748" t="inlineStr">
        <is>
          <t>dddd</t>
        </is>
      </c>
      <c r="B1748" t="inlineStr">
        <is>
          <t>/Users/manczg/Documents/development/dddd/src/components/dashboard/weekly-trend-chart.tsx</t>
        </is>
      </c>
      <c r="C1748" t="inlineStr">
        <is>
          <t>safety-02</t>
        </is>
      </c>
      <c r="D1748" t="n">
        <v>216</v>
      </c>
      <c r="E1748" t="inlineStr">
        <is>
          <t>TP</t>
        </is>
      </c>
      <c r="F1748" t="inlineStr">
        <is>
          <t>non-null assertion on lineComparisonBucketCount not provably safe on all paths</t>
        </is>
      </c>
    </row>
    <row r="1749">
      <c r="A1749" t="inlineStr">
        <is>
          <t>dddd</t>
        </is>
      </c>
      <c r="B1749" t="inlineStr">
        <is>
          <t>/Users/manczg/Documents/development/dddd/src/components/dashboard/weekly-trend-chart.tsx</t>
        </is>
      </c>
      <c r="C1749" t="inlineStr">
        <is>
          <t>safety-02</t>
        </is>
      </c>
      <c r="D1749" t="n">
        <v>251</v>
      </c>
      <c r="E1749" t="inlineStr">
        <is>
          <t>TP</t>
        </is>
      </c>
      <c r="F1749" t="inlineStr">
        <is>
          <t>non-null assertion force-unwraps array index access</t>
        </is>
      </c>
    </row>
    <row r="1750">
      <c r="A1750" t="inlineStr">
        <is>
          <t>dddd</t>
        </is>
      </c>
      <c r="B1750" t="inlineStr">
        <is>
          <t>/Users/manczg/Documents/development/dddd/src/components/dashboard/weekly-trend-chart.tsx</t>
        </is>
      </c>
      <c r="C1750" t="inlineStr">
        <is>
          <t>safety-02</t>
        </is>
      </c>
      <c r="D1750" t="n">
        <v>492</v>
      </c>
      <c r="E1750" t="inlineStr">
        <is>
          <t>TP</t>
        </is>
      </c>
      <c r="F1750" t="inlineStr">
        <is>
          <t>non-null assertion force-unwraps array index access</t>
        </is>
      </c>
    </row>
    <row r="1751">
      <c r="A1751" t="inlineStr">
        <is>
          <t>dddd</t>
        </is>
      </c>
      <c r="B1751" t="inlineStr">
        <is>
          <t>/Users/manczg/Documents/development/dddd/src/components/dashboard/weekly-trend-chart.tsx</t>
        </is>
      </c>
      <c r="C1751" t="inlineStr">
        <is>
          <t>safety-07</t>
        </is>
      </c>
      <c r="D1751" t="n">
        <v>84</v>
      </c>
      <c r="E1751" t="inlineStr">
        <is>
          <t>TP</t>
        </is>
      </c>
      <c r="F1751" t="inlineStr">
        <is>
          <t>eslint-disable suppression comment present in file</t>
        </is>
      </c>
    </row>
    <row r="1752">
      <c r="A1752" t="inlineStr">
        <is>
          <t>dddd</t>
        </is>
      </c>
      <c r="B1752" t="inlineStr">
        <is>
          <t>/Users/manczg/Documents/development/dddd/src/components/dashboard/weekly-trend-chart.tsx</t>
        </is>
      </c>
      <c r="C1752" t="inlineStr">
        <is>
          <t>smells-08</t>
        </is>
      </c>
      <c r="D1752" t="n">
        <v>110</v>
      </c>
      <c r="E1752" t="inlineStr">
        <is>
          <t>TP</t>
        </is>
      </c>
      <c r="F1752" t="inlineStr">
        <is>
          <t>nullable return-type annotation, no exclusion applies</t>
        </is>
      </c>
    </row>
    <row r="1753">
      <c r="A1753" t="inlineStr">
        <is>
          <t>dddd</t>
        </is>
      </c>
      <c r="B1753" t="inlineStr">
        <is>
          <t>/Users/manczg/Documents/development/dddd/src/collector/pr-size-sync.ts</t>
        </is>
      </c>
      <c r="C1753" t="inlineStr">
        <is>
          <t>arch-02</t>
        </is>
      </c>
      <c r="D1753" t="n">
        <v>4</v>
      </c>
      <c r="E1753" t="inlineStr">
        <is>
          <t>FP</t>
        </is>
      </c>
      <c r="F1753" t="inlineStr">
        <is>
          <t>syncRepositoryPrSizes is a git/GitHub sync collector, infrastructure adapter not a use case</t>
        </is>
      </c>
    </row>
    <row r="1754">
      <c r="A1754" t="inlineStr">
        <is>
          <t>dddd</t>
        </is>
      </c>
      <c r="B1754" t="inlineStr">
        <is>
          <t>/Users/manczg/Documents/development/dddd/src/collector/pr-size-sync.ts</t>
        </is>
      </c>
      <c r="C1754" t="inlineStr">
        <is>
          <t>clarity-09</t>
        </is>
      </c>
      <c r="D1754" t="n">
        <v>190</v>
      </c>
      <c r="E1754" t="inlineStr">
        <is>
          <t>TP</t>
        </is>
      </c>
      <c r="F1754" t="inlineStr">
        <is>
          <t>3 terms joined by &amp;&amp; not extracted</t>
        </is>
      </c>
    </row>
    <row r="1755">
      <c r="A1755" t="inlineStr">
        <is>
          <t>dddd</t>
        </is>
      </c>
      <c r="B1755" t="inlineStr">
        <is>
          <t>/Users/manczg/Documents/development/dddd/src/collector/pr-size-sync.ts</t>
        </is>
      </c>
      <c r="C1755" t="inlineStr">
        <is>
          <t>clarity-09</t>
        </is>
      </c>
      <c r="D1755" t="n">
        <v>146</v>
      </c>
      <c r="E1755" t="inlineStr">
        <is>
          <t>TP</t>
        </is>
      </c>
      <c r="F1755" t="inlineStr">
        <is>
          <t>wrapped if condition with 3 terms joined by ||</t>
        </is>
      </c>
    </row>
    <row r="1756">
      <c r="A1756" t="inlineStr">
        <is>
          <t>dddd</t>
        </is>
      </c>
      <c r="B1756" t="inlineStr">
        <is>
          <t>/Users/manczg/Documents/development/dddd/src/collector/pr-size-sync.ts</t>
        </is>
      </c>
      <c r="C1756" t="inlineStr">
        <is>
          <t>clarity-16</t>
        </is>
      </c>
      <c r="D1756" t="n">
        <v>425</v>
      </c>
      <c r="E1756" t="inlineStr">
        <is>
          <t>FP</t>
        </is>
      </c>
      <c r="F1756" t="inlineStr">
        <is>
          <t>manual recount = 9 branch lines, below the &gt;10 threshold</t>
        </is>
      </c>
    </row>
    <row r="1757">
      <c r="A1757" t="inlineStr">
        <is>
          <t>dddd</t>
        </is>
      </c>
      <c r="B1757" t="inlineStr">
        <is>
          <t>/Users/manczg/Documents/development/dddd/src/collector/pr-size-sync.ts</t>
        </is>
      </c>
      <c r="C1757" t="inlineStr">
        <is>
          <t>safety-02</t>
        </is>
      </c>
      <c r="D1757" t="n">
        <v>297</v>
      </c>
      <c r="E1757" t="inlineStr">
        <is>
          <t>TP</t>
        </is>
      </c>
      <c r="F1757" t="inlineStr">
        <is>
          <t>non-null assertion force-unwraps array index access</t>
        </is>
      </c>
    </row>
    <row r="1758">
      <c r="A1758" t="inlineStr">
        <is>
          <t>dddd</t>
        </is>
      </c>
      <c r="B1758" t="inlineStr">
        <is>
          <t>/Users/manczg/Documents/development/dddd/src/collector/pr-size-sync.ts</t>
        </is>
      </c>
      <c r="C1758" t="inlineStr">
        <is>
          <t>safety-02</t>
        </is>
      </c>
      <c r="D1758" t="n">
        <v>300</v>
      </c>
      <c r="E1758" t="inlineStr">
        <is>
          <t>TP</t>
        </is>
      </c>
      <c r="F1758" t="inlineStr">
        <is>
          <t>non-null assertion force-unwraps array index access</t>
        </is>
      </c>
    </row>
    <row r="1759">
      <c r="A1759" t="inlineStr">
        <is>
          <t>dddd</t>
        </is>
      </c>
      <c r="B1759" t="inlineStr">
        <is>
          <t>/Users/manczg/Documents/development/dddd/src/collector/pr-size-sync.ts</t>
        </is>
      </c>
      <c r="C1759" t="inlineStr">
        <is>
          <t>safety-08</t>
        </is>
      </c>
      <c r="D1759" t="n">
        <v>439</v>
      </c>
      <c r="E1759" t="inlineStr">
        <is>
          <t>FP</t>
        </is>
      </c>
      <c r="F1759" t="inlineStr">
        <is>
          <t>fetchRepo wraps execFile with explicit 120000ms timeout, already covered</t>
        </is>
      </c>
    </row>
    <row r="1760">
      <c r="A1760" t="inlineStr">
        <is>
          <t>dddd</t>
        </is>
      </c>
      <c r="B1760" t="inlineStr">
        <is>
          <t>/Users/manczg/Documents/development/dddd/src/collector/pr-size-sync.ts</t>
        </is>
      </c>
      <c r="C1760" t="inlineStr">
        <is>
          <t>smells-08</t>
        </is>
      </c>
      <c r="D1760" t="n">
        <v>335</v>
      </c>
      <c r="E1760" t="inlineStr">
        <is>
          <t>TP</t>
        </is>
      </c>
      <c r="F1760" t="inlineStr">
        <is>
          <t>nullable return-type annotation, no exclusion applies</t>
        </is>
      </c>
    </row>
    <row r="1761">
      <c r="A1761" t="inlineStr">
        <is>
          <t>dddd</t>
        </is>
      </c>
      <c r="B1761" t="inlineStr">
        <is>
          <t>/Users/manczg/Documents/development/dddd/src/collector/pr-size-sync.ts</t>
        </is>
      </c>
      <c r="C1761" t="inlineStr">
        <is>
          <t>smells-08</t>
        </is>
      </c>
      <c r="D1761" t="n">
        <v>344</v>
      </c>
      <c r="E1761" t="inlineStr">
        <is>
          <t>TP</t>
        </is>
      </c>
      <c r="F1761" t="inlineStr">
        <is>
          <t>return null guarded by length-check, not null-check</t>
        </is>
      </c>
    </row>
    <row r="1762">
      <c r="A1762" t="inlineStr">
        <is>
          <t>dddd</t>
        </is>
      </c>
      <c r="B1762" t="inlineStr">
        <is>
          <t>/Users/manczg/Documents/development/dddd/src/collector/pr-size-sync.ts</t>
        </is>
      </c>
      <c r="C1762" t="inlineStr">
        <is>
          <t>smells-08</t>
        </is>
      </c>
      <c r="D1762" t="n">
        <v>356</v>
      </c>
      <c r="E1762" t="inlineStr">
        <is>
          <t>TP</t>
        </is>
      </c>
      <c r="F1762" t="inlineStr">
        <is>
          <t>nullable return-type annotation, no exclusion applies</t>
        </is>
      </c>
    </row>
    <row r="1763">
      <c r="A1763" t="inlineStr">
        <is>
          <t>dddd</t>
        </is>
      </c>
      <c r="B1763" t="inlineStr">
        <is>
          <t>/Users/manczg/Documents/development/dddd/src/collector/pr-size-sync.ts</t>
        </is>
      </c>
      <c r="C1763" t="inlineStr">
        <is>
          <t>solid-07</t>
        </is>
      </c>
      <c r="D1763" t="n">
        <v>381</v>
      </c>
      <c r="E1763" t="inlineStr">
        <is>
          <t>FP</t>
        </is>
      </c>
      <c r="F1763" t="inlineStr">
        <is>
          <t>repositoryId passed straight to drizzle eq() query boundary</t>
        </is>
      </c>
    </row>
    <row r="1764">
      <c r="A1764" t="inlineStr">
        <is>
          <t>dddd</t>
        </is>
      </c>
      <c r="B1764" t="inlineStr">
        <is>
          <t>/Users/manczg/Documents/development/dddd/src/collector/pr-size-sync.ts</t>
        </is>
      </c>
      <c r="C1764" t="inlineStr">
        <is>
          <t>solid-07</t>
        </is>
      </c>
      <c r="D1764" t="n">
        <v>391</v>
      </c>
      <c r="E1764" t="inlineStr">
        <is>
          <t>FP</t>
        </is>
      </c>
      <c r="F1764" t="inlineStr">
        <is>
          <t>input object mirrors syncErrors DB row shape for insert</t>
        </is>
      </c>
    </row>
    <row r="1765">
      <c r="A1765" t="inlineStr">
        <is>
          <t>dddd</t>
        </is>
      </c>
      <c r="B1765" t="inlineStr">
        <is>
          <t>/Users/manczg/Documents/development/dddd/src/collector/pr-size-sync.ts</t>
        </is>
      </c>
      <c r="C1765" t="inlineStr">
        <is>
          <t>solid-07</t>
        </is>
      </c>
      <c r="D1765" t="n">
        <v>428</v>
      </c>
      <c r="E1765" t="inlineStr">
        <is>
          <t>FP</t>
        </is>
      </c>
      <c r="F1765" t="inlineStr">
        <is>
          <t>repositoryId used only for DB query construction, boundary case</t>
        </is>
      </c>
    </row>
    <row r="1766">
      <c r="A1766" t="inlineStr">
        <is>
          <t>dddd</t>
        </is>
      </c>
      <c r="B1766" t="inlineStr">
        <is>
          <t>/Users/manczg/Documents/development/dddd/src/collector/pr-size-sync.ts</t>
        </is>
      </c>
      <c r="C1766" t="inlineStr">
        <is>
          <t>solid-09</t>
        </is>
      </c>
      <c r="D1766" t="n">
        <v>44</v>
      </c>
      <c r="E1766" t="inlineStr">
        <is>
          <t>TP</t>
        </is>
      </c>
      <c r="F1766" t="inlineStr">
        <is>
          <t>module-level mutable let outside test files</t>
        </is>
      </c>
    </row>
    <row r="1767">
      <c r="A1767" t="inlineStr">
        <is>
          <t>dddd</t>
        </is>
      </c>
      <c r="B1767" t="inlineStr">
        <is>
          <t>/Users/manczg/Documents/development/dddd/src/collector/pr-size-sync.ts</t>
        </is>
      </c>
      <c r="C1767" t="inlineStr">
        <is>
          <t>solid-09</t>
        </is>
      </c>
      <c r="D1767" t="n">
        <v>45</v>
      </c>
      <c r="E1767" t="inlineStr">
        <is>
          <t>TP</t>
        </is>
      </c>
      <c r="F1767" t="inlineStr">
        <is>
          <t>module-level mutable let outside test files</t>
        </is>
      </c>
    </row>
    <row r="1768">
      <c r="A1768" t="inlineStr">
        <is>
          <t>dddd</t>
        </is>
      </c>
      <c r="B1768" t="inlineStr">
        <is>
          <t>/Users/manczg/Documents/development/dddd/src/collector/pr-size-sync.ts</t>
        </is>
      </c>
      <c r="C1768" t="inlineStr">
        <is>
          <t>solid-09</t>
        </is>
      </c>
      <c r="D1768" t="n">
        <v>46</v>
      </c>
      <c r="E1768" t="inlineStr">
        <is>
          <t>TP</t>
        </is>
      </c>
      <c r="F1768" t="inlineStr">
        <is>
          <t>module-level mutable let outside test files</t>
        </is>
      </c>
    </row>
    <row r="1769">
      <c r="A1769" t="inlineStr">
        <is>
          <t>dddd</t>
        </is>
      </c>
      <c r="B1769" t="inlineStr">
        <is>
          <t>/Users/manczg/Documents/development/dddd/src/collector/pr-size-sync.ts</t>
        </is>
      </c>
      <c r="C1769" t="inlineStr">
        <is>
          <t>solid-09</t>
        </is>
      </c>
      <c r="D1769" t="n">
        <v>47</v>
      </c>
      <c r="E1769" t="inlineStr">
        <is>
          <t>TP</t>
        </is>
      </c>
      <c r="F1769" t="inlineStr">
        <is>
          <t>module-level mutable let outside test files</t>
        </is>
      </c>
    </row>
    <row r="1770">
      <c r="A1770" t="inlineStr">
        <is>
          <t>dddd</t>
        </is>
      </c>
      <c r="B1770" t="inlineStr">
        <is>
          <t>/Users/manczg/Documents/development/dddd/src/collector/pr-size-sync.ts</t>
        </is>
      </c>
      <c r="C1770" t="inlineStr">
        <is>
          <t>solid-15</t>
        </is>
      </c>
      <c r="D1770" t="n">
        <v>419</v>
      </c>
      <c r="E1770" t="inlineStr">
        <is>
          <t>FP</t>
        </is>
      </c>
      <c r="F1770" t="inlineStr">
        <is>
          <t>single guard if on vocabulary word "strategy", not a dispatch chain</t>
        </is>
      </c>
    </row>
    <row r="1771">
      <c r="A1771" t="inlineStr">
        <is>
          <t>dddd</t>
        </is>
      </c>
      <c r="B1771" t="inlineStr">
        <is>
          <t>/Users/manczg/Documents/development/dddd/src/components/dashboard/FirstReviewExceptionsPanel.tsx</t>
        </is>
      </c>
      <c r="C1771" t="inlineStr">
        <is>
          <t>smells-08</t>
        </is>
      </c>
      <c r="D1771" t="n">
        <v>35</v>
      </c>
      <c r="E1771" t="inlineStr">
        <is>
          <t>TP</t>
        </is>
      </c>
      <c r="F1771" t="inlineStr">
        <is>
          <t>return null guarded by compound non-pure-null-check condition</t>
        </is>
      </c>
    </row>
    <row r="1772">
      <c r="A1772" t="inlineStr">
        <is>
          <t>dddd</t>
        </is>
      </c>
      <c r="B1772" t="inlineStr">
        <is>
          <t>/Users/manczg/Documents/development/dddd/src/components/dashboard/FirstReviewExceptionsPanel.tsx</t>
        </is>
      </c>
      <c r="C1772" t="inlineStr">
        <is>
          <t>solid-15</t>
        </is>
      </c>
      <c r="D1772" t="n">
        <v>11</v>
      </c>
      <c r="E1772" t="inlineStr">
        <is>
          <t>TP</t>
        </is>
      </c>
      <c r="F1772" t="inlineStr">
        <is>
          <t>if/if/fallback dispatch on e.type with differing titles</t>
        </is>
      </c>
    </row>
    <row r="1773">
      <c r="A1773" t="inlineStr">
        <is>
          <t>dddd</t>
        </is>
      </c>
      <c r="B1773" t="inlineStr">
        <is>
          <t>/Users/manczg/Documents/development/dddd/src/components/dashboard/FirstReviewExceptionsPanel.tsx</t>
        </is>
      </c>
      <c r="C1773" t="inlineStr">
        <is>
          <t>solid-15</t>
        </is>
      </c>
      <c r="D1773" t="n">
        <v>12</v>
      </c>
      <c r="E1773" t="inlineStr">
        <is>
          <t>TP</t>
        </is>
      </c>
      <c r="F1773" t="inlineStr">
        <is>
          <t>if/if/fallback dispatch on e.type with differing titles</t>
        </is>
      </c>
    </row>
    <row r="1774">
      <c r="A1774" t="inlineStr">
        <is>
          <t>dddd</t>
        </is>
      </c>
      <c r="B1774" t="inlineStr">
        <is>
          <t>/Users/manczg/Documents/development/dddd/src/components/dashboard/FirstReviewExceptionsPanel.tsx</t>
        </is>
      </c>
      <c r="C1774" t="inlineStr">
        <is>
          <t>solid-15</t>
        </is>
      </c>
      <c r="D1774" t="n">
        <v>17</v>
      </c>
      <c r="E1774" t="inlineStr">
        <is>
          <t>TP</t>
        </is>
      </c>
      <c r="F1774" t="inlineStr">
        <is>
          <t>if/if/fallback dispatch on e.type with differing metrics</t>
        </is>
      </c>
    </row>
    <row r="1775">
      <c r="A1775" t="inlineStr">
        <is>
          <t>dddd</t>
        </is>
      </c>
      <c r="B1775" t="inlineStr">
        <is>
          <t>/Users/manczg/Documents/development/dddd/src/components/dashboard/FirstReviewExceptionsPanel.tsx</t>
        </is>
      </c>
      <c r="C1775" t="inlineStr">
        <is>
          <t>solid-15</t>
        </is>
      </c>
      <c r="D1775" t="n">
        <v>21</v>
      </c>
      <c r="E1775" t="inlineStr">
        <is>
          <t>TP</t>
        </is>
      </c>
      <c r="F1775" t="inlineStr">
        <is>
          <t>if/if/fallback dispatch on e.type with differing metrics</t>
        </is>
      </c>
    </row>
    <row r="1776">
      <c r="A1776" t="inlineStr">
        <is>
          <t>dddd</t>
        </is>
      </c>
      <c r="B1776" t="inlineStr">
        <is>
          <t>/Users/manczg/Documents/development/dddd/src/components/dashboard/FirstReviewExceptionsPanel.tsx</t>
        </is>
      </c>
      <c r="C1776" t="inlineStr">
        <is>
          <t>solid-15</t>
        </is>
      </c>
      <c r="D1776" t="n">
        <v>29</v>
      </c>
      <c r="E1776" t="inlineStr">
        <is>
          <t>TP</t>
        </is>
      </c>
      <c r="F1776" t="inlineStr">
        <is>
          <t>if/if/fallback dispatch on e.type with differing recommendations</t>
        </is>
      </c>
    </row>
    <row r="1777">
      <c r="A1777" t="inlineStr">
        <is>
          <t>dddd</t>
        </is>
      </c>
      <c r="B1777" t="inlineStr">
        <is>
          <t>/Users/manczg/Documents/development/dddd/src/components/dashboard/FirstReviewExceptionsPanel.tsx</t>
        </is>
      </c>
      <c r="C1777" t="inlineStr">
        <is>
          <t>solid-15</t>
        </is>
      </c>
      <c r="D1777" t="n">
        <v>30</v>
      </c>
      <c r="E1777" t="inlineStr">
        <is>
          <t>TP</t>
        </is>
      </c>
      <c r="F1777" t="inlineStr">
        <is>
          <t>if/if/fallback dispatch on e.type with differing recommendations</t>
        </is>
      </c>
    </row>
    <row r="1778">
      <c r="A1778" t="inlineStr">
        <is>
          <t>dddd</t>
        </is>
      </c>
      <c r="B1778" t="inlineStr">
        <is>
          <t>/Users/manczg/Documents/development/dddd/src/components/dashboard/team-label.tsx</t>
        </is>
      </c>
      <c r="C1778" t="inlineStr">
        <is>
          <t>tests-01</t>
        </is>
      </c>
      <c r="D1778" t="n">
        <v>8</v>
      </c>
      <c r="E1778" t="inlineStr">
        <is>
          <t>TP</t>
        </is>
      </c>
      <c r="F1778" t="inlineStr">
        <is>
          <t>no test file exists for team-label module</t>
        </is>
      </c>
    </row>
    <row r="1779">
      <c r="A1779" t="inlineStr">
        <is>
          <t>dddd</t>
        </is>
      </c>
      <c r="B1779" t="inlineStr">
        <is>
          <t>/Users/manczg/Documents/development/dddd/tests/metrics/pr-cycle-time-dashboard.test.ts</t>
        </is>
      </c>
      <c r="C1779" t="inlineStr">
        <is>
          <t>clarity-17</t>
        </is>
      </c>
      <c r="D1779" t="n">
        <v>27</v>
      </c>
      <c r="E1779" t="inlineStr">
        <is>
          <t>FP</t>
        </is>
      </c>
      <c r="F1779" t="inlineStr">
        <is>
          <t>describe block is a test-harness block, not a logic unit</t>
        </is>
      </c>
    </row>
    <row r="1780">
      <c r="A1780" t="inlineStr">
        <is>
          <t>dddd</t>
        </is>
      </c>
      <c r="B1780" t="inlineStr">
        <is>
          <t>/Users/manczg/Documents/development/dddd/tests/metrics/pr-cycle-time-dashboard.test.ts</t>
        </is>
      </c>
      <c r="C1780" t="inlineStr">
        <is>
          <t>safety-02</t>
        </is>
      </c>
      <c r="D1780" t="n">
        <v>36</v>
      </c>
      <c r="E1780" t="inlineStr">
        <is>
          <t>TP</t>
        </is>
      </c>
      <c r="F1780" t="inlineStr">
        <is>
          <t>force unwrap of possibly-undefined databaseUrl from process.env</t>
        </is>
      </c>
    </row>
    <row r="1781">
      <c r="A1781" t="inlineStr">
        <is>
          <t>dddd</t>
        </is>
      </c>
      <c r="B1781" t="inlineStr">
        <is>
          <t>/Users/manczg/Documents/development/dddd/tests/metrics/pr-cycle-time-dashboard.test.ts</t>
        </is>
      </c>
      <c r="C1781" t="inlineStr">
        <is>
          <t>safety-02</t>
        </is>
      </c>
      <c r="D1781" t="n">
        <v>131</v>
      </c>
      <c r="E1781" t="inlineStr">
        <is>
          <t>TP</t>
        </is>
      </c>
      <c r="F1781" t="inlineStr">
        <is>
          <t>'in' check does not guarantee value is non-undefined before force unwrap</t>
        </is>
      </c>
    </row>
    <row r="1782">
      <c r="A1782" t="inlineStr">
        <is>
          <t>dddd</t>
        </is>
      </c>
      <c r="B1782" t="inlineStr">
        <is>
          <t>/Users/manczg/Documents/development/dddd/tests/metrics/pr-cycle-time-dashboard.test.ts</t>
        </is>
      </c>
      <c r="C1782" t="inlineStr">
        <is>
          <t>safety-02</t>
        </is>
      </c>
      <c r="D1782" t="n">
        <v>132</v>
      </c>
      <c r="E1782" t="inlineStr">
        <is>
          <t>TP</t>
        </is>
      </c>
      <c r="F1782" t="inlineStr">
        <is>
          <t>'in' check does not guarantee value is non-undefined before force unwrap</t>
        </is>
      </c>
    </row>
    <row r="1783">
      <c r="A1783" t="inlineStr">
        <is>
          <t>dddd</t>
        </is>
      </c>
      <c r="B1783" t="inlineStr">
        <is>
          <t>/Users/manczg/Documents/development/dddd/tests/metrics/pr-cycle-time-dashboard.test.ts</t>
        </is>
      </c>
      <c r="C1783" t="inlineStr">
        <is>
          <t>safety-02</t>
        </is>
      </c>
      <c r="D1783" t="n">
        <v>692</v>
      </c>
      <c r="E1783" t="inlineStr">
        <is>
          <t>TP</t>
        </is>
      </c>
      <c r="F1783" t="inlineStr">
        <is>
          <t>force unwrap of possibly-empty array element from db query result</t>
        </is>
      </c>
    </row>
    <row r="1784">
      <c r="A1784" t="inlineStr">
        <is>
          <t>dddd</t>
        </is>
      </c>
      <c r="B1784" t="inlineStr">
        <is>
          <t>/Users/manczg/Documents/development/dddd/tests/metrics/pr-cycle-time-dashboard.test.ts</t>
        </is>
      </c>
      <c r="C1784" t="inlineStr">
        <is>
          <t>smells-01</t>
        </is>
      </c>
      <c r="D1784" t="n">
        <v>1</v>
      </c>
      <c r="E1784" t="inlineStr">
        <is>
          <t>TP</t>
        </is>
      </c>
      <c r="F1784" t="inlineStr">
        <is>
          <t>file is 1149 lines, over 1000-line threshold</t>
        </is>
      </c>
    </row>
    <row r="1785">
      <c r="A1785" t="inlineStr">
        <is>
          <t>dddd</t>
        </is>
      </c>
      <c r="B1785" t="inlineStr">
        <is>
          <t>/Users/manczg/Documents/development/dddd/tests/metrics/pr-cycle-time-dashboard.test.ts</t>
        </is>
      </c>
      <c r="C1785" t="inlineStr">
        <is>
          <t>smells-02</t>
        </is>
      </c>
      <c r="D1785" t="n">
        <v>671</v>
      </c>
      <c r="E1785" t="inlineStr">
        <is>
          <t>TP</t>
        </is>
      </c>
      <c r="F1785" t="inlineStr">
        <is>
          <t>makeTeam has 4 parameters, exceeds limit of 3</t>
        </is>
      </c>
    </row>
    <row r="1786">
      <c r="A1786" t="inlineStr">
        <is>
          <t>dddd</t>
        </is>
      </c>
      <c r="B1786" t="inlineStr">
        <is>
          <t>/Users/manczg/Documents/development/dddd/tests/metrics/pr-cycle-time-dashboard.test.ts</t>
        </is>
      </c>
      <c r="C1786" t="inlineStr">
        <is>
          <t>smells-10</t>
        </is>
      </c>
      <c r="D1786" t="n">
        <v>19</v>
      </c>
      <c r="E1786" t="inlineStr">
        <is>
          <t>FP</t>
        </is>
      </c>
      <c r="F1786" t="inlineStr">
        <is>
          <t>process.env.X is an excluded configuration access chain</t>
        </is>
      </c>
    </row>
    <row r="1787">
      <c r="A1787" t="inlineStr">
        <is>
          <t>dddd</t>
        </is>
      </c>
      <c r="B1787" t="inlineStr">
        <is>
          <t>/Users/manczg/Documents/development/dddd/tests/components/pr-cycle-time-dashboard.test.tsx</t>
        </is>
      </c>
      <c r="C1787" t="inlineStr">
        <is>
          <t>clarity-17</t>
        </is>
      </c>
      <c r="D1787" t="n">
        <v>114</v>
      </c>
      <c r="E1787" t="inlineStr">
        <is>
          <t>FP</t>
        </is>
      </c>
      <c r="F1787" t="inlineStr">
        <is>
          <t>describe.sequential block is a test-harness block, not a logic unit</t>
        </is>
      </c>
    </row>
    <row r="1788">
      <c r="A1788" t="inlineStr">
        <is>
          <t>dddd</t>
        </is>
      </c>
      <c r="B1788" t="inlineStr">
        <is>
          <t>/Users/manczg/Documents/development/dddd/tests/components/pr-cycle-time-dashboard.test.tsx</t>
        </is>
      </c>
      <c r="C1788" t="inlineStr">
        <is>
          <t>safety-02</t>
        </is>
      </c>
      <c r="D1788" t="n">
        <v>235</v>
      </c>
      <c r="E1788" t="inlineStr">
        <is>
          <t>TP</t>
        </is>
      </c>
      <c r="F1788" t="inlineStr">
        <is>
          <t>force unwrap of possibly-empty array element from getAllByText</t>
        </is>
      </c>
    </row>
    <row r="1789">
      <c r="A1789" t="inlineStr">
        <is>
          <t>dddd</t>
        </is>
      </c>
      <c r="B1789" t="inlineStr">
        <is>
          <t>/Users/manczg/Documents/development/dddd/tests/components/pr-cycle-time-dashboard.test.tsx</t>
        </is>
      </c>
      <c r="C1789" t="inlineStr">
        <is>
          <t>safety-02</t>
        </is>
      </c>
      <c r="D1789" t="n">
        <v>292</v>
      </c>
      <c r="E1789" t="inlineStr">
        <is>
          <t>TP</t>
        </is>
      </c>
      <c r="F1789" t="inlineStr">
        <is>
          <t>force unwrap of possibly-empty array element from getAllByText</t>
        </is>
      </c>
    </row>
    <row r="1790">
      <c r="A1790" t="inlineStr">
        <is>
          <t>dddd</t>
        </is>
      </c>
      <c r="B1790" t="inlineStr">
        <is>
          <t>/Users/manczg/Documents/development/dddd/tests/components/pr-cycle-time-dashboard.test.tsx</t>
        </is>
      </c>
      <c r="C1790" t="inlineStr">
        <is>
          <t>safety-02</t>
        </is>
      </c>
      <c r="D1790" t="n">
        <v>783</v>
      </c>
      <c r="E1790" t="inlineStr">
        <is>
          <t>TP</t>
        </is>
      </c>
      <c r="F1790" t="inlineStr">
        <is>
          <t>force unwrap of possibly-empty array element from getAllByText</t>
        </is>
      </c>
    </row>
    <row r="1791">
      <c r="A1791" t="inlineStr">
        <is>
          <t>dddd</t>
        </is>
      </c>
      <c r="B1791" t="inlineStr">
        <is>
          <t>/Users/manczg/Documents/development/dddd/tests/components/pr-cycle-time-dashboard.test.tsx</t>
        </is>
      </c>
      <c r="C1791" t="inlineStr">
        <is>
          <t>smells-01</t>
        </is>
      </c>
      <c r="D1791" t="n">
        <v>1</v>
      </c>
      <c r="E1791" t="inlineStr">
        <is>
          <t>TP</t>
        </is>
      </c>
      <c r="F1791" t="inlineStr">
        <is>
          <t>file is 1031 lines, over 1000-line threshold</t>
        </is>
      </c>
    </row>
    <row r="1792">
      <c r="A1792" t="inlineStr">
        <is>
          <t>dddd</t>
        </is>
      </c>
      <c r="B1792" t="inlineStr">
        <is>
          <t>/Users/manczg/Documents/development/dddd/tests/components/pr-cycle-time-dashboard.test.tsx</t>
        </is>
      </c>
      <c r="C1792" t="inlineStr">
        <is>
          <t>smells-21</t>
        </is>
      </c>
      <c r="D1792" t="n">
        <v>655</v>
      </c>
      <c r="E1792" t="inlineStr">
        <is>
          <t>TP</t>
        </is>
      </c>
      <c r="F1792" t="inlineStr">
        <is>
          <t>real 'as never' assertion in test code, explicitly still in scope per NOTE</t>
        </is>
      </c>
    </row>
    <row r="1793">
      <c r="A1793" t="inlineStr">
        <is>
          <t>udemy-top-down-shooter</t>
        </is>
      </c>
      <c r="B1793" t="inlineStr">
        <is>
          <t>/Users/manczg/Documents/development/udemy-top-down-shooter/Assets/PlayerControls.cs</t>
        </is>
      </c>
      <c r="C1793" t="inlineStr">
        <is>
          <t>solid-06</t>
        </is>
      </c>
      <c r="D1793" t="n">
        <v>263</v>
      </c>
      <c r="E1793" t="inlineStr">
        <is>
          <t>FP</t>
        </is>
      </c>
      <c r="F1793" t="inlineStr">
        <is>
          <t>get-only expression-bodied property, no setter, per C# rule only fields/set-accessor properties flag</t>
        </is>
      </c>
    </row>
    <row r="1794">
      <c r="A1794" t="inlineStr">
        <is>
          <t>udemy-top-down-shooter</t>
        </is>
      </c>
      <c r="B1794" t="inlineStr">
        <is>
          <t>/Users/manczg/Documents/development/udemy-top-down-shooter/Assets/PlayerControls.cs</t>
        </is>
      </c>
      <c r="C1794" t="inlineStr">
        <is>
          <t>solid-06</t>
        </is>
      </c>
      <c r="D1794" t="n">
        <v>290</v>
      </c>
      <c r="E1794" t="inlineStr">
        <is>
          <t>FP</t>
        </is>
      </c>
      <c r="F1794" t="inlineStr">
        <is>
          <t>get-only expression-bodied property, no setter</t>
        </is>
      </c>
    </row>
    <row r="1795">
      <c r="A1795" t="inlineStr">
        <is>
          <t>udemy-top-down-shooter</t>
        </is>
      </c>
      <c r="B1795" t="inlineStr">
        <is>
          <t>/Users/manczg/Documents/development/udemy-top-down-shooter/Assets/PlayerControls.cs</t>
        </is>
      </c>
      <c r="C1795" t="inlineStr">
        <is>
          <t>solid-06</t>
        </is>
      </c>
      <c r="D1795" t="n">
        <v>320</v>
      </c>
      <c r="E1795" t="inlineStr">
        <is>
          <t>FP</t>
        </is>
      </c>
      <c r="F1795" t="inlineStr">
        <is>
          <t>get-only expression-bodied property, no setter</t>
        </is>
      </c>
    </row>
    <row r="1796">
      <c r="A1796" t="inlineStr">
        <is>
          <t>udemy-top-down-shooter</t>
        </is>
      </c>
      <c r="B1796" t="inlineStr">
        <is>
          <t>/Users/manczg/Documents/development/udemy-top-down-shooter/Assets/PlayerControls.cs</t>
        </is>
      </c>
      <c r="C1796" t="inlineStr">
        <is>
          <t>solid-07</t>
        </is>
      </c>
      <c r="D1796" t="n">
        <v>292</v>
      </c>
      <c r="E1796" t="inlineStr">
        <is>
          <t>FP</t>
        </is>
      </c>
      <c r="F1796" t="inlineStr">
        <is>
          <t>framework-required signature implementing IInputActionCollection2, forwards to asset.FindAction</t>
        </is>
      </c>
    </row>
    <row r="1797">
      <c r="A1797" t="inlineStr">
        <is>
          <t>udemy-top-down-shooter</t>
        </is>
      </c>
      <c r="B1797" t="inlineStr">
        <is>
          <t>/Users/manczg/Documents/development/udemy-top-down-shooter/Assets/PlayerControls.cs</t>
        </is>
      </c>
      <c r="C1797" t="inlineStr">
        <is>
          <t>solid-10</t>
        </is>
      </c>
      <c r="D1797" t="n">
        <v>370</v>
      </c>
      <c r="E1797" t="inlineStr">
        <is>
          <t>FP</t>
        </is>
      </c>
      <c r="F1797" t="inlineStr">
        <is>
          <t>CharacterActions is a local lightweight value struct wrapping this, not an external collaborator</t>
        </is>
      </c>
    </row>
    <row r="1798">
      <c r="A1798" t="inlineStr">
        <is>
          <t>udemy-top-down-shooter</t>
        </is>
      </c>
      <c r="B1798" t="inlineStr">
        <is>
          <t>/Users/manczg/Documents/development/udemy-top-down-shooter/Assets/PlayerControls.cs</t>
        </is>
      </c>
      <c r="C1798" t="inlineStr">
        <is>
          <t>tests-01</t>
        </is>
      </c>
      <c r="D1798" t="n">
        <v>18</v>
      </c>
      <c r="E1798" t="inlineStr">
        <is>
          <t>FP</t>
        </is>
      </c>
      <c r="F1798" t="inlineStr">
        <is>
          <t>repo has zero test files; baseline rule requires single project-level finding, not per-file</t>
        </is>
      </c>
    </row>
    <row r="1799">
      <c r="A1799" t="inlineStr">
        <is>
          <t>udemy-top-down-shooter</t>
        </is>
      </c>
      <c r="B1799" t="inlineStr">
        <is>
          <t>/Users/manczg/Documents/development/udemy-top-down-shooter/Assets/PlayerMovement.cs</t>
        </is>
      </c>
      <c r="C1799" t="inlineStr">
        <is>
          <t>smells-10</t>
        </is>
      </c>
      <c r="D1799" t="n">
        <v>100</v>
      </c>
      <c r="E1799" t="inlineStr">
        <is>
          <t>FP</t>
        </is>
      </c>
      <c r="F1799" t="inlineStr">
        <is>
          <t>chain stays within own controls field into generated Input System action-map API, framework accessor chain</t>
        </is>
      </c>
    </row>
    <row r="1800">
      <c r="A1800" t="inlineStr">
        <is>
          <t>udemy-top-down-shooter</t>
        </is>
      </c>
      <c r="B1800" t="inlineStr">
        <is>
          <t>/Users/manczg/Documents/development/udemy-top-down-shooter/Assets/PlayerMovement.cs</t>
        </is>
      </c>
      <c r="C1800" t="inlineStr">
        <is>
          <t>smells-10</t>
        </is>
      </c>
      <c r="D1800" t="n">
        <v>101</v>
      </c>
      <c r="E1800" t="inlineStr">
        <is>
          <t>FP</t>
        </is>
      </c>
      <c r="F1800" t="inlineStr">
        <is>
          <t>same generated Input System action-map chain on own field</t>
        </is>
      </c>
    </row>
    <row r="1801">
      <c r="A1801" t="inlineStr">
        <is>
          <t>udemy-top-down-shooter</t>
        </is>
      </c>
      <c r="B1801" t="inlineStr">
        <is>
          <t>/Users/manczg/Documents/development/udemy-top-down-shooter/Assets/PlayerMovement.cs</t>
        </is>
      </c>
      <c r="C1801" t="inlineStr">
        <is>
          <t>smells-10</t>
        </is>
      </c>
      <c r="D1801" t="n">
        <v>103</v>
      </c>
      <c r="E1801" t="inlineStr">
        <is>
          <t>FP</t>
        </is>
      </c>
      <c r="F1801" t="inlineStr">
        <is>
          <t>same generated Input System action-map chain on own field</t>
        </is>
      </c>
    </row>
    <row r="1802">
      <c r="A1802" t="inlineStr">
        <is>
          <t>udemy-top-down-shooter</t>
        </is>
      </c>
      <c r="B1802" t="inlineStr">
        <is>
          <t>/Users/manczg/Documents/development/udemy-top-down-shooter/Assets/PlayerMovement.cs</t>
        </is>
      </c>
      <c r="C1802" t="inlineStr">
        <is>
          <t>smells-10</t>
        </is>
      </c>
      <c r="D1802" t="n">
        <v>104</v>
      </c>
      <c r="E1802" t="inlineStr">
        <is>
          <t>FP</t>
        </is>
      </c>
      <c r="F1802" t="inlineStr">
        <is>
          <t>same generated Input System action-map chain on own field</t>
        </is>
      </c>
    </row>
    <row r="1803">
      <c r="A1803" t="inlineStr">
        <is>
          <t>udemy-top-down-shooter</t>
        </is>
      </c>
      <c r="B1803" t="inlineStr">
        <is>
          <t>/Users/manczg/Documents/development/udemy-top-down-shooter/Assets/PlayerMovement.cs</t>
        </is>
      </c>
      <c r="C1803" t="inlineStr">
        <is>
          <t>smells-10</t>
        </is>
      </c>
      <c r="D1803" t="n">
        <v>109</v>
      </c>
      <c r="E1803" t="inlineStr">
        <is>
          <t>FP</t>
        </is>
      </c>
      <c r="F1803" t="inlineStr">
        <is>
          <t>same generated Input System action-map chain on own field</t>
        </is>
      </c>
    </row>
    <row r="1804">
      <c r="A1804" t="inlineStr">
        <is>
          <t>udemy-top-down-shooter</t>
        </is>
      </c>
      <c r="B1804" t="inlineStr">
        <is>
          <t>/Users/manczg/Documents/development/udemy-top-down-shooter/Assets/PlayerMovement.cs</t>
        </is>
      </c>
      <c r="C1804" t="inlineStr">
        <is>
          <t>smells-10</t>
        </is>
      </c>
      <c r="D1804" t="n">
        <v>114</v>
      </c>
      <c r="E1804" t="inlineStr">
        <is>
          <t>FP</t>
        </is>
      </c>
      <c r="F1804" t="inlineStr">
        <is>
          <t>same generated Input System action-map chain on own field</t>
        </is>
      </c>
    </row>
    <row r="1805">
      <c r="A1805" t="inlineStr">
        <is>
          <t>udemy-top-down-shooter</t>
        </is>
      </c>
      <c r="B1805" t="inlineStr">
        <is>
          <t>/Users/manczg/Documents/development/udemy-top-down-shooter/Assets/PlayerMovement.cs</t>
        </is>
      </c>
      <c r="C1805" t="inlineStr">
        <is>
          <t>tests-01</t>
        </is>
      </c>
      <c r="D1805" t="n">
        <v>4</v>
      </c>
      <c r="E1805" t="inlineStr">
        <is>
          <t>FP</t>
        </is>
      </c>
      <c r="F1805" t="inlineStr">
        <is>
          <t>repo has zero test files; baseline rule requires single project-level finding, not per-file</t>
        </is>
      </c>
    </row>
    <row r="1806">
      <c r="A1806" t="inlineStr">
        <is>
          <t>udemy-top-down-shooter</t>
        </is>
      </c>
      <c r="B1806" t="inlineStr">
        <is>
          <t>/Users/manczg/Documents/development/udemy-top-down-shooter/Assets/WeaponVisualController.cs</t>
        </is>
      </c>
      <c r="C1806" t="inlineStr">
        <is>
          <t>tests-01</t>
        </is>
      </c>
      <c r="D1806" t="n">
        <v>6</v>
      </c>
      <c r="E1806" t="inlineStr">
        <is>
          <t>FP</t>
        </is>
      </c>
      <c r="F1806" t="inlineStr">
        <is>
          <t>repo has zero test files; baseline rule requires single project-level finding, not per-file</t>
        </is>
      </c>
    </row>
    <row r="1807">
      <c r="A1807" t="inlineStr">
        <is>
          <t>udemy-top-down-shooter</t>
        </is>
      </c>
      <c r="B1807" t="inlineStr">
        <is>
          <t>/Users/manczg/Documents/development/udemy-top-down-shooter/Assets/Player.cs</t>
        </is>
      </c>
      <c r="C1807" t="inlineStr">
        <is>
          <t>solid-06</t>
        </is>
      </c>
      <c r="D1807" t="n">
        <v>7</v>
      </c>
      <c r="E1807" t="inlineStr">
        <is>
          <t>TP</t>
        </is>
      </c>
      <c r="F1807" t="inlineStr">
        <is>
          <t>public plain field controls on MonoBehaviour gameplay class, not a data holder</t>
        </is>
      </c>
    </row>
    <row r="1808">
      <c r="A1808" t="inlineStr">
        <is>
          <t>udemy-top-down-shooter</t>
        </is>
      </c>
      <c r="B1808" t="inlineStr">
        <is>
          <t>/Users/manczg/Documents/development/udemy-top-down-shooter/Assets/Player.cs</t>
        </is>
      </c>
      <c r="C1808" t="inlineStr">
        <is>
          <t>solid-10</t>
        </is>
      </c>
      <c r="D1808" t="n">
        <v>10</v>
      </c>
      <c r="E1808" t="inlineStr">
        <is>
          <t>TP</t>
        </is>
      </c>
      <c r="F1808" t="inlineStr">
        <is>
          <t>hardcodes concrete PlayerControls creation in Awake, a domain method body, preventing substitution</t>
        </is>
      </c>
    </row>
    <row r="1809">
      <c r="A1809" t="inlineStr">
        <is>
          <t>udemy-top-down-shooter</t>
        </is>
      </c>
      <c r="B1809" t="inlineStr">
        <is>
          <t>/Users/manczg/Documents/development/udemy-top-down-shooter/Assets/Player.cs</t>
        </is>
      </c>
      <c r="C1809" t="inlineStr">
        <is>
          <t>tests-01</t>
        </is>
      </c>
      <c r="D1809" t="n">
        <v>5</v>
      </c>
      <c r="E1809" t="inlineStr">
        <is>
          <t>FP</t>
        </is>
      </c>
      <c r="F1809" t="inlineStr">
        <is>
          <t>repo has zero test files; baseline rule requires single project-level finding, not per-file</t>
        </is>
      </c>
    </row>
    <row r="1810">
      <c r="A1810" t="inlineStr">
        <is>
          <t>udemy-top-down-shooter</t>
        </is>
      </c>
      <c r="B1810" t="inlineStr">
        <is>
          <t>/Users/manczg/Documents/development/udemy-top-down-shooter/Assets/PlayerWeaponController.cs</t>
        </is>
      </c>
      <c r="C1810" t="inlineStr">
        <is>
          <t>smells-10</t>
        </is>
      </c>
      <c r="D1810" t="n">
        <v>13</v>
      </c>
      <c r="E1810" t="inlineStr">
        <is>
          <t>TP</t>
        </is>
      </c>
      <c r="F1810" t="inlineStr">
        <is>
          <t>reaches through player into controls.Character.Fire.performed, crossing into another object's owned collaborator structure</t>
        </is>
      </c>
    </row>
    <row r="1811">
      <c r="A1811" t="inlineStr">
        <is>
          <t>udemy-top-down-shooter</t>
        </is>
      </c>
      <c r="B1811" t="inlineStr">
        <is>
          <t>/Users/manczg/Documents/development/udemy-top-down-shooter/Assets/PlayerWeaponController.cs</t>
        </is>
      </c>
      <c r="C1811" t="inlineStr">
        <is>
          <t>tests-01</t>
        </is>
      </c>
      <c r="D1811" t="n">
        <v>5</v>
      </c>
      <c r="E1811" t="inlineStr">
        <is>
          <t>FP</t>
        </is>
      </c>
      <c r="F1811" t="inlineStr">
        <is>
          <t>repo has zero test files; baseline rule requires single project-level finding, not per-file</t>
        </is>
      </c>
    </row>
    <row r="1812">
      <c r="A1812" t="inlineStr">
        <is>
          <t>udemy-top-down-shooter</t>
        </is>
      </c>
      <c r="B1812" t="inlineStr">
        <is>
          <t>/Users/manczg/Documents/development/udemy-top-down-shooter/Assets/LeftHandTargetTransform.cs</t>
        </is>
      </c>
      <c r="C1812" t="inlineStr">
        <is>
          <t>tests-01</t>
        </is>
      </c>
      <c r="D1812" t="n">
        <v>5</v>
      </c>
      <c r="E1812" t="inlineStr">
        <is>
          <t>FP</t>
        </is>
      </c>
      <c r="F1812" t="inlineStr">
        <is>
          <t>repo has zero test files; baseline rule requires single project-level finding, not per-file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file</t>
        </is>
      </c>
      <c r="C1" s="1" t="inlineStr">
        <is>
          <t>check</t>
        </is>
      </c>
      <c r="D1" s="1" t="inlineStr">
        <is>
          <t>line</t>
        </is>
      </c>
      <c r="E1" s="1" t="inlineStr">
        <is>
          <t>note</t>
        </is>
      </c>
      <c r="F1" s="1" t="inlineStr">
        <is>
          <t>matched</t>
        </is>
      </c>
    </row>
    <row r="2">
      <c r="A2" t="inlineStr">
        <is>
          <t>archon-search</t>
        </is>
      </c>
      <c r="B2" t="inlineStr">
        <is>
          <t>/Users/manczg/Documents/development/archon-search/archon_search/pipeline.py</t>
        </is>
      </c>
      <c r="C2" t="inlineStr">
        <is>
          <t>clarity-06</t>
        </is>
      </c>
      <c r="D2" t="n">
        <v>3313</v>
      </c>
      <c r="E2" t="inlineStr">
        <is>
          <t>result_obj — noise-word "obj" suffix adds no meaning</t>
        </is>
      </c>
      <c r="F2" t="b">
        <v>0</v>
      </c>
    </row>
    <row r="3">
      <c r="A3" t="inlineStr">
        <is>
          <t>archon-search</t>
        </is>
      </c>
      <c r="B3" t="inlineStr">
        <is>
          <t>/Users/manczg/Documents/development/archon-search/archon_search/pipeline.py</t>
        </is>
      </c>
      <c r="C3" t="inlineStr">
        <is>
          <t>clarity-09</t>
        </is>
      </c>
      <c r="D3" t="n">
        <v>864</v>
      </c>
      <c r="E3" t="inlineStr">
        <is>
          <t>4-clause synonym-edges condition inlined in if, not named</t>
        </is>
      </c>
      <c r="F3" t="b">
        <v>1</v>
      </c>
    </row>
    <row r="4">
      <c r="A4" t="inlineStr">
        <is>
          <t>archon-search</t>
        </is>
      </c>
      <c r="B4" t="inlineStr">
        <is>
          <t>/Users/manczg/Documents/development/archon-search/archon_search/pipeline.py</t>
        </is>
      </c>
      <c r="C4" t="inlineStr">
        <is>
          <t>clarity-09</t>
        </is>
      </c>
      <c r="D4" t="n">
        <v>1059</v>
      </c>
      <c r="E4" t="inlineStr">
        <is>
          <t>4-clause rag_fusion guard inlined in if, not named</t>
        </is>
      </c>
      <c r="F4" t="b">
        <v>1</v>
      </c>
    </row>
    <row r="5">
      <c r="A5" t="inlineStr">
        <is>
          <t>archon-search</t>
        </is>
      </c>
      <c r="B5" t="inlineStr">
        <is>
          <t>/Users/manczg/Documents/development/archon-search/archon_search/pipeline.py</t>
        </is>
      </c>
      <c r="C5" t="inlineStr">
        <is>
          <t>clarity-09</t>
        </is>
      </c>
      <c r="D5" t="n">
        <v>1801</v>
      </c>
      <c r="E5" t="inlineStr">
        <is>
          <t>3-clause rerank/collections/reranker condition inlined</t>
        </is>
      </c>
      <c r="F5" t="b">
        <v>1</v>
      </c>
    </row>
    <row r="6">
      <c r="A6" t="inlineStr">
        <is>
          <t>archon-search</t>
        </is>
      </c>
      <c r="B6" t="inlineStr">
        <is>
          <t>/Users/manczg/Documents/development/archon-search/archon_search/pipeline.py</t>
        </is>
      </c>
      <c r="C6" t="inlineStr">
        <is>
          <t>clarity-09</t>
        </is>
      </c>
      <c r="D6" t="n">
        <v>1960</v>
      </c>
      <c r="E6" t="inlineStr">
        <is>
          <t>same 4-clause rag_fusion guard duplicated in explain()</t>
        </is>
      </c>
      <c r="F6" t="b">
        <v>1</v>
      </c>
    </row>
    <row r="7">
      <c r="A7" t="inlineStr">
        <is>
          <t>archon-search</t>
        </is>
      </c>
      <c r="B7" t="inlineStr">
        <is>
          <t>/Users/manczg/Documents/development/archon-search/archon_search/pipeline.py</t>
        </is>
      </c>
      <c r="C7" t="inlineStr">
        <is>
          <t>clarity-09</t>
        </is>
      </c>
      <c r="D7" t="n">
        <v>2672</v>
      </c>
      <c r="E7" t="inlineStr">
        <is>
          <t>same 4-clause rag_fusion guard duplicated in search_many()</t>
        </is>
      </c>
      <c r="F7" t="b">
        <v>1</v>
      </c>
    </row>
    <row r="8">
      <c r="A8" t="inlineStr">
        <is>
          <t>archon-search</t>
        </is>
      </c>
      <c r="B8" t="inlineStr">
        <is>
          <t>/Users/manczg/Documents/development/archon-search/archon_search/pipeline.py</t>
        </is>
      </c>
      <c r="C8" t="inlineStr">
        <is>
          <t>clarity-16</t>
        </is>
      </c>
      <c r="D8" t="n">
        <v>421</v>
      </c>
      <c r="E8" t="inlineStr">
        <is>
          <t>ingest_file — dozens of nested if/try branches</t>
        </is>
      </c>
      <c r="F8" t="b">
        <v>1</v>
      </c>
    </row>
    <row r="9">
      <c r="A9" t="inlineStr">
        <is>
          <t>archon-search</t>
        </is>
      </c>
      <c r="B9" t="inlineStr">
        <is>
          <t>/Users/manczg/Documents/development/archon-search/archon_search/pipeline.py</t>
        </is>
      </c>
      <c r="C9" t="inlineStr">
        <is>
          <t>clarity-16</t>
        </is>
      </c>
      <c r="D9" t="n">
        <v>888</v>
      </c>
      <c r="E9" t="inlineStr">
        <is>
          <t>ingest_directory — high branch count across glob/progress/description</t>
        </is>
      </c>
      <c r="F9" t="b">
        <v>1</v>
      </c>
    </row>
    <row r="10">
      <c r="A10" t="inlineStr">
        <is>
          <t>archon-search</t>
        </is>
      </c>
      <c r="B10" t="inlineStr">
        <is>
          <t>/Users/manczg/Documents/development/archon-search/archon_search/pipeline.py</t>
        </is>
      </c>
      <c r="C10" t="inlineStr">
        <is>
          <t>clarity-16</t>
        </is>
      </c>
      <c r="D10" t="n">
        <v>1019</v>
      </c>
      <c r="E10" t="inlineStr">
        <is>
          <t>search — branches across graph modes, RAG fusion, standard path</t>
        </is>
      </c>
      <c r="F10" t="b">
        <v>1</v>
      </c>
    </row>
    <row r="11">
      <c r="A11" t="inlineStr">
        <is>
          <t>archon-search</t>
        </is>
      </c>
      <c r="B11" t="inlineStr">
        <is>
          <t>/Users/manczg/Documents/development/archon-search/archon_search/pipeline.py</t>
        </is>
      </c>
      <c r="C11" t="inlineStr">
        <is>
          <t>clarity-16</t>
        </is>
      </c>
      <c r="D11" t="n">
        <v>1226</v>
      </c>
      <c r="E11" t="inlineStr">
        <is>
          <t>_search_graph_mode — nested dispatch + fallback branches</t>
        </is>
      </c>
      <c r="F11" t="b">
        <v>1</v>
      </c>
    </row>
    <row r="12">
      <c r="A12" t="inlineStr">
        <is>
          <t>archon-search</t>
        </is>
      </c>
      <c r="B12" t="inlineStr">
        <is>
          <t>/Users/manczg/Documents/development/archon-search/archon_search/pipeline.py</t>
        </is>
      </c>
      <c r="C12" t="inlineStr">
        <is>
          <t>clarity-16</t>
        </is>
      </c>
      <c r="D12" t="n">
        <v>1313</v>
      </c>
      <c r="E12" t="inlineStr">
        <is>
          <t>_search_ppr_mode — long chain of sequential fallback branches</t>
        </is>
      </c>
      <c r="F12" t="b">
        <v>1</v>
      </c>
    </row>
    <row r="13">
      <c r="A13" t="inlineStr">
        <is>
          <t>archon-search</t>
        </is>
      </c>
      <c r="B13" t="inlineStr">
        <is>
          <t>/Users/manczg/Documents/development/archon-search/archon_search/pipeline.py</t>
        </is>
      </c>
      <c r="C13" t="inlineStr">
        <is>
          <t>clarity-16</t>
        </is>
      </c>
      <c r="D13" t="n">
        <v>1459</v>
      </c>
      <c r="E13" t="inlineStr">
        <is>
          <t>_search_local_mode — 10-step branching logic</t>
        </is>
      </c>
      <c r="F13" t="b">
        <v>1</v>
      </c>
    </row>
    <row r="14">
      <c r="A14" t="inlineStr">
        <is>
          <t>archon-search</t>
        </is>
      </c>
      <c r="B14" t="inlineStr">
        <is>
          <t>/Users/manczg/Documents/development/archon-search/archon_search/pipeline.py</t>
        </is>
      </c>
      <c r="C14" t="inlineStr">
        <is>
          <t>clarity-16</t>
        </is>
      </c>
      <c r="D14" t="n">
        <v>1740</v>
      </c>
      <c r="E14" t="inlineStr">
        <is>
          <t>explain — huge branching across graph/RAG-fusion/multi-collection paths</t>
        </is>
      </c>
      <c r="F14" t="b">
        <v>1</v>
      </c>
    </row>
    <row r="15">
      <c r="A15" t="inlineStr">
        <is>
          <t>archon-search</t>
        </is>
      </c>
      <c r="B15" t="inlineStr">
        <is>
          <t>/Users/manczg/Documents/development/archon-search/archon_search/pipeline.py</t>
        </is>
      </c>
      <c r="C15" t="inlineStr">
        <is>
          <t>clarity-16</t>
        </is>
      </c>
      <c r="D15" t="n">
        <v>2378</v>
      </c>
      <c r="E15" t="inlineStr">
        <is>
          <t>_explain_community_candidates — nested local/global branching</t>
        </is>
      </c>
      <c r="F15" t="b">
        <v>1</v>
      </c>
    </row>
    <row r="16">
      <c r="A16" t="inlineStr">
        <is>
          <t>archon-search</t>
        </is>
      </c>
      <c r="B16" t="inlineStr">
        <is>
          <t>/Users/manczg/Documents/development/archon-search/archon_search/pipeline.py</t>
        </is>
      </c>
      <c r="C16" t="inlineStr">
        <is>
          <t>clarity-16</t>
        </is>
      </c>
      <c r="D16" t="n">
        <v>2624</v>
      </c>
      <c r="E16" t="inlineStr">
        <is>
          <t>search_many — extremely high branching (fusion, 3 graph modes, standard)</t>
        </is>
      </c>
      <c r="F16" t="b">
        <v>1</v>
      </c>
    </row>
    <row r="17">
      <c r="A17" t="inlineStr">
        <is>
          <t>archon-search</t>
        </is>
      </c>
      <c r="B17" t="inlineStr">
        <is>
          <t>/Users/manczg/Documents/development/archon-search/archon_search/pipeline.py</t>
        </is>
      </c>
      <c r="C17" t="inlineStr">
        <is>
          <t>clarity-17</t>
        </is>
      </c>
      <c r="D17" t="n">
        <v>421</v>
      </c>
      <c r="E17" t="inlineStr">
        <is>
          <t>ingest_file spans ~465 lines</t>
        </is>
      </c>
      <c r="F17" t="b">
        <v>1</v>
      </c>
    </row>
    <row r="18">
      <c r="A18" t="inlineStr">
        <is>
          <t>archon-search</t>
        </is>
      </c>
      <c r="B18" t="inlineStr">
        <is>
          <t>/Users/manczg/Documents/development/archon-search/archon_search/pipeline.py</t>
        </is>
      </c>
      <c r="C18" t="inlineStr">
        <is>
          <t>clarity-17</t>
        </is>
      </c>
      <c r="D18" t="n">
        <v>888</v>
      </c>
      <c r="E18" t="inlineStr">
        <is>
          <t>ingest_directory spans ~125 lines</t>
        </is>
      </c>
      <c r="F18" t="b">
        <v>0</v>
      </c>
    </row>
    <row r="19">
      <c r="A19" t="inlineStr">
        <is>
          <t>archon-search</t>
        </is>
      </c>
      <c r="B19" t="inlineStr">
        <is>
          <t>/Users/manczg/Documents/development/archon-search/archon_search/pipeline.py</t>
        </is>
      </c>
      <c r="C19" t="inlineStr">
        <is>
          <t>clarity-17</t>
        </is>
      </c>
      <c r="D19" t="n">
        <v>1019</v>
      </c>
      <c r="E19" t="inlineStr">
        <is>
          <t>search spans ~205 lines</t>
        </is>
      </c>
      <c r="F19" t="b">
        <v>1</v>
      </c>
    </row>
    <row r="20">
      <c r="A20" t="inlineStr">
        <is>
          <t>archon-search</t>
        </is>
      </c>
      <c r="B20" t="inlineStr">
        <is>
          <t>/Users/manczg/Documents/development/archon-search/archon_search/pipeline.py</t>
        </is>
      </c>
      <c r="C20" t="inlineStr">
        <is>
          <t>clarity-17</t>
        </is>
      </c>
      <c r="D20" t="n">
        <v>1313</v>
      </c>
      <c r="E20" t="inlineStr">
        <is>
          <t>_search_ppr_mode spans ~144 lines</t>
        </is>
      </c>
      <c r="F20" t="b">
        <v>0</v>
      </c>
    </row>
    <row r="21">
      <c r="A21" t="inlineStr">
        <is>
          <t>archon-search</t>
        </is>
      </c>
      <c r="B21" t="inlineStr">
        <is>
          <t>/Users/manczg/Documents/development/archon-search/archon_search/pipeline.py</t>
        </is>
      </c>
      <c r="C21" t="inlineStr">
        <is>
          <t>clarity-17</t>
        </is>
      </c>
      <c r="D21" t="n">
        <v>1459</v>
      </c>
      <c r="E21" t="inlineStr">
        <is>
          <t>_search_local_mode spans ~222 lines</t>
        </is>
      </c>
      <c r="F21" t="b">
        <v>1</v>
      </c>
    </row>
    <row r="22">
      <c r="A22" t="inlineStr">
        <is>
          <t>archon-search</t>
        </is>
      </c>
      <c r="B22" t="inlineStr">
        <is>
          <t>/Users/manczg/Documents/development/archon-search/archon_search/pipeline.py</t>
        </is>
      </c>
      <c r="C22" t="inlineStr">
        <is>
          <t>clarity-17</t>
        </is>
      </c>
      <c r="D22" t="n">
        <v>1740</v>
      </c>
      <c r="E22" t="inlineStr">
        <is>
          <t>explain spans ~365 lines</t>
        </is>
      </c>
      <c r="F22" t="b">
        <v>1</v>
      </c>
    </row>
    <row r="23">
      <c r="A23" t="inlineStr">
        <is>
          <t>archon-search</t>
        </is>
      </c>
      <c r="B23" t="inlineStr">
        <is>
          <t>/Users/manczg/Documents/development/archon-search/archon_search/pipeline.py</t>
        </is>
      </c>
      <c r="C23" t="inlineStr">
        <is>
          <t>clarity-17</t>
        </is>
      </c>
      <c r="D23" t="n">
        <v>2378</v>
      </c>
      <c r="E23" t="inlineStr">
        <is>
          <t>_explain_community_candidates spans ~184 lines</t>
        </is>
      </c>
      <c r="F23" t="b">
        <v>1</v>
      </c>
    </row>
    <row r="24">
      <c r="A24" t="inlineStr">
        <is>
          <t>archon-search</t>
        </is>
      </c>
      <c r="B24" t="inlineStr">
        <is>
          <t>/Users/manczg/Documents/development/archon-search/archon_search/pipeline.py</t>
        </is>
      </c>
      <c r="C24" t="inlineStr">
        <is>
          <t>clarity-17</t>
        </is>
      </c>
      <c r="D24" t="n">
        <v>2624</v>
      </c>
      <c r="E24" t="inlineStr">
        <is>
          <t>search_many spans ~576 lines</t>
        </is>
      </c>
      <c r="F24" t="b">
        <v>1</v>
      </c>
    </row>
    <row r="25">
      <c r="A25" t="inlineStr">
        <is>
          <t>archon-search</t>
        </is>
      </c>
      <c r="B25" t="inlineStr">
        <is>
          <t>/Users/manczg/Documents/development/archon-search/archon_search/pipeline.py</t>
        </is>
      </c>
      <c r="C25" t="inlineStr">
        <is>
          <t>smells-01</t>
        </is>
      </c>
      <c r="D25" t="n">
        <v>1</v>
      </c>
      <c r="E25" t="inlineStr">
        <is>
          <t>module is 3636 lines, far past a reasonable file size</t>
        </is>
      </c>
      <c r="F25" t="b">
        <v>1</v>
      </c>
    </row>
    <row r="26">
      <c r="A26" t="inlineStr">
        <is>
          <t>archon-search</t>
        </is>
      </c>
      <c r="B26" t="inlineStr">
        <is>
          <t>/Users/manczg/Documents/development/archon-search/archon_search/pipeline.py</t>
        </is>
      </c>
      <c r="C26" t="inlineStr">
        <is>
          <t>smells-02</t>
        </is>
      </c>
      <c r="D26" t="n">
        <v>313</v>
      </c>
      <c r="E26" t="inlineStr">
        <is>
          <t>SearchPipeline.__init__ takes 20 parameters</t>
        </is>
      </c>
      <c r="F26" t="b">
        <v>1</v>
      </c>
    </row>
    <row r="27">
      <c r="A27" t="inlineStr">
        <is>
          <t>archon-search</t>
        </is>
      </c>
      <c r="B27" t="inlineStr">
        <is>
          <t>/Users/manczg/Documents/development/archon-search/archon_search/pipeline.py</t>
        </is>
      </c>
      <c r="C27" t="inlineStr">
        <is>
          <t>smells-02</t>
        </is>
      </c>
      <c r="D27" t="n">
        <v>421</v>
      </c>
      <c r="E27" t="inlineStr">
        <is>
          <t>ingest_file takes 11 parameters</t>
        </is>
      </c>
      <c r="F27" t="b">
        <v>1</v>
      </c>
    </row>
    <row r="28">
      <c r="A28" t="inlineStr">
        <is>
          <t>archon-search</t>
        </is>
      </c>
      <c r="B28" t="inlineStr">
        <is>
          <t>/Users/manczg/Documents/development/archon-search/archon_search/pipeline.py</t>
        </is>
      </c>
      <c r="C28" t="inlineStr">
        <is>
          <t>smells-02</t>
        </is>
      </c>
      <c r="D28" t="n">
        <v>888</v>
      </c>
      <c r="E28" t="inlineStr">
        <is>
          <t>ingest_directory takes 14 parameters</t>
        </is>
      </c>
      <c r="F28" t="b">
        <v>1</v>
      </c>
    </row>
    <row r="29">
      <c r="A29" t="inlineStr">
        <is>
          <t>archon-search</t>
        </is>
      </c>
      <c r="B29" t="inlineStr">
        <is>
          <t>/Users/manczg/Documents/development/archon-search/archon_search/pipeline.py</t>
        </is>
      </c>
      <c r="C29" t="inlineStr">
        <is>
          <t>smells-02</t>
        </is>
      </c>
      <c r="D29" t="n">
        <v>1019</v>
      </c>
      <c r="E29" t="inlineStr">
        <is>
          <t>search takes 11 parameters</t>
        </is>
      </c>
      <c r="F29" t="b">
        <v>1</v>
      </c>
    </row>
    <row r="30">
      <c r="A30" t="inlineStr">
        <is>
          <t>archon-search</t>
        </is>
      </c>
      <c r="B30" t="inlineStr">
        <is>
          <t>/Users/manczg/Documents/development/archon-search/archon_search/pipeline.py</t>
        </is>
      </c>
      <c r="C30" t="inlineStr">
        <is>
          <t>smells-02</t>
        </is>
      </c>
      <c r="D30" t="n">
        <v>1740</v>
      </c>
      <c r="E30" t="inlineStr">
        <is>
          <t>explain takes 13 parameters</t>
        </is>
      </c>
      <c r="F30" t="b">
        <v>1</v>
      </c>
    </row>
    <row r="31">
      <c r="A31" t="inlineStr">
        <is>
          <t>archon-search</t>
        </is>
      </c>
      <c r="B31" t="inlineStr">
        <is>
          <t>/Users/manczg/Documents/development/archon-search/archon_search/pipeline.py</t>
        </is>
      </c>
      <c r="C31" t="inlineStr">
        <is>
          <t>smells-02</t>
        </is>
      </c>
      <c r="D31" t="n">
        <v>2624</v>
      </c>
      <c r="E31" t="inlineStr">
        <is>
          <t>search_many takes 10 parameters</t>
        </is>
      </c>
      <c r="F31" t="b">
        <v>1</v>
      </c>
    </row>
    <row r="32">
      <c r="A32" t="inlineStr">
        <is>
          <t>archon-search</t>
        </is>
      </c>
      <c r="B32" t="inlineStr">
        <is>
          <t>/Users/manczg/Documents/development/archon-search/archon_search/pipeline.py</t>
        </is>
      </c>
      <c r="C32" t="inlineStr">
        <is>
          <t>smells-03</t>
        </is>
      </c>
      <c r="D32" t="n">
        <v>425</v>
      </c>
      <c r="E32" t="inlineStr">
        <is>
          <t>ingest_file rebuild_fts: bool = True</t>
        </is>
      </c>
      <c r="F32" t="b">
        <v>1</v>
      </c>
    </row>
    <row r="33">
      <c r="A33" t="inlineStr">
        <is>
          <t>archon-search</t>
        </is>
      </c>
      <c r="B33" t="inlineStr">
        <is>
          <t>/Users/manczg/Documents/development/archon-search/archon_search/pipeline.py</t>
        </is>
      </c>
      <c r="C33" t="inlineStr">
        <is>
          <t>smells-03</t>
        </is>
      </c>
      <c r="D33" t="n">
        <v>894</v>
      </c>
      <c r="E33" t="inlineStr">
        <is>
          <t>ingest_directory force_regenerate_description: bool = False</t>
        </is>
      </c>
      <c r="F33" t="b">
        <v>1</v>
      </c>
    </row>
    <row r="34">
      <c r="A34" t="inlineStr">
        <is>
          <t>archon-search</t>
        </is>
      </c>
      <c r="B34" t="inlineStr">
        <is>
          <t>/Users/manczg/Documents/development/archon-search/archon_search/pipeline.py</t>
        </is>
      </c>
      <c r="C34" t="inlineStr">
        <is>
          <t>smells-03</t>
        </is>
      </c>
      <c r="D34" t="n">
        <v>1028</v>
      </c>
      <c r="E34" t="inlineStr">
        <is>
          <t>search rag_fusion: bool = False</t>
        </is>
      </c>
      <c r="F34" t="b">
        <v>1</v>
      </c>
    </row>
    <row r="35">
      <c r="A35" t="inlineStr">
        <is>
          <t>archon-search</t>
        </is>
      </c>
      <c r="B35" t="inlineStr">
        <is>
          <t>/Users/manczg/Documents/development/archon-search/archon_search/pipeline.py</t>
        </is>
      </c>
      <c r="C35" t="inlineStr">
        <is>
          <t>smells-03</t>
        </is>
      </c>
      <c r="D35" t="n">
        <v>1747</v>
      </c>
      <c r="E35" t="inlineStr">
        <is>
          <t>explain rerank: bool = True</t>
        </is>
      </c>
      <c r="F35" t="b">
        <v>1</v>
      </c>
    </row>
    <row r="36">
      <c r="A36" t="inlineStr">
        <is>
          <t>archon-search</t>
        </is>
      </c>
      <c r="B36" t="inlineStr">
        <is>
          <t>/Users/manczg/Documents/development/archon-search/archon_search/pipeline.py</t>
        </is>
      </c>
      <c r="C36" t="inlineStr">
        <is>
          <t>smells-03</t>
        </is>
      </c>
      <c r="D36" t="n">
        <v>3371</v>
      </c>
      <c r="E36" t="inlineStr">
        <is>
          <t>delete_by_source_path skip_fts_optimize: bool = False</t>
        </is>
      </c>
      <c r="F36" t="b">
        <v>1</v>
      </c>
    </row>
    <row r="37">
      <c r="A37" t="inlineStr">
        <is>
          <t>archon-search</t>
        </is>
      </c>
      <c r="B37" t="inlineStr">
        <is>
          <t>/Users/manczg/Documents/development/archon-search/archon_search/pipeline.py</t>
        </is>
      </c>
      <c r="C37" t="inlineStr">
        <is>
          <t>smells-03</t>
        </is>
      </c>
      <c r="D37" t="n">
        <v>3441</v>
      </c>
      <c r="E37" t="inlineStr">
        <is>
          <t>recompute_collection_meta force: bool = False</t>
        </is>
      </c>
      <c r="F37" t="b">
        <v>1</v>
      </c>
    </row>
    <row r="38">
      <c r="A38" t="inlineStr">
        <is>
          <t>archon-search</t>
        </is>
      </c>
      <c r="B38" t="inlineStr">
        <is>
          <t>/Users/manczg/Documents/development/archon-search/archon_search/pipeline.py</t>
        </is>
      </c>
      <c r="C38" t="inlineStr">
        <is>
          <t>smells-08</t>
        </is>
      </c>
      <c r="D38" t="n">
        <v>3414</v>
      </c>
      <c r="E38" t="inlineStr">
        <is>
          <t>get_collection_meta returns CollectionMeta | None, every caller must null-check</t>
        </is>
      </c>
      <c r="F38" t="b">
        <v>1</v>
      </c>
    </row>
    <row r="39">
      <c r="A39" t="inlineStr">
        <is>
          <t>archon-search</t>
        </is>
      </c>
      <c r="B39" t="inlineStr">
        <is>
          <t>/Users/manczg/Documents/development/archon-search/archon_search/pipeline.py</t>
        </is>
      </c>
      <c r="C39" t="inlineStr">
        <is>
          <t>smells-12</t>
        </is>
      </c>
      <c r="D39" t="n">
        <v>297</v>
      </c>
      <c r="E39" t="inlineStr">
        <is>
          <t>except Exception: return {}, text — swallows yaml parse/import errors with no logging</t>
        </is>
      </c>
      <c r="F39" t="b">
        <v>1</v>
      </c>
    </row>
    <row r="40">
      <c r="A40" t="inlineStr">
        <is>
          <t>archon-search</t>
        </is>
      </c>
      <c r="B40" t="inlineStr">
        <is>
          <t>/Users/manczg/Documents/development/archon-search/archon_search/pipeline.py</t>
        </is>
      </c>
      <c r="C40" t="inlineStr">
        <is>
          <t>smells-21</t>
        </is>
      </c>
      <c r="D40" t="n">
        <v>176</v>
      </c>
      <c r="E40" t="inlineStr">
        <is>
          <t># type: ignore[arg-type]</t>
        </is>
      </c>
      <c r="F40" t="b">
        <v>0</v>
      </c>
    </row>
    <row r="41">
      <c r="A41" t="inlineStr">
        <is>
          <t>archon-search</t>
        </is>
      </c>
      <c r="B41" t="inlineStr">
        <is>
          <t>/Users/manczg/Documents/development/archon-search/archon_search/pipeline.py</t>
        </is>
      </c>
      <c r="C41" t="inlineStr">
        <is>
          <t>smells-21</t>
        </is>
      </c>
      <c r="D41" t="n">
        <v>1047</v>
      </c>
      <c r="E41" t="inlineStr">
        <is>
          <t># type: ignore[return-value]</t>
        </is>
      </c>
      <c r="F41" t="b">
        <v>0</v>
      </c>
    </row>
    <row r="42">
      <c r="A42" t="inlineStr">
        <is>
          <t>archon-search</t>
        </is>
      </c>
      <c r="B42" t="inlineStr">
        <is>
          <t>/Users/manczg/Documents/development/archon-search/archon_search/pipeline.py</t>
        </is>
      </c>
      <c r="C42" t="inlineStr">
        <is>
          <t>smells-21</t>
        </is>
      </c>
      <c r="D42" t="n">
        <v>1159</v>
      </c>
      <c r="E42" t="inlineStr">
        <is>
          <t># type: ignore[arg-type]</t>
        </is>
      </c>
      <c r="F42" t="b">
        <v>0</v>
      </c>
    </row>
    <row r="43">
      <c r="A43" t="inlineStr">
        <is>
          <t>archon-search</t>
        </is>
      </c>
      <c r="B43" t="inlineStr">
        <is>
          <t>/Users/manczg/Documents/development/archon-search/archon_search/pipeline.py</t>
        </is>
      </c>
      <c r="C43" t="inlineStr">
        <is>
          <t>smells-21</t>
        </is>
      </c>
      <c r="D43" t="n">
        <v>3205</v>
      </c>
      <c r="E43" t="inlineStr">
        <is>
          <t># type: ignore[no-untyped-def]</t>
        </is>
      </c>
      <c r="F43" t="b">
        <v>0</v>
      </c>
    </row>
    <row r="44">
      <c r="A44" t="inlineStr">
        <is>
          <t>archon-search</t>
        </is>
      </c>
      <c r="B44" t="inlineStr">
        <is>
          <t>/Users/manczg/Documents/development/archon-search/archon_search/pipeline.py</t>
        </is>
      </c>
      <c r="C44" t="inlineStr">
        <is>
          <t>smells-21</t>
        </is>
      </c>
      <c r="D44" t="n">
        <v>3215</v>
      </c>
      <c r="E44" t="inlineStr">
        <is>
          <t># type: ignore[no-untyped-def]</t>
        </is>
      </c>
      <c r="F44" t="b">
        <v>0</v>
      </c>
    </row>
    <row r="45">
      <c r="A45" t="inlineStr">
        <is>
          <t>archon-search</t>
        </is>
      </c>
      <c r="B45" t="inlineStr">
        <is>
          <t>/Users/manczg/Documents/development/archon-search/archon_search/pipeline.py</t>
        </is>
      </c>
      <c r="C45" t="inlineStr">
        <is>
          <t>solid-07</t>
        </is>
      </c>
      <c r="D45" t="n">
        <v>615</v>
      </c>
      <c r="E45" t="inlineStr">
        <is>
          <t>chunk_id built via f"{doc_id}-{idx:06d}" string formatting instead of a value type</t>
        </is>
      </c>
      <c r="F45" t="b">
        <v>0</v>
      </c>
    </row>
    <row r="46">
      <c r="A46" t="inlineStr">
        <is>
          <t>archon-search</t>
        </is>
      </c>
      <c r="B46" t="inlineStr">
        <is>
          <t>/Users/manczg/Documents/development/archon-search/archon_search/pipeline.py</t>
        </is>
      </c>
      <c r="C46" t="inlineStr">
        <is>
          <t>solid-07</t>
        </is>
      </c>
      <c r="D46" t="n">
        <v>3325</v>
      </c>
      <c r="E46" t="inlineStr">
        <is>
          <t>chunk_id parsed back via string split to recover its index</t>
        </is>
      </c>
      <c r="F46" t="b">
        <v>0</v>
      </c>
    </row>
    <row r="47">
      <c r="A47" t="inlineStr">
        <is>
          <t>archon-search</t>
        </is>
      </c>
      <c r="B47" t="inlineStr">
        <is>
          <t>/Users/manczg/Documents/development/archon-search/archon_search/pipeline.py</t>
        </is>
      </c>
      <c r="C47" t="inlineStr">
        <is>
          <t>solid-07</t>
        </is>
      </c>
      <c r="D47" t="n">
        <v>3340</v>
      </c>
      <c r="E47" t="inlineStr">
        <is>
          <t>same fragile chunk_id split/parse repeated for neighbor chunk</t>
        </is>
      </c>
      <c r="F47" t="b">
        <v>0</v>
      </c>
    </row>
    <row r="48">
      <c r="A48" t="inlineStr">
        <is>
          <t>archon-search</t>
        </is>
      </c>
      <c r="B48" t="inlineStr">
        <is>
          <t>/Users/manczg/Documents/development/archon-search/archon_search/pipeline.py</t>
        </is>
      </c>
      <c r="C48" t="inlineStr">
        <is>
          <t>solid-15</t>
        </is>
      </c>
      <c r="D48" t="n">
        <v>1040</v>
      </c>
      <c r="E48" t="inlineStr">
        <is>
          <t>search() dispatches on graph_mode string via sequential ifs</t>
        </is>
      </c>
      <c r="F48" t="b">
        <v>0</v>
      </c>
    </row>
    <row r="49">
      <c r="A49" t="inlineStr">
        <is>
          <t>archon-search</t>
        </is>
      </c>
      <c r="B49" t="inlineStr">
        <is>
          <t>/Users/manczg/Documents/development/archon-search/archon_search/pipeline.py</t>
        </is>
      </c>
      <c r="C49" t="inlineStr">
        <is>
          <t>solid-15</t>
        </is>
      </c>
      <c r="D49" t="n">
        <v>1245</v>
      </c>
      <c r="E49" t="inlineStr">
        <is>
          <t>_search_graph_mode dispatches on graph_mode string</t>
        </is>
      </c>
      <c r="F49" t="b">
        <v>0</v>
      </c>
    </row>
    <row r="50">
      <c r="A50" t="inlineStr">
        <is>
          <t>archon-search</t>
        </is>
      </c>
      <c r="B50" t="inlineStr">
        <is>
          <t>/Users/manczg/Documents/development/archon-search/archon_search/pipeline.py</t>
        </is>
      </c>
      <c r="C50" t="inlineStr">
        <is>
          <t>solid-15</t>
        </is>
      </c>
      <c r="D50" t="n">
        <v>1874</v>
      </c>
      <c r="E50" t="inlineStr">
        <is>
          <t>explain() dispatches on graph_mode string</t>
        </is>
      </c>
      <c r="F50" t="b">
        <v>0</v>
      </c>
    </row>
    <row r="51">
      <c r="A51" t="inlineStr">
        <is>
          <t>archon-search</t>
        </is>
      </c>
      <c r="B51" t="inlineStr">
        <is>
          <t>/Users/manczg/Documents/development/archon-search/archon_search/pipeline.py</t>
        </is>
      </c>
      <c r="C51" t="inlineStr">
        <is>
          <t>solid-15</t>
        </is>
      </c>
      <c r="D51" t="n">
        <v>2838</v>
      </c>
      <c r="E51" t="inlineStr">
        <is>
          <t>search_many dispatches on graph_mode string</t>
        </is>
      </c>
      <c r="F51" t="b">
        <v>0</v>
      </c>
    </row>
    <row r="52">
      <c r="A52" t="inlineStr">
        <is>
          <t>archon-search</t>
        </is>
      </c>
      <c r="B52" t="inlineStr">
        <is>
          <t>/Users/manczg/Documents/development/archon-search/archon_search/pipeline.py</t>
        </is>
      </c>
      <c r="C52" t="inlineStr">
        <is>
          <t>arch-05</t>
        </is>
      </c>
      <c r="D52" t="n">
        <v>1274</v>
      </c>
      <c r="E52" t="inlineStr">
        <is>
          <t>store.get_chunks_by_ids call unguarded, infra exception can leak (contrast explain's ExplainStageError wrapping)</t>
        </is>
      </c>
      <c r="F52" t="b">
        <v>0</v>
      </c>
    </row>
    <row r="53">
      <c r="A53" t="inlineStr">
        <is>
          <t>archon-search</t>
        </is>
      </c>
      <c r="B53" t="inlineStr">
        <is>
          <t>/Users/manczg/Documents/development/archon-search/archon_search/pipeline.py</t>
        </is>
      </c>
      <c r="C53" t="inlineStr">
        <is>
          <t>arch-05</t>
        </is>
      </c>
      <c r="D53" t="n">
        <v>1604</v>
      </c>
      <c r="E53" t="inlineStr">
        <is>
          <t>store.get_chunks_by_ids call unguarded in _search_local_mode</t>
        </is>
      </c>
      <c r="F53" t="b">
        <v>0</v>
      </c>
    </row>
    <row r="54">
      <c r="A54" t="inlineStr">
        <is>
          <t>archon-search</t>
        </is>
      </c>
      <c r="B54" t="inlineStr">
        <is>
          <t>/Users/manczg/Documents/development/archon-search/archon_search/pipeline.py</t>
        </is>
      </c>
      <c r="C54" t="inlineStr">
        <is>
          <t>arch-05</t>
        </is>
      </c>
      <c r="D54" t="n">
        <v>1700</v>
      </c>
      <c r="E54" t="inlineStr">
        <is>
          <t>store.hybrid_search_with_trace unguarded in _search_standard, unlike identical call in _explain_standard which wraps it in ExplainStageError</t>
        </is>
      </c>
      <c r="F54" t="b">
        <v>0</v>
      </c>
    </row>
    <row r="55">
      <c r="A55" t="inlineStr">
        <is>
          <t>archon-search</t>
        </is>
      </c>
      <c r="B55" t="inlineStr">
        <is>
          <t>/Users/manczg/Documents/development/archon-search/archon_search/pipeline.py</t>
        </is>
      </c>
      <c r="C55" t="inlineStr">
        <is>
          <t>safety-06</t>
        </is>
      </c>
      <c r="D55" t="n">
        <v>450</v>
      </c>
      <c r="E55" t="inlineStr">
        <is>
          <t>os.path.getsize(path) blocking call inside async ingest_file, not offloaded</t>
        </is>
      </c>
      <c r="F55" t="b">
        <v>0</v>
      </c>
    </row>
    <row r="56">
      <c r="A56" t="inlineStr">
        <is>
          <t>archon-search</t>
        </is>
      </c>
      <c r="B56" t="inlineStr">
        <is>
          <t>/Users/manczg/Documents/development/archon-search/archon_search/pipeline.py</t>
        </is>
      </c>
      <c r="C56" t="inlineStr">
        <is>
          <t>safety-06</t>
        </is>
      </c>
      <c r="D56" t="n">
        <v>504</v>
      </c>
      <c r="E56" t="inlineStr">
        <is>
          <t>path.stat().st_mtime blocking call inside async ingest_file</t>
        </is>
      </c>
      <c r="F56" t="b">
        <v>0</v>
      </c>
    </row>
    <row r="57">
      <c r="A57" t="inlineStr">
        <is>
          <t>archon-search</t>
        </is>
      </c>
      <c r="B57" t="inlineStr">
        <is>
          <t>/Users/manczg/Documents/development/archon-search/archon_search/pipeline.py</t>
        </is>
      </c>
      <c r="C57" t="inlineStr">
        <is>
          <t>safety-06</t>
        </is>
      </c>
      <c r="D57" t="n">
        <v>908</v>
      </c>
      <c r="E57" t="inlineStr">
        <is>
          <t>path.glob(glob_pattern) blocking filesystem walk inside async ingest_directory</t>
        </is>
      </c>
      <c r="F57" t="b">
        <v>0</v>
      </c>
    </row>
    <row r="58">
      <c r="A58" t="inlineStr">
        <is>
          <t>archon-search</t>
        </is>
      </c>
      <c r="B58" t="inlineStr">
        <is>
          <t>/Users/manczg/Documents/development/archon-search/archon_search/pipeline.py</t>
        </is>
      </c>
      <c r="C58" t="inlineStr">
        <is>
          <t>safety-06</t>
        </is>
      </c>
      <c r="D58" t="n">
        <v>909</v>
      </c>
      <c r="E58" t="inlineStr">
        <is>
          <t>file_path.is_symlink() blocking stat call in async loop</t>
        </is>
      </c>
      <c r="F58" t="b">
        <v>0</v>
      </c>
    </row>
    <row r="59">
      <c r="A59" t="inlineStr">
        <is>
          <t>archon-search</t>
        </is>
      </c>
      <c r="B59" t="inlineStr">
        <is>
          <t>/Users/manczg/Documents/development/archon-search/archon_search/pipeline.py</t>
        </is>
      </c>
      <c r="C59" t="inlineStr">
        <is>
          <t>safety-06</t>
        </is>
      </c>
      <c r="D59" t="n">
        <v>911</v>
      </c>
      <c r="E59" t="inlineStr">
        <is>
          <t>file_path.is_file() blocking stat call in async loop</t>
        </is>
      </c>
      <c r="F59" t="b">
        <v>0</v>
      </c>
    </row>
    <row r="60">
      <c r="A60" t="inlineStr">
        <is>
          <t>archon-search</t>
        </is>
      </c>
      <c r="B60" t="inlineStr">
        <is>
          <t>/Users/manczg/Documents/development/archon-search/archon_search/pipeline.py</t>
        </is>
      </c>
      <c r="C60" t="inlineStr">
        <is>
          <t>safety-07</t>
        </is>
      </c>
      <c r="D60" t="n">
        <v>294</v>
      </c>
      <c r="E60" t="inlineStr">
        <is>
          <t># noqa: PLC0415 suppresses import-location lint</t>
        </is>
      </c>
      <c r="F60" t="b">
        <v>1</v>
      </c>
    </row>
    <row r="61">
      <c r="A61" t="inlineStr">
        <is>
          <t>archon-search</t>
        </is>
      </c>
      <c r="B61" t="inlineStr">
        <is>
          <t>/Users/manczg/Documents/development/archon-search/archon_search/pipeline.py</t>
        </is>
      </c>
      <c r="C61" t="inlineStr">
        <is>
          <t>safety-07</t>
        </is>
      </c>
      <c r="D61" t="n">
        <v>1065</v>
      </c>
      <c r="E61" t="inlineStr">
        <is>
          <t># noqa: PLC0415 suppresses import-location lint</t>
        </is>
      </c>
      <c r="F61" t="b">
        <v>1</v>
      </c>
    </row>
    <row r="62">
      <c r="A62" t="inlineStr">
        <is>
          <t>archon-search</t>
        </is>
      </c>
      <c r="B62" t="inlineStr">
        <is>
          <t>/Users/manczg/Documents/development/archon-search/archon_search/pipeline.py</t>
        </is>
      </c>
      <c r="C62" t="inlineStr">
        <is>
          <t>safety-07</t>
        </is>
      </c>
      <c r="D62" t="n">
        <v>1966</v>
      </c>
      <c r="E62" t="inlineStr">
        <is>
          <t># noqa: PLC0415 suppresses import-location lint</t>
        </is>
      </c>
      <c r="F62" t="b">
        <v>1</v>
      </c>
    </row>
    <row r="63">
      <c r="A63" t="inlineStr">
        <is>
          <t>archon-search</t>
        </is>
      </c>
      <c r="B63" t="inlineStr">
        <is>
          <t>/Users/manczg/Documents/development/archon-search/archon_search/pipeline.py</t>
        </is>
      </c>
      <c r="C63" t="inlineStr">
        <is>
          <t>safety-07</t>
        </is>
      </c>
      <c r="D63" t="n">
        <v>2678</v>
      </c>
      <c r="E63" t="inlineStr">
        <is>
          <t># noqa: PLC0415 suppresses import-location lint</t>
        </is>
      </c>
      <c r="F63" t="b">
        <v>1</v>
      </c>
    </row>
    <row r="64">
      <c r="A64" t="inlineStr">
        <is>
          <t>archon-search</t>
        </is>
      </c>
      <c r="B64" t="inlineStr">
        <is>
          <t>/Users/manczg/Documents/development/archon-search/archon_search/pipeline.py</t>
        </is>
      </c>
      <c r="C64" t="inlineStr">
        <is>
          <t>safety-07</t>
        </is>
      </c>
      <c r="D64" t="n">
        <v>3567</v>
      </c>
      <c r="E64" t="inlineStr">
        <is>
          <t># noqa: PLC0415 suppresses import-location lint</t>
        </is>
      </c>
      <c r="F64" t="b">
        <v>1</v>
      </c>
    </row>
    <row r="65">
      <c r="A65" t="inlineStr">
        <is>
          <t>archon-search</t>
        </is>
      </c>
      <c r="B65" t="inlineStr">
        <is>
          <t>/Users/manczg/Documents/development/archon-search/archon_search/pipeline.py</t>
        </is>
      </c>
      <c r="C65" t="inlineStr">
        <is>
          <t>safety-07</t>
        </is>
      </c>
      <c r="D65" t="n">
        <v>3574</v>
      </c>
      <c r="E65" t="inlineStr">
        <is>
          <t># noqa: PLC0415 suppresses import-location lint</t>
        </is>
      </c>
      <c r="F65" t="b">
        <v>1</v>
      </c>
    </row>
    <row r="66">
      <c r="A66" t="inlineStr">
        <is>
          <t>archon-search</t>
        </is>
      </c>
      <c r="B66" t="inlineStr">
        <is>
          <t>/Users/manczg/Documents/development/archon-search/archon_search/pipeline.py</t>
        </is>
      </c>
      <c r="C66" t="inlineStr">
        <is>
          <t>safety-07</t>
        </is>
      </c>
      <c r="D66" t="n">
        <v>3606</v>
      </c>
      <c r="E66" t="inlineStr">
        <is>
          <t># noqa: PLC0415 suppresses import-location lint</t>
        </is>
      </c>
      <c r="F66" t="b">
        <v>1</v>
      </c>
    </row>
    <row r="67">
      <c r="A67" t="inlineStr">
        <is>
          <t>archon-search</t>
        </is>
      </c>
      <c r="B67" t="inlineStr">
        <is>
          <t>/Users/manczg/Documents/development/archon-search/archon_search/pipeline.py</t>
        </is>
      </c>
      <c r="C67" t="inlineStr">
        <is>
          <t>safety-08</t>
        </is>
      </c>
      <c r="D67" t="n">
        <v>1696</v>
      </c>
      <c r="E67" t="inlineStr">
        <is>
          <t>embedder.embed_one(query) call has no timeout in _search_standard</t>
        </is>
      </c>
      <c r="F67" t="b">
        <v>0</v>
      </c>
    </row>
    <row r="68">
      <c r="A68" t="inlineStr">
        <is>
          <t>archon-search</t>
        </is>
      </c>
      <c r="B68" t="inlineStr">
        <is>
          <t>/Users/manczg/Documents/development/archon-search/archon_search/pipeline.py</t>
        </is>
      </c>
      <c r="C68" t="inlineStr">
        <is>
          <t>safety-08</t>
        </is>
      </c>
      <c r="D68" t="n">
        <v>1700</v>
      </c>
      <c r="E68" t="inlineStr">
        <is>
          <t>store.hybrid_search_with_trace call has no timeout in _search_standard (fan-out legs elsewhere use asyncio.timeout, this path doesn't)</t>
        </is>
      </c>
      <c r="F68" t="b">
        <v>0</v>
      </c>
    </row>
    <row r="69">
      <c r="A69" t="inlineStr">
        <is>
          <t>archon-search</t>
        </is>
      </c>
      <c r="B69" t="inlineStr">
        <is>
          <t>/Users/manczg/Documents/development/archon-search/archon_search/pipeline.py</t>
        </is>
      </c>
      <c r="C69" t="inlineStr">
        <is>
          <t>safety-08</t>
        </is>
      </c>
      <c r="D69" t="n">
        <v>2584</v>
      </c>
      <c r="E69" t="inlineStr">
        <is>
          <t>embedder.embed_one(query) call has no timeout in _explain_standard</t>
        </is>
      </c>
      <c r="F69" t="b">
        <v>0</v>
      </c>
    </row>
    <row r="70">
      <c r="A70" t="inlineStr">
        <is>
          <t>archon-search</t>
        </is>
      </c>
      <c r="B70" t="inlineStr">
        <is>
          <t>/Users/manczg/Documents/development/archon-search/archon_search/pipeline.py</t>
        </is>
      </c>
      <c r="C70" t="inlineStr">
        <is>
          <t>safety-08</t>
        </is>
      </c>
      <c r="D70" t="n">
        <v>2589</v>
      </c>
      <c r="E70" t="inlineStr">
        <is>
          <t>store.hybrid_search_with_trace call has no timeout in _explain_standard</t>
        </is>
      </c>
      <c r="F70" t="b">
        <v>0</v>
      </c>
    </row>
    <row r="71">
      <c r="A71" t="inlineStr">
        <is>
          <t>archon-search</t>
        </is>
      </c>
      <c r="B71" t="inlineStr">
        <is>
          <t>/Users/manczg/Documents/development/archon-search/archon_search/pipeline.py</t>
        </is>
      </c>
      <c r="C71" t="inlineStr">
        <is>
          <t>safety-11</t>
        </is>
      </c>
      <c r="D71" t="n">
        <v>594</v>
      </c>
      <c r="E71" t="inlineStr">
        <is>
          <t>datetime.now(UTC) called directly for TTL expiry computation, not via injected clock</t>
        </is>
      </c>
      <c r="F71" t="b">
        <v>1</v>
      </c>
    </row>
    <row r="72">
      <c r="A72" t="inlineStr">
        <is>
          <t>archon-search</t>
        </is>
      </c>
      <c r="B72" t="inlineStr">
        <is>
          <t>/Users/manczg/Documents/development/archon-search/archon_search/pipeline.py</t>
        </is>
      </c>
      <c r="C72" t="inlineStr">
        <is>
          <t>safety-11</t>
        </is>
      </c>
      <c r="D72" t="n">
        <v>998</v>
      </c>
      <c r="E72" t="inlineStr">
        <is>
          <t>datetime.now(UTC) called directly for last_described timestamp</t>
        </is>
      </c>
      <c r="F72" t="b">
        <v>1</v>
      </c>
    </row>
    <row r="73">
      <c r="A73" t="inlineStr">
        <is>
          <t>archon-search</t>
        </is>
      </c>
      <c r="B73" t="inlineStr">
        <is>
          <t>/Users/manczg/Documents/development/archon-search/archon_search/pipeline.py</t>
        </is>
      </c>
      <c r="C73" t="inlineStr">
        <is>
          <t>safety-11</t>
        </is>
      </c>
      <c r="D73" t="n">
        <v>1005</v>
      </c>
      <c r="E73" t="inlineStr">
        <is>
          <t>datetime.now(UTC) called directly for last_indexed timestamp</t>
        </is>
      </c>
      <c r="F73" t="b">
        <v>1</v>
      </c>
    </row>
    <row r="74">
      <c r="A74" t="inlineStr">
        <is>
          <t>archon-search</t>
        </is>
      </c>
      <c r="B74" t="inlineStr">
        <is>
          <t>/Users/manczg/Documents/development/archon-search/archon_search/pipeline.py</t>
        </is>
      </c>
      <c r="C74" t="inlineStr">
        <is>
          <t>safety-11</t>
        </is>
      </c>
      <c r="D74" t="n">
        <v>3502</v>
      </c>
      <c r="E74" t="inlineStr">
        <is>
          <t>datetime.now(UTC) called directly for last_indexed timestamp</t>
        </is>
      </c>
      <c r="F74" t="b">
        <v>1</v>
      </c>
    </row>
    <row r="75">
      <c r="A75" t="inlineStr">
        <is>
          <t>archon-search</t>
        </is>
      </c>
      <c r="B75" t="inlineStr">
        <is>
          <t>/Users/manczg/Documents/development/archon-search/archon_search/pipeline.py</t>
        </is>
      </c>
      <c r="C75" t="inlineStr">
        <is>
          <t>safety-11</t>
        </is>
      </c>
      <c r="D75" t="n">
        <v>3538</v>
      </c>
      <c r="E75" t="inlineStr">
        <is>
          <t>datetime.now(UTC) called directly for last_indexed timestamp</t>
        </is>
      </c>
      <c r="F75" t="b">
        <v>1</v>
      </c>
    </row>
    <row r="76">
      <c r="A76" t="inlineStr">
        <is>
          <t>archon-search</t>
        </is>
      </c>
      <c r="B76" t="inlineStr">
        <is>
          <t>/Users/manczg/Documents/development/archon-search/archon_search/pipeline.py</t>
        </is>
      </c>
      <c r="C76" t="inlineStr">
        <is>
          <t>safety-13</t>
        </is>
      </c>
      <c r="D76" t="n">
        <v>1242</v>
      </c>
      <c r="E76" t="inlineStr">
        <is>
          <t>assert scope_filter is None enforces a business/HTTP-422 guard, stripped under -O</t>
        </is>
      </c>
      <c r="F76" t="b">
        <v>1</v>
      </c>
    </row>
    <row r="77">
      <c r="A77" t="inlineStr">
        <is>
          <t>archon-search</t>
        </is>
      </c>
      <c r="B77" t="inlineStr">
        <is>
          <t>/Users/manczg/Documents/development/archon-search/archon_search/pipeline.py</t>
        </is>
      </c>
      <c r="C77" t="inlineStr">
        <is>
          <t>safety-13</t>
        </is>
      </c>
      <c r="D77" t="n">
        <v>1336</v>
      </c>
      <c r="E77" t="inlineStr">
        <is>
          <t>same assert-as-validation pattern in _search_ppr_mode</t>
        </is>
      </c>
      <c r="F77" t="b">
        <v>1</v>
      </c>
    </row>
    <row r="78">
      <c r="A78" t="inlineStr">
        <is>
          <t>archon-search</t>
        </is>
      </c>
      <c r="B78" t="inlineStr">
        <is>
          <t>/Users/manczg/Documents/development/archon-search/archon_search/pipeline.py</t>
        </is>
      </c>
      <c r="C78" t="inlineStr">
        <is>
          <t>safety-13</t>
        </is>
      </c>
      <c r="D78" t="n">
        <v>2131</v>
      </c>
      <c r="E78" t="inlineStr">
        <is>
          <t>same assert-as-validation pattern in _explain_naive_graph_candidates</t>
        </is>
      </c>
      <c r="F78" t="b">
        <v>1</v>
      </c>
    </row>
    <row r="79">
      <c r="A79" t="inlineStr">
        <is>
          <t>archon-search</t>
        </is>
      </c>
      <c r="B79" t="inlineStr">
        <is>
          <t>/Users/manczg/Documents/development/archon-search/archon_search/pipeline.py</t>
        </is>
      </c>
      <c r="C79" t="inlineStr">
        <is>
          <t>safety-13</t>
        </is>
      </c>
      <c r="D79" t="n">
        <v>2255</v>
      </c>
      <c r="E79" t="inlineStr">
        <is>
          <t>same assert-as-validation pattern in _explain_ppr_candidates</t>
        </is>
      </c>
      <c r="F79" t="b">
        <v>1</v>
      </c>
    </row>
    <row r="80">
      <c r="A80" t="inlineStr">
        <is>
          <t>archon-search</t>
        </is>
      </c>
      <c r="B80" t="inlineStr">
        <is>
          <t>/Users/manczg/Documents/development/archon-search/archon_search/pipeline.py</t>
        </is>
      </c>
      <c r="C80" t="inlineStr">
        <is>
          <t>safety-13</t>
        </is>
      </c>
      <c r="D80" t="n">
        <v>2327</v>
      </c>
      <c r="E80" t="inlineStr">
        <is>
          <t>same assert-as-validation pattern in _explain_merge_and_rank</t>
        </is>
      </c>
      <c r="F80" t="b">
        <v>1</v>
      </c>
    </row>
    <row r="81">
      <c r="A81" t="inlineStr">
        <is>
          <t>archon-search</t>
        </is>
      </c>
      <c r="B81" t="inlineStr">
        <is>
          <t>/Users/manczg/Documents/development/archon-search/archon_search/pipeline.py</t>
        </is>
      </c>
      <c r="C81" t="inlineStr">
        <is>
          <t>safety-13</t>
        </is>
      </c>
      <c r="D81" t="n">
        <v>2407</v>
      </c>
      <c r="E81" t="inlineStr">
        <is>
          <t>same assert-as-validation pattern in _explain_community_candidates</t>
        </is>
      </c>
      <c r="F81" t="b">
        <v>1</v>
      </c>
    </row>
    <row r="82">
      <c r="A82" t="inlineStr">
        <is>
          <t>archon-search</t>
        </is>
      </c>
      <c r="B82" t="inlineStr">
        <is>
          <t>/Users/manczg/Documents/development/archon-search/archon_search/pipeline.py</t>
        </is>
      </c>
      <c r="C82" t="inlineStr">
        <is>
          <t>safety-13</t>
        </is>
      </c>
      <c r="D82" t="n">
        <v>2839</v>
      </c>
      <c r="E82" t="inlineStr">
        <is>
          <t>same assert-as-validation pattern in search_many naive branch</t>
        </is>
      </c>
      <c r="F82" t="b">
        <v>1</v>
      </c>
    </row>
    <row r="83">
      <c r="A83" t="inlineStr">
        <is>
          <t>archon-search</t>
        </is>
      </c>
      <c r="B83" t="inlineStr">
        <is>
          <t>/Users/manczg/Documents/development/archon-search/archon_search/pipeline.py</t>
        </is>
      </c>
      <c r="C83" t="inlineStr">
        <is>
          <t>safety-13</t>
        </is>
      </c>
      <c r="D83" t="n">
        <v>2925</v>
      </c>
      <c r="E83" t="inlineStr">
        <is>
          <t>same assert-as-validation pattern in search_many global branch</t>
        </is>
      </c>
      <c r="F83" t="b">
        <v>1</v>
      </c>
    </row>
    <row r="84">
      <c r="A84" t="inlineStr">
        <is>
          <t>archon-search</t>
        </is>
      </c>
      <c r="B84" t="inlineStr">
        <is>
          <t>/Users/manczg/Documents/development/archon-search/archon_search/pipeline.py</t>
        </is>
      </c>
      <c r="C84" t="inlineStr">
        <is>
          <t>safety-13</t>
        </is>
      </c>
      <c r="D84" t="n">
        <v>2968</v>
      </c>
      <c r="E84" t="inlineStr">
        <is>
          <t>same assert-as-validation pattern in search_many local branch</t>
        </is>
      </c>
      <c r="F84" t="b">
        <v>1</v>
      </c>
    </row>
    <row r="85">
      <c r="A85" t="inlineStr">
        <is>
          <t>archon-search</t>
        </is>
      </c>
      <c r="B85" t="inlineStr">
        <is>
          <t>/Users/manczg/Documents/development/archon-search/archon_search/pipeline.py</t>
        </is>
      </c>
      <c r="C85" t="inlineStr">
        <is>
          <t>ddd-01</t>
        </is>
      </c>
      <c r="D85" t="n">
        <v>52</v>
      </c>
      <c r="E85" t="inlineStr">
        <is>
          <t>SearchPipelineResult is a mutable, non-frozen result/value dataclass</t>
        </is>
      </c>
      <c r="F85" t="b">
        <v>1</v>
      </c>
    </row>
    <row r="86">
      <c r="A86" t="inlineStr">
        <is>
          <t>archon-search</t>
        </is>
      </c>
      <c r="B86" t="inlineStr">
        <is>
          <t>/Users/manczg/Documents/development/archon-search/archon_search/pipeline.py</t>
        </is>
      </c>
      <c r="C86" t="inlineStr">
        <is>
          <t>ddd-01</t>
        </is>
      </c>
      <c r="D86" t="n">
        <v>94</v>
      </c>
      <c r="E86" t="inlineStr">
        <is>
          <t>RagFusionSubQueryInfo is a value-object-like snapshot but not frozen</t>
        </is>
      </c>
      <c r="F86" t="b">
        <v>1</v>
      </c>
    </row>
    <row r="87">
      <c r="A87" t="inlineStr">
        <is>
          <t>archon-search</t>
        </is>
      </c>
      <c r="B87" t="inlineStr">
        <is>
          <t>/Users/manczg/Documents/development/archon-search/archon_search/pipeline.py</t>
        </is>
      </c>
      <c r="C87" t="inlineStr">
        <is>
          <t>ddd-06</t>
        </is>
      </c>
      <c r="D87" t="n">
        <v>17</v>
      </c>
      <c r="E87" t="inlineStr">
        <is>
          <t>imports span ~20 distinct submodules (chunker, embedder, graph, ACL, description-generator, store, reranker), fusing many bounded contexts</t>
        </is>
      </c>
      <c r="F87" t="b">
        <v>0</v>
      </c>
    </row>
    <row r="88">
      <c r="A88" t="inlineStr">
        <is>
          <t>archon-search</t>
        </is>
      </c>
      <c r="B88" t="inlineStr">
        <is>
          <t>/Users/manczg/Documents/development/archon-search/archon_search/pipeline.py</t>
        </is>
      </c>
      <c r="C88" t="inlineStr">
        <is>
          <t>ddd-06</t>
        </is>
      </c>
      <c r="D88" t="n">
        <v>310</v>
      </c>
      <c r="E88" t="inlineStr">
        <is>
          <t>SearchPipeline fuses ingest, search, ACL, graph, description-generation and FTS maintenance into one class</t>
        </is>
      </c>
      <c r="F88" t="b">
        <v>0</v>
      </c>
    </row>
    <row r="89">
      <c r="A89" t="inlineStr">
        <is>
          <t>archon-search</t>
        </is>
      </c>
      <c r="B89" t="inlineStr">
        <is>
          <t>/Users/manczg/Documents/development/archon-search/archon_search/pipeline.py</t>
        </is>
      </c>
      <c r="C89" t="inlineStr">
        <is>
          <t>ddd-07</t>
        </is>
      </c>
      <c r="D89" t="n">
        <v>3280</v>
      </c>
      <c r="E89" t="inlineStr">
        <is>
          <t>metadata=c.metadata assigned by reference, not copied, leaking candidate's mutable dict</t>
        </is>
      </c>
      <c r="F89" t="b">
        <v>0</v>
      </c>
    </row>
    <row r="90">
      <c r="A90" t="inlineStr">
        <is>
          <t>archon-search</t>
        </is>
      </c>
      <c r="B90" t="inlineStr">
        <is>
          <t>/Users/manczg/Documents/development/archon-search/archon_search/pipeline.py</t>
        </is>
      </c>
      <c r="C90" t="inlineStr">
        <is>
          <t>ddd-07</t>
        </is>
      </c>
      <c r="D90" t="n">
        <v>3281</v>
      </c>
      <c r="E90" t="inlineStr">
        <is>
          <t>acl=c.acl assigned by reference, not copied (contrast line 3285 which does copy)</t>
        </is>
      </c>
      <c r="F90" t="b">
        <v>0</v>
      </c>
    </row>
    <row r="91">
      <c r="A91" t="inlineStr">
        <is>
          <t>archon-search</t>
        </is>
      </c>
      <c r="B91" t="inlineStr">
        <is>
          <t>/Users/manczg/Documents/development/archon-search/archon_search/store.py</t>
        </is>
      </c>
      <c r="C91" t="inlineStr">
        <is>
          <t>clarity-06</t>
        </is>
      </c>
      <c r="D91" t="n">
        <v>1358</v>
      </c>
      <c r="E91" t="inlineStr">
        <is>
          <t>"_do_read_meta_unlocked" — "do" is a filler verb adding no meaning</t>
        </is>
      </c>
      <c r="F91" t="b">
        <v>0</v>
      </c>
    </row>
    <row r="92">
      <c r="A92" t="inlineStr">
        <is>
          <t>archon-search</t>
        </is>
      </c>
      <c r="B92" t="inlineStr">
        <is>
          <t>/Users/manczg/Documents/development/archon-search/archon_search/store.py</t>
        </is>
      </c>
      <c r="C92" t="inlineStr">
        <is>
          <t>clarity-06</t>
        </is>
      </c>
      <c r="D92" t="n">
        <v>1405</v>
      </c>
      <c r="E92" t="inlineStr">
        <is>
          <t>"_do_write_meta_unlocked" — noise word "do"</t>
        </is>
      </c>
      <c r="F92" t="b">
        <v>0</v>
      </c>
    </row>
    <row r="93">
      <c r="A93" t="inlineStr">
        <is>
          <t>archon-search</t>
        </is>
      </c>
      <c r="B93" t="inlineStr">
        <is>
          <t>/Users/manczg/Documents/development/archon-search/archon_search/store.py</t>
        </is>
      </c>
      <c r="C93" t="inlineStr">
        <is>
          <t>clarity-06</t>
        </is>
      </c>
      <c r="D93" t="n">
        <v>1464</v>
      </c>
      <c r="E93" t="inlineStr">
        <is>
          <t>"_do_fetch_doc_vectors_unlocked" — noise word "do"</t>
        </is>
      </c>
      <c r="F93" t="b">
        <v>0</v>
      </c>
    </row>
    <row r="94">
      <c r="A94" t="inlineStr">
        <is>
          <t>archon-search</t>
        </is>
      </c>
      <c r="B94" t="inlineStr">
        <is>
          <t>/Users/manczg/Documents/development/archon-search/archon_search/store.py</t>
        </is>
      </c>
      <c r="C94" t="inlineStr">
        <is>
          <t>clarity-06</t>
        </is>
      </c>
      <c r="D94" t="n">
        <v>1481</v>
      </c>
      <c r="E94" t="inlineStr">
        <is>
          <t>"_do_update_meta_on_add" — noise word "do"</t>
        </is>
      </c>
      <c r="F94" t="b">
        <v>0</v>
      </c>
    </row>
    <row r="95">
      <c r="A95" t="inlineStr">
        <is>
          <t>archon-search</t>
        </is>
      </c>
      <c r="B95" t="inlineStr">
        <is>
          <t>/Users/manczg/Documents/development/archon-search/archon_search/store.py</t>
        </is>
      </c>
      <c r="C95" t="inlineStr">
        <is>
          <t>clarity-06</t>
        </is>
      </c>
      <c r="D95" t="n">
        <v>1631</v>
      </c>
      <c r="E95" t="inlineStr">
        <is>
          <t>"_do_subtract_meta_on_delete" — noise word "do"</t>
        </is>
      </c>
      <c r="F95" t="b">
        <v>0</v>
      </c>
    </row>
    <row r="96">
      <c r="A96" t="inlineStr">
        <is>
          <t>archon-search</t>
        </is>
      </c>
      <c r="B96" t="inlineStr">
        <is>
          <t>/Users/manczg/Documents/development/archon-search/archon_search/store.py</t>
        </is>
      </c>
      <c r="C96" t="inlineStr">
        <is>
          <t>clarity-06</t>
        </is>
      </c>
      <c r="D96" t="n">
        <v>1796</v>
      </c>
      <c r="E96" t="inlineStr">
        <is>
          <t>"_do_ingest" — noise word "do" adds nothing over "_ingest"</t>
        </is>
      </c>
      <c r="F96" t="b">
        <v>0</v>
      </c>
    </row>
    <row r="97">
      <c r="A97" t="inlineStr">
        <is>
          <t>archon-search</t>
        </is>
      </c>
      <c r="B97" t="inlineStr">
        <is>
          <t>/Users/manczg/Documents/development/archon-search/archon_search/store.py</t>
        </is>
      </c>
      <c r="C97" t="inlineStr">
        <is>
          <t>clarity-09</t>
        </is>
      </c>
      <c r="D97" t="n">
        <v>517</v>
      </c>
      <c r="E97" t="inlineStr">
        <is>
          <t>nested isinstance+any boolean not extracted to a named predicate</t>
        </is>
      </c>
      <c r="F97" t="b">
        <v>1</v>
      </c>
    </row>
    <row r="98">
      <c r="A98" t="inlineStr">
        <is>
          <t>archon-search</t>
        </is>
      </c>
      <c r="B98" t="inlineStr">
        <is>
          <t>/Users/manczg/Documents/development/archon-search/archon_search/store.py</t>
        </is>
      </c>
      <c r="C98" t="inlineStr">
        <is>
          <t>clarity-09</t>
        </is>
      </c>
      <c r="D98" t="n">
        <v>540</v>
      </c>
      <c r="E98" t="inlineStr">
        <is>
          <t>same unextracted isinstance+any pattern duplicated</t>
        </is>
      </c>
      <c r="F98" t="b">
        <v>1</v>
      </c>
    </row>
    <row r="99">
      <c r="A99" t="inlineStr">
        <is>
          <t>archon-search</t>
        </is>
      </c>
      <c r="B99" t="inlineStr">
        <is>
          <t>/Users/manczg/Documents/development/archon-search/archon_search/store.py</t>
        </is>
      </c>
      <c r="C99" t="inlineStr">
        <is>
          <t>clarity-09</t>
        </is>
      </c>
      <c r="D99" t="n">
        <v>1800</v>
      </c>
      <c r="E99" t="inlineStr">
        <is>
          <t>"not has_ttl_cols and any(...)" inline condition not named</t>
        </is>
      </c>
      <c r="F99" t="b">
        <v>1</v>
      </c>
    </row>
    <row r="100">
      <c r="A100" t="inlineStr">
        <is>
          <t>archon-search</t>
        </is>
      </c>
      <c r="B100" t="inlineStr">
        <is>
          <t>/Users/manczg/Documents/development/archon-search/archon_search/store.py</t>
        </is>
      </c>
      <c r="C100" t="inlineStr">
        <is>
          <t>clarity-09</t>
        </is>
      </c>
      <c r="D100" t="n">
        <v>1815</v>
      </c>
      <c r="E100" t="inlineStr">
        <is>
          <t>"not has_acl_provenance_cols and any(...)" inline condition not named</t>
        </is>
      </c>
      <c r="F100" t="b">
        <v>1</v>
      </c>
    </row>
    <row r="101">
      <c r="A101" t="inlineStr">
        <is>
          <t>archon-search</t>
        </is>
      </c>
      <c r="B101" t="inlineStr">
        <is>
          <t>/Users/manczg/Documents/development/archon-search/archon_search/store.py</t>
        </is>
      </c>
      <c r="C101" t="inlineStr">
        <is>
          <t>clarity-16</t>
        </is>
      </c>
      <c r="D101" t="n">
        <v>504</v>
      </c>
      <c r="E101" t="inlineStr">
        <is>
          <t>_row_to_meta has 4 try/except blocks with nested ifs — high branch count</t>
        </is>
      </c>
      <c r="F101" t="b">
        <v>1</v>
      </c>
    </row>
    <row r="102">
      <c r="A102" t="inlineStr">
        <is>
          <t>archon-search</t>
        </is>
      </c>
      <c r="B102" t="inlineStr">
        <is>
          <t>/Users/manczg/Documents/development/archon-search/archon_search/store.py</t>
        </is>
      </c>
      <c r="C102" t="inlineStr">
        <is>
          <t>clarity-16</t>
        </is>
      </c>
      <c r="D102" t="n">
        <v>694</v>
      </c>
      <c r="E102" t="inlineStr">
        <is>
          <t>migrate_per_collection_model has 3-state branching plus nested try/except loops</t>
        </is>
      </c>
      <c r="F102" t="b">
        <v>1</v>
      </c>
    </row>
    <row r="103">
      <c r="A103" t="inlineStr">
        <is>
          <t>archon-search</t>
        </is>
      </c>
      <c r="B103" t="inlineStr">
        <is>
          <t>/Users/manczg/Documents/development/archon-search/archon_search/store.py</t>
        </is>
      </c>
      <c r="C103" t="inlineStr">
        <is>
          <t>clarity-16</t>
        </is>
      </c>
      <c r="D103" t="n">
        <v>1481</v>
      </c>
      <c r="E103" t="inlineStr">
        <is>
          <t>_do_update_meta_on_add: deeply nested if/else across two existence branches</t>
        </is>
      </c>
      <c r="F103" t="b">
        <v>1</v>
      </c>
    </row>
    <row r="104">
      <c r="A104" t="inlineStr">
        <is>
          <t>archon-search</t>
        </is>
      </c>
      <c r="B104" t="inlineStr">
        <is>
          <t>/Users/manczg/Documents/development/archon-search/archon_search/store.py</t>
        </is>
      </c>
      <c r="C104" t="inlineStr">
        <is>
          <t>clarity-16</t>
        </is>
      </c>
      <c r="D104" t="n">
        <v>1935</v>
      </c>
      <c r="E104" t="inlineStr">
        <is>
          <t>reindex_metadata: per-row loop with 6+ independent conditionals</t>
        </is>
      </c>
      <c r="F104" t="b">
        <v>1</v>
      </c>
    </row>
    <row r="105">
      <c r="A105" t="inlineStr">
        <is>
          <t>archon-search</t>
        </is>
      </c>
      <c r="B105" t="inlineStr">
        <is>
          <t>/Users/manczg/Documents/development/archon-search/archon_search/store.py</t>
        </is>
      </c>
      <c r="C105" t="inlineStr">
        <is>
          <t>clarity-16</t>
        </is>
      </c>
      <c r="D105" t="n">
        <v>2062</v>
      </c>
      <c r="E105" t="inlineStr">
        <is>
          <t>hybrid_search: try/except plus multiple filter/scoring branches</t>
        </is>
      </c>
      <c r="F105" t="b">
        <v>1</v>
      </c>
    </row>
    <row r="106">
      <c r="A106" t="inlineStr">
        <is>
          <t>archon-search</t>
        </is>
      </c>
      <c r="B106" t="inlineStr">
        <is>
          <t>/Users/manczg/Documents/development/archon-search/archon_search/store.py</t>
        </is>
      </c>
      <c r="C106" t="inlineStr">
        <is>
          <t>clarity-16</t>
        </is>
      </c>
      <c r="D106" t="n">
        <v>2950</v>
      </c>
      <c r="E106" t="inlineStr">
        <is>
          <t>_hybrid_search_with_trace: mirrors hybrid_search complexity plus extra score-kind branching</t>
        </is>
      </c>
      <c r="F106" t="b">
        <v>1</v>
      </c>
    </row>
    <row r="107">
      <c r="A107" t="inlineStr">
        <is>
          <t>archon-search</t>
        </is>
      </c>
      <c r="B107" t="inlineStr">
        <is>
          <t>/Users/manczg/Documents/development/archon-search/archon_search/store.py</t>
        </is>
      </c>
      <c r="C107" t="inlineStr">
        <is>
          <t>clarity-17</t>
        </is>
      </c>
      <c r="D107" t="n">
        <v>504</v>
      </c>
      <c r="E107" t="inlineStr">
        <is>
          <t>_row_to_meta spans ~80 lines</t>
        </is>
      </c>
      <c r="F107" t="b">
        <v>0</v>
      </c>
    </row>
    <row r="108">
      <c r="A108" t="inlineStr">
        <is>
          <t>archon-search</t>
        </is>
      </c>
      <c r="B108" t="inlineStr">
        <is>
          <t>/Users/manczg/Documents/development/archon-search/archon_search/store.py</t>
        </is>
      </c>
      <c r="C108" t="inlineStr">
        <is>
          <t>clarity-17</t>
        </is>
      </c>
      <c r="D108" t="n">
        <v>694</v>
      </c>
      <c r="E108" t="inlineStr">
        <is>
          <t>migrate_per_collection_model spans ~82 lines</t>
        </is>
      </c>
      <c r="F108" t="b">
        <v>0</v>
      </c>
    </row>
    <row r="109">
      <c r="A109" t="inlineStr">
        <is>
          <t>archon-search</t>
        </is>
      </c>
      <c r="B109" t="inlineStr">
        <is>
          <t>/Users/manczg/Documents/development/archon-search/archon_search/store.py</t>
        </is>
      </c>
      <c r="C109" t="inlineStr">
        <is>
          <t>clarity-17</t>
        </is>
      </c>
      <c r="D109" t="n">
        <v>1128</v>
      </c>
      <c r="E109" t="inlineStr">
        <is>
          <t>apply_rewrite_migration spans ~88 lines</t>
        </is>
      </c>
      <c r="F109" t="b">
        <v>0</v>
      </c>
    </row>
    <row r="110">
      <c r="A110" t="inlineStr">
        <is>
          <t>archon-search</t>
        </is>
      </c>
      <c r="B110" t="inlineStr">
        <is>
          <t>/Users/manczg/Documents/development/archon-search/archon_search/store.py</t>
        </is>
      </c>
      <c r="C110" t="inlineStr">
        <is>
          <t>clarity-17</t>
        </is>
      </c>
      <c r="D110" t="n">
        <v>1218</v>
      </c>
      <c r="E110" t="inlineStr">
        <is>
          <t>update_collection_meta spans ~78 lines</t>
        </is>
      </c>
      <c r="F110" t="b">
        <v>0</v>
      </c>
    </row>
    <row r="111">
      <c r="A111" t="inlineStr">
        <is>
          <t>archon-search</t>
        </is>
      </c>
      <c r="B111" t="inlineStr">
        <is>
          <t>/Users/manczg/Documents/development/archon-search/archon_search/store.py</t>
        </is>
      </c>
      <c r="C111" t="inlineStr">
        <is>
          <t>clarity-17</t>
        </is>
      </c>
      <c r="D111" t="n">
        <v>1481</v>
      </c>
      <c r="E111" t="inlineStr">
        <is>
          <t>_do_update_meta_on_add spans ~148 lines</t>
        </is>
      </c>
      <c r="F111" t="b">
        <v>0</v>
      </c>
    </row>
    <row r="112">
      <c r="A112" t="inlineStr">
        <is>
          <t>archon-search</t>
        </is>
      </c>
      <c r="B112" t="inlineStr">
        <is>
          <t>/Users/manczg/Documents/development/archon-search/archon_search/store.py</t>
        </is>
      </c>
      <c r="C112" t="inlineStr">
        <is>
          <t>clarity-17</t>
        </is>
      </c>
      <c r="D112" t="n">
        <v>1935</v>
      </c>
      <c r="E112" t="inlineStr">
        <is>
          <t>reindex_metadata spans ~120 lines</t>
        </is>
      </c>
      <c r="F112" t="b">
        <v>0</v>
      </c>
    </row>
    <row r="113">
      <c r="A113" t="inlineStr">
        <is>
          <t>archon-search</t>
        </is>
      </c>
      <c r="B113" t="inlineStr">
        <is>
          <t>/Users/manczg/Documents/development/archon-search/archon_search/store.py</t>
        </is>
      </c>
      <c r="C113" t="inlineStr">
        <is>
          <t>clarity-17</t>
        </is>
      </c>
      <c r="D113" t="n">
        <v>2062</v>
      </c>
      <c r="E113" t="inlineStr">
        <is>
          <t>hybrid_search spans ~120 lines</t>
        </is>
      </c>
      <c r="F113" t="b">
        <v>0</v>
      </c>
    </row>
    <row r="114">
      <c r="A114" t="inlineStr">
        <is>
          <t>archon-search</t>
        </is>
      </c>
      <c r="B114" t="inlineStr">
        <is>
          <t>/Users/manczg/Documents/development/archon-search/archon_search/store.py</t>
        </is>
      </c>
      <c r="C114" t="inlineStr">
        <is>
          <t>clarity-17</t>
        </is>
      </c>
      <c r="D114" t="n">
        <v>2950</v>
      </c>
      <c r="E114" t="inlineStr">
        <is>
          <t>_hybrid_search_with_trace spans ~155 lines</t>
        </is>
      </c>
      <c r="F114" t="b">
        <v>1</v>
      </c>
    </row>
    <row r="115">
      <c r="A115" t="inlineStr">
        <is>
          <t>archon-search</t>
        </is>
      </c>
      <c r="B115" t="inlineStr">
        <is>
          <t>/Users/manczg/Documents/development/archon-search/archon_search/store.py</t>
        </is>
      </c>
      <c r="C115" t="inlineStr">
        <is>
          <t>smells-01</t>
        </is>
      </c>
      <c r="D115" t="n">
        <v>1</v>
      </c>
      <c r="E115" t="inlineStr">
        <is>
          <t>file is 3106 lines total, far exceeds a reasonable single-file length</t>
        </is>
      </c>
      <c r="F115" t="b">
        <v>1</v>
      </c>
    </row>
    <row r="116">
      <c r="A116" t="inlineStr">
        <is>
          <t>archon-search</t>
        </is>
      </c>
      <c r="B116" t="inlineStr">
        <is>
          <t>/Users/manczg/Documents/development/archon-search/archon_search/store.py</t>
        </is>
      </c>
      <c r="C116" t="inlineStr">
        <is>
          <t>smells-02</t>
        </is>
      </c>
      <c r="D116" t="n">
        <v>1298</v>
      </c>
      <c r="E116" t="inlineStr">
        <is>
          <t>update_description takes 6 parameters</t>
        </is>
      </c>
      <c r="F116" t="b">
        <v>1</v>
      </c>
    </row>
    <row r="117">
      <c r="A117" t="inlineStr">
        <is>
          <t>archon-search</t>
        </is>
      </c>
      <c r="B117" t="inlineStr">
        <is>
          <t>/Users/manczg/Documents/development/archon-search/archon_search/store.py</t>
        </is>
      </c>
      <c r="C117" t="inlineStr">
        <is>
          <t>smells-02</t>
        </is>
      </c>
      <c r="D117" t="n">
        <v>1481</v>
      </c>
      <c r="E117" t="inlineStr">
        <is>
          <t>_do_update_meta_on_add takes 7 parameters</t>
        </is>
      </c>
      <c r="F117" t="b">
        <v>1</v>
      </c>
    </row>
    <row r="118">
      <c r="A118" t="inlineStr">
        <is>
          <t>archon-search</t>
        </is>
      </c>
      <c r="B118" t="inlineStr">
        <is>
          <t>/Users/manczg/Documents/development/archon-search/archon_search/store.py</t>
        </is>
      </c>
      <c r="C118" t="inlineStr">
        <is>
          <t>smells-02</t>
        </is>
      </c>
      <c r="D118" t="n">
        <v>1727</v>
      </c>
      <c r="E118" t="inlineStr">
        <is>
          <t>ingest_chunks takes 6 parameters</t>
        </is>
      </c>
      <c r="F118" t="b">
        <v>1</v>
      </c>
    </row>
    <row r="119">
      <c r="A119" t="inlineStr">
        <is>
          <t>archon-search</t>
        </is>
      </c>
      <c r="B119" t="inlineStr">
        <is>
          <t>/Users/manczg/Documents/development/archon-search/archon_search/store.py</t>
        </is>
      </c>
      <c r="C119" t="inlineStr">
        <is>
          <t>smells-02</t>
        </is>
      </c>
      <c r="D119" t="n">
        <v>2183</v>
      </c>
      <c r="E119" t="inlineStr">
        <is>
          <t>hybrid_search_with_trace takes 6 parameters</t>
        </is>
      </c>
      <c r="F119" t="b">
        <v>1</v>
      </c>
    </row>
    <row r="120">
      <c r="A120" t="inlineStr">
        <is>
          <t>archon-search</t>
        </is>
      </c>
      <c r="B120" t="inlineStr">
        <is>
          <t>/Users/manczg/Documents/development/archon-search/archon_search/store.py</t>
        </is>
      </c>
      <c r="C120" t="inlineStr">
        <is>
          <t>smells-02</t>
        </is>
      </c>
      <c r="D120" t="n">
        <v>2950</v>
      </c>
      <c r="E120" t="inlineStr">
        <is>
          <t>_hybrid_search_with_trace takes 7 parameters</t>
        </is>
      </c>
      <c r="F120" t="b">
        <v>1</v>
      </c>
    </row>
    <row r="121">
      <c r="A121" t="inlineStr">
        <is>
          <t>archon-search</t>
        </is>
      </c>
      <c r="B121" t="inlineStr">
        <is>
          <t>/Users/manczg/Documents/development/archon-search/archon_search/store.py</t>
        </is>
      </c>
      <c r="C121" t="inlineStr">
        <is>
          <t>smells-03</t>
        </is>
      </c>
      <c r="D121" t="n">
        <v>1732</v>
      </c>
      <c r="E121" t="inlineStr">
        <is>
          <t>ingest_chunks: _locked_by_caller boolean flag parameter</t>
        </is>
      </c>
      <c r="F121" t="b">
        <v>1</v>
      </c>
    </row>
    <row r="122">
      <c r="A122" t="inlineStr">
        <is>
          <t>archon-search</t>
        </is>
      </c>
      <c r="B122" t="inlineStr">
        <is>
          <t>/Users/manczg/Documents/development/archon-search/archon_search/store.py</t>
        </is>
      </c>
      <c r="C122" t="inlineStr">
        <is>
          <t>smells-03</t>
        </is>
      </c>
      <c r="D122" t="n">
        <v>1733</v>
      </c>
      <c r="E122" t="inlineStr">
        <is>
          <t>ingest_chunks: _is_continuation boolean flag parameter</t>
        </is>
      </c>
      <c r="F122" t="b">
        <v>1</v>
      </c>
    </row>
    <row r="123">
      <c r="A123" t="inlineStr">
        <is>
          <t>archon-search</t>
        </is>
      </c>
      <c r="B123" t="inlineStr">
        <is>
          <t>/Users/manczg/Documents/development/archon-search/archon_search/store.py</t>
        </is>
      </c>
      <c r="C123" t="inlineStr">
        <is>
          <t>smells-03</t>
        </is>
      </c>
      <c r="D123" t="n">
        <v>1939</v>
      </c>
      <c r="E123" t="inlineStr">
        <is>
          <t>reindex_metadata: dry_run boolean flag parameter</t>
        </is>
      </c>
      <c r="F123" t="b">
        <v>1</v>
      </c>
    </row>
    <row r="124">
      <c r="A124" t="inlineStr">
        <is>
          <t>archon-search</t>
        </is>
      </c>
      <c r="B124" t="inlineStr">
        <is>
          <t>/Users/manczg/Documents/development/archon-search/archon_search/store.py</t>
        </is>
      </c>
      <c r="C124" t="inlineStr">
        <is>
          <t>smells-03</t>
        </is>
      </c>
      <c r="D124" t="n">
        <v>1940</v>
      </c>
      <c r="E124" t="inlineStr">
        <is>
          <t>reindex_metadata: normalize_timestamps boolean flag parameter</t>
        </is>
      </c>
      <c r="F124" t="b">
        <v>1</v>
      </c>
    </row>
    <row r="125">
      <c r="A125" t="inlineStr">
        <is>
          <t>archon-search</t>
        </is>
      </c>
      <c r="B125" t="inlineStr">
        <is>
          <t>/Users/manczg/Documents/development/archon-search/archon_search/store.py</t>
        </is>
      </c>
      <c r="C125" t="inlineStr">
        <is>
          <t>smells-03</t>
        </is>
      </c>
      <c r="D125" t="n">
        <v>2239</v>
      </c>
      <c r="E125" t="inlineStr">
        <is>
          <t>delete_document: skip_fts_optimize boolean flag parameter</t>
        </is>
      </c>
      <c r="F125" t="b">
        <v>1</v>
      </c>
    </row>
    <row r="126">
      <c r="A126" t="inlineStr">
        <is>
          <t>archon-search</t>
        </is>
      </c>
      <c r="B126" t="inlineStr">
        <is>
          <t>/Users/manczg/Documents/development/archon-search/archon_search/store.py</t>
        </is>
      </c>
      <c r="C126" t="inlineStr">
        <is>
          <t>smells-03</t>
        </is>
      </c>
      <c r="D126" t="n">
        <v>2307</v>
      </c>
      <c r="E126" t="inlineStr">
        <is>
          <t>delete_by_source_path: skip_fts_optimize boolean flag parameter</t>
        </is>
      </c>
      <c r="F126" t="b">
        <v>1</v>
      </c>
    </row>
    <row r="127">
      <c r="A127" t="inlineStr">
        <is>
          <t>archon-search</t>
        </is>
      </c>
      <c r="B127" t="inlineStr">
        <is>
          <t>/Users/manczg/Documents/development/archon-search/archon_search/store.py</t>
        </is>
      </c>
      <c r="C127" t="inlineStr">
        <is>
          <t>smells-12</t>
        </is>
      </c>
      <c r="D127" t="n">
        <v>1927</v>
      </c>
      <c r="E127" t="inlineStr">
        <is>
          <t>broad except Exception in sample_chunk_texts silently swallowed to debug log + empty return</t>
        </is>
      </c>
      <c r="F127" t="b">
        <v>1</v>
      </c>
    </row>
    <row r="128">
      <c r="A128" t="inlineStr">
        <is>
          <t>archon-search</t>
        </is>
      </c>
      <c r="B128" t="inlineStr">
        <is>
          <t>/Users/manczg/Documents/development/archon-search/archon_search/store.py</t>
        </is>
      </c>
      <c r="C128" t="inlineStr">
        <is>
          <t>smells-21</t>
        </is>
      </c>
      <c r="D128" t="n">
        <v>2161</v>
      </c>
      <c r="E128" t="inlineStr">
        <is>
          <t>"# type: ignore[arg-type]" bypasses type checker on normalize_ingested_by call</t>
        </is>
      </c>
      <c r="F128" t="b">
        <v>0</v>
      </c>
    </row>
    <row r="129">
      <c r="A129" t="inlineStr">
        <is>
          <t>archon-search</t>
        </is>
      </c>
      <c r="B129" t="inlineStr">
        <is>
          <t>/Users/manczg/Documents/development/archon-search/archon_search/store.py</t>
        </is>
      </c>
      <c r="C129" t="inlineStr">
        <is>
          <t>smells-21</t>
        </is>
      </c>
      <c r="D129" t="n">
        <v>3093</v>
      </c>
      <c r="E129" t="inlineStr">
        <is>
          <t>"# type: ignore[arg-type]" bypasses type checker on normalize_ingested_by call</t>
        </is>
      </c>
      <c r="F129" t="b">
        <v>0</v>
      </c>
    </row>
    <row r="130">
      <c r="A130" t="inlineStr">
        <is>
          <t>archon-search</t>
        </is>
      </c>
      <c r="B130" t="inlineStr">
        <is>
          <t>/Users/manczg/Documents/development/archon-search/archon_search/store.py</t>
        </is>
      </c>
      <c r="C130" t="inlineStr">
        <is>
          <t>solid-06</t>
        </is>
      </c>
      <c r="D130" t="n">
        <v>41</v>
      </c>
      <c r="E130" t="inlineStr">
        <is>
          <t>ReindexResult.warnings is a public mutable list field with no encapsulation</t>
        </is>
      </c>
      <c r="F130" t="b">
        <v>0</v>
      </c>
    </row>
    <row r="131">
      <c r="A131" t="inlineStr">
        <is>
          <t>archon-search</t>
        </is>
      </c>
      <c r="B131" t="inlineStr">
        <is>
          <t>/Users/manczg/Documents/development/archon-search/archon_search/store.py</t>
        </is>
      </c>
      <c r="C131" t="inlineStr">
        <is>
          <t>solid-07</t>
        </is>
      </c>
      <c r="D131" t="n">
        <v>1257</v>
      </c>
      <c r="E131" t="inlineStr">
        <is>
          <t>-1 used as a magic sentinel for "no value" instead of proper Optional/domain handling</t>
        </is>
      </c>
      <c r="F131" t="b">
        <v>0</v>
      </c>
    </row>
    <row r="132">
      <c r="A132" t="inlineStr">
        <is>
          <t>archon-search</t>
        </is>
      </c>
      <c r="B132" t="inlineStr">
        <is>
          <t>/Users/manczg/Documents/development/archon-search/archon_search/store.py</t>
        </is>
      </c>
      <c r="C132" t="inlineStr">
        <is>
          <t>solid-09</t>
        </is>
      </c>
      <c r="D132" t="n">
        <v>129</v>
      </c>
      <c r="E132" t="inlineStr">
        <is>
          <t>FTS_OPTIMIZE_REMOVES_DELETED is module-level mutable global state controlling runtime behavior</t>
        </is>
      </c>
      <c r="F132" t="b">
        <v>0</v>
      </c>
    </row>
    <row r="133">
      <c r="A133" t="inlineStr">
        <is>
          <t>archon-search</t>
        </is>
      </c>
      <c r="B133" t="inlineStr">
        <is>
          <t>/Users/manczg/Documents/development/archon-search/archon_search/store.py</t>
        </is>
      </c>
      <c r="C133" t="inlineStr">
        <is>
          <t>solid-10</t>
        </is>
      </c>
      <c r="D133" t="n">
        <v>281</v>
      </c>
      <c r="E133" t="inlineStr">
        <is>
          <t>self._config falls back to a concretely-constructed _SearchConfig() instead of requiring injection</t>
        </is>
      </c>
      <c r="F133" t="b">
        <v>0</v>
      </c>
    </row>
    <row r="134">
      <c r="A134" t="inlineStr">
        <is>
          <t>archon-search</t>
        </is>
      </c>
      <c r="B134" t="inlineStr">
        <is>
          <t>/Users/manczg/Documents/development/archon-search/archon_search/store.py</t>
        </is>
      </c>
      <c r="C134" t="inlineStr">
        <is>
          <t>solid-10</t>
        </is>
      </c>
      <c r="D134" t="n">
        <v>312</v>
      </c>
      <c r="E134" t="inlineStr">
        <is>
          <t>self._db is created via a hardcoded lancedb.connect_async() call rather than an injected factory</t>
        </is>
      </c>
      <c r="F134" t="b">
        <v>0</v>
      </c>
    </row>
    <row r="135">
      <c r="A135" t="inlineStr">
        <is>
          <t>archon-search</t>
        </is>
      </c>
      <c r="B135" t="inlineStr">
        <is>
          <t>/Users/manczg/Documents/development/archon-search/archon_search/store.py</t>
        </is>
      </c>
      <c r="C135" t="inlineStr">
        <is>
          <t>safety-05</t>
        </is>
      </c>
      <c r="D135" t="n">
        <v>444</v>
      </c>
      <c r="E135" t="inlineStr">
        <is>
          <t>drop_collection: list_tables check then drop_table act, no lock — TOCTOU on concurrent drops of same name</t>
        </is>
      </c>
      <c r="F135" t="b">
        <v>0</v>
      </c>
    </row>
    <row r="136">
      <c r="A136" t="inlineStr">
        <is>
          <t>archon-search</t>
        </is>
      </c>
      <c r="B136" t="inlineStr">
        <is>
          <t>/Users/manczg/Documents/development/archon-search/archon_search/store.py</t>
        </is>
      </c>
      <c r="C136" t="inlineStr">
        <is>
          <t>safety-05</t>
        </is>
      </c>
      <c r="D136" t="n">
        <v>466</v>
      </c>
      <c r="E136" t="inlineStr">
        <is>
          <t>rename_collection: list_tables existence checks then rename_table act, no lock — TOCTOU window</t>
        </is>
      </c>
      <c r="F136" t="b">
        <v>0</v>
      </c>
    </row>
    <row r="137">
      <c r="A137" t="inlineStr">
        <is>
          <t>archon-search</t>
        </is>
      </c>
      <c r="B137" t="inlineStr">
        <is>
          <t>/Users/manczg/Documents/development/archon-search/archon_search/store.py</t>
        </is>
      </c>
      <c r="C137" t="inlineStr">
        <is>
          <t>safety-06</t>
        </is>
      </c>
      <c r="D137" t="n">
        <v>311</v>
      </c>
      <c r="E137" t="inlineStr">
        <is>
          <t>self._db_path.mkdir(...) is a blocking filesystem call inside async connect()</t>
        </is>
      </c>
      <c r="F137" t="b">
        <v>0</v>
      </c>
    </row>
    <row r="138">
      <c r="A138" t="inlineStr">
        <is>
          <t>archon-search</t>
        </is>
      </c>
      <c r="B138" t="inlineStr">
        <is>
          <t>/Users/manczg/Documents/development/archon-search/archon_search/store.py</t>
        </is>
      </c>
      <c r="C138" t="inlineStr">
        <is>
          <t>safety-06</t>
        </is>
      </c>
      <c r="D138" t="n">
        <v>1985</v>
      </c>
      <c r="E138" t="inlineStr">
        <is>
          <t>Path(source_path).stat() blocking syscall per row inside async reindex_metadata loop</t>
        </is>
      </c>
      <c r="F138" t="b">
        <v>0</v>
      </c>
    </row>
    <row r="139">
      <c r="A139" t="inlineStr">
        <is>
          <t>archon-search</t>
        </is>
      </c>
      <c r="B139" t="inlineStr">
        <is>
          <t>/Users/manczg/Documents/development/archon-search/archon_search/store.py</t>
        </is>
      </c>
      <c r="C139" t="inlineStr">
        <is>
          <t>safety-06</t>
        </is>
      </c>
      <c r="D139" t="n">
        <v>2320</v>
      </c>
      <c r="E139" t="inlineStr">
        <is>
          <t>Path(source_path).resolve() is a blocking syscall inside async delete_by_source_path</t>
        </is>
      </c>
      <c r="F139" t="b">
        <v>0</v>
      </c>
    </row>
    <row r="140">
      <c r="A140" t="inlineStr">
        <is>
          <t>archon-search</t>
        </is>
      </c>
      <c r="B140" t="inlineStr">
        <is>
          <t>/Users/manczg/Documents/development/archon-search/archon_search/store.py</t>
        </is>
      </c>
      <c r="C140" t="inlineStr">
        <is>
          <t>safety-07</t>
        </is>
      </c>
      <c r="D140" t="n">
        <v>2009</v>
      </c>
      <c r="E140" t="inlineStr">
        <is>
          <t>"# noqa: BLE001" suppresses the blind-except linter warning</t>
        </is>
      </c>
      <c r="F140" t="b">
        <v>1</v>
      </c>
    </row>
    <row r="141">
      <c r="A141" t="inlineStr">
        <is>
          <t>archon-search</t>
        </is>
      </c>
      <c r="B141" t="inlineStr">
        <is>
          <t>/Users/manczg/Documents/development/archon-search/archon_search/store.py</t>
        </is>
      </c>
      <c r="C141" t="inlineStr">
        <is>
          <t>safety-07</t>
        </is>
      </c>
      <c r="D141" t="n">
        <v>2015</v>
      </c>
      <c r="E141" t="inlineStr">
        <is>
          <t>"# noqa: BLE001" suppresses the blind-except linter warning</t>
        </is>
      </c>
      <c r="F141" t="b">
        <v>1</v>
      </c>
    </row>
    <row r="142">
      <c r="A142" t="inlineStr">
        <is>
          <t>archon-search</t>
        </is>
      </c>
      <c r="B142" t="inlineStr">
        <is>
          <t>/Users/manczg/Documents/development/archon-search/archon_search/store.py</t>
        </is>
      </c>
      <c r="C142" t="inlineStr">
        <is>
          <t>safety-11</t>
        </is>
      </c>
      <c r="D142" t="n">
        <v>330</v>
      </c>
      <c r="E142" t="inlineStr">
        <is>
          <t>time.monotonic() called directly instead of via an injectable clock</t>
        </is>
      </c>
      <c r="F142" t="b">
        <v>1</v>
      </c>
    </row>
    <row r="143">
      <c r="A143" t="inlineStr">
        <is>
          <t>archon-search</t>
        </is>
      </c>
      <c r="B143" t="inlineStr">
        <is>
          <t>/Users/manczg/Documents/development/archon-search/archon_search/store.py</t>
        </is>
      </c>
      <c r="C143" t="inlineStr">
        <is>
          <t>safety-11</t>
        </is>
      </c>
      <c r="D143" t="n">
        <v>1650</v>
      </c>
      <c r="E143" t="inlineStr">
        <is>
          <t>datetime.now(timezone.utc) called directly instead of via an injectable clock</t>
        </is>
      </c>
      <c r="F143" t="b">
        <v>1</v>
      </c>
    </row>
    <row r="144">
      <c r="A144" t="inlineStr">
        <is>
          <t>archon-search</t>
        </is>
      </c>
      <c r="B144" t="inlineStr">
        <is>
          <t>/Users/manczg/Documents/development/archon-search/archon_search/store.py</t>
        </is>
      </c>
      <c r="C144" t="inlineStr">
        <is>
          <t>safety-11</t>
        </is>
      </c>
      <c r="D144" t="n">
        <v>1925</v>
      </c>
      <c r="E144" t="inlineStr">
        <is>
          <t>random.shuffle used directly instead of via an injectable RNG</t>
        </is>
      </c>
      <c r="F144" t="b">
        <v>1</v>
      </c>
    </row>
    <row r="145">
      <c r="A145" t="inlineStr">
        <is>
          <t>archon-search</t>
        </is>
      </c>
      <c r="B145" t="inlineStr">
        <is>
          <t>/Users/manczg/Documents/development/archon-search/archon_search/store.py</t>
        </is>
      </c>
      <c r="C145" t="inlineStr">
        <is>
          <t>safety-11</t>
        </is>
      </c>
      <c r="D145" t="n">
        <v>2474</v>
      </c>
      <c r="E145" t="inlineStr">
        <is>
          <t>datetime.now(timezone.utc) called directly instead of via an injectable clock</t>
        </is>
      </c>
      <c r="F145" t="b">
        <v>1</v>
      </c>
    </row>
    <row r="146">
      <c r="A146" t="inlineStr">
        <is>
          <t>archon-search</t>
        </is>
      </c>
      <c r="B146" t="inlineStr">
        <is>
          <t>/Users/manczg/Documents/development/archon-search/archon_search/store.py</t>
        </is>
      </c>
      <c r="C146" t="inlineStr">
        <is>
          <t>safety-11</t>
        </is>
      </c>
      <c r="D146" t="n">
        <v>2573</v>
      </c>
      <c r="E146" t="inlineStr">
        <is>
          <t>datetime.now(timezone.utc) called directly instead of via an injectable clock</t>
        </is>
      </c>
      <c r="F146" t="b">
        <v>1</v>
      </c>
    </row>
    <row r="147">
      <c r="A147" t="inlineStr">
        <is>
          <t>archon-search</t>
        </is>
      </c>
      <c r="B147" t="inlineStr">
        <is>
          <t>/Users/manczg/Documents/development/archon-search/archon_search/store.py</t>
        </is>
      </c>
      <c r="C147" t="inlineStr">
        <is>
          <t>safety-11</t>
        </is>
      </c>
      <c r="D147" t="n">
        <v>2627</v>
      </c>
      <c r="E147" t="inlineStr">
        <is>
          <t>datetime.now(timezone.utc) called directly instead of via an injectable clock</t>
        </is>
      </c>
      <c r="F147" t="b">
        <v>1</v>
      </c>
    </row>
    <row r="148">
      <c r="A148" t="inlineStr">
        <is>
          <t>archon-search</t>
        </is>
      </c>
      <c r="B148" t="inlineStr">
        <is>
          <t>/Users/manczg/Documents/development/archon-search/archon_search/store.py</t>
        </is>
      </c>
      <c r="C148" t="inlineStr">
        <is>
          <t>safety-15</t>
        </is>
      </c>
      <c r="D148" t="n">
        <v>2045</v>
      </c>
      <c r="E148" t="inlineStr">
        <is>
          <t>where=f"chunk_id = '{chunk_id}'" builds SQL via f-string, bypassing the file's own _sql_quote_str/_where_eq helpers</t>
        </is>
      </c>
      <c r="F148" t="b">
        <v>1</v>
      </c>
    </row>
    <row r="149">
      <c r="A149" t="inlineStr">
        <is>
          <t>archon-search</t>
        </is>
      </c>
      <c r="B149" t="inlineStr">
        <is>
          <t>/Users/manczg/Documents/development/archon-search/archon_search/store.py</t>
        </is>
      </c>
      <c r="C149" t="inlineStr">
        <is>
          <t>ddd-01</t>
        </is>
      </c>
      <c r="D149" t="n">
        <v>35</v>
      </c>
      <c r="E149" t="inlineStr">
        <is>
          <t>ReindexResult is a non-frozen mutable dataclass used as a result/value object</t>
        </is>
      </c>
      <c r="F149" t="b">
        <v>1</v>
      </c>
    </row>
    <row r="150">
      <c r="A150" t="inlineStr">
        <is>
          <t>archon-search</t>
        </is>
      </c>
      <c r="B150" t="inlineStr">
        <is>
          <t>/Users/manczg/Documents/development/archon-search/archon_search/store.py</t>
        </is>
      </c>
      <c r="C150" t="inlineStr">
        <is>
          <t>ddd-01</t>
        </is>
      </c>
      <c r="D150" t="n">
        <v>46</v>
      </c>
      <c r="E150" t="inlineStr">
        <is>
          <t>ChunkIngestResult is a non-frozen mutable dataclass used as a result/value object</t>
        </is>
      </c>
      <c r="F150" t="b">
        <v>1</v>
      </c>
    </row>
    <row r="151">
      <c r="A151" t="inlineStr">
        <is>
          <t>archon-search</t>
        </is>
      </c>
      <c r="B151" t="inlineStr">
        <is>
          <t>/Users/manczg/Documents/development/archon-search/archon_search/graph_store.py</t>
        </is>
      </c>
      <c r="C151" t="inlineStr">
        <is>
          <t>clarity-06</t>
        </is>
      </c>
      <c r="D151" t="n">
        <v>469</v>
      </c>
      <c r="E151" t="inlineStr">
        <is>
          <t>generic name "data" for node upsert payload dict</t>
        </is>
      </c>
      <c r="F151" t="b">
        <v>0</v>
      </c>
    </row>
    <row r="152">
      <c r="A152" t="inlineStr">
        <is>
          <t>archon-search</t>
        </is>
      </c>
      <c r="B152" t="inlineStr">
        <is>
          <t>/Users/manczg/Documents/development/archon-search/archon_search/graph_store.py</t>
        </is>
      </c>
      <c r="C152" t="inlineStr">
        <is>
          <t>clarity-06</t>
        </is>
      </c>
      <c r="D152" t="n">
        <v>1342</v>
      </c>
      <c r="E152" t="inlineStr">
        <is>
          <t>generic name "data" for community insert payload</t>
        </is>
      </c>
      <c r="F152" t="b">
        <v>0</v>
      </c>
    </row>
    <row r="153">
      <c r="A153" t="inlineStr">
        <is>
          <t>archon-search</t>
        </is>
      </c>
      <c r="B153" t="inlineStr">
        <is>
          <t>/Users/manczg/Documents/development/archon-search/archon_search/graph_store.py</t>
        </is>
      </c>
      <c r="C153" t="inlineStr">
        <is>
          <t>clarity-06</t>
        </is>
      </c>
      <c r="D153" t="n">
        <v>1381</v>
      </c>
      <c r="E153" t="inlineStr">
        <is>
          <t>generic name "data" for mentions insert payload</t>
        </is>
      </c>
      <c r="F153" t="b">
        <v>0</v>
      </c>
    </row>
    <row r="154">
      <c r="A154" t="inlineStr">
        <is>
          <t>archon-search</t>
        </is>
      </c>
      <c r="B154" t="inlineStr">
        <is>
          <t>/Users/manczg/Documents/development/archon-search/archon_search/graph_store.py</t>
        </is>
      </c>
      <c r="C154" t="inlineStr">
        <is>
          <t>clarity-09</t>
        </is>
      </c>
      <c r="D154" t="n">
        <v>1524</v>
      </c>
      <c r="E154" t="inlineStr">
        <is>
          <t>3-clause or/and condition inlined in if instead of a named boolean</t>
        </is>
      </c>
      <c r="F154" t="b">
        <v>1</v>
      </c>
    </row>
    <row r="155">
      <c r="A155" t="inlineStr">
        <is>
          <t>archon-search</t>
        </is>
      </c>
      <c r="B155" t="inlineStr">
        <is>
          <t>/Users/manczg/Documents/development/archon-search/archon_search/graph_store.py</t>
        </is>
      </c>
      <c r="C155" t="inlineStr">
        <is>
          <t>clarity-16</t>
        </is>
      </c>
      <c r="D155" t="n">
        <v>289</v>
      </c>
      <c r="E155" t="inlineStr">
        <is>
          <t>ensure_graph_tables has 3 sequential migration branches each with nested try/except</t>
        </is>
      </c>
      <c r="F155" t="b">
        <v>1</v>
      </c>
    </row>
    <row r="156">
      <c r="A156" t="inlineStr">
        <is>
          <t>archon-search</t>
        </is>
      </c>
      <c r="B156" t="inlineStr">
        <is>
          <t>/Users/manczg/Documents/development/archon-search/archon_search/graph_store.py</t>
        </is>
      </c>
      <c r="C156" t="inlineStr">
        <is>
          <t>clarity-16</t>
        </is>
      </c>
      <c r="D156" t="n">
        <v>375</v>
      </c>
      <c r="E156" t="inlineStr">
        <is>
          <t>write_graph has deeply nested conditionals across embedding/pagerank/source_path handling</t>
        </is>
      </c>
      <c r="F156" t="b">
        <v>1</v>
      </c>
    </row>
    <row r="157">
      <c r="A157" t="inlineStr">
        <is>
          <t>archon-search</t>
        </is>
      </c>
      <c r="B157" t="inlineStr">
        <is>
          <t>/Users/manczg/Documents/development/archon-search/archon_search/graph_store.py</t>
        </is>
      </c>
      <c r="C157" t="inlineStr">
        <is>
          <t>clarity-16</t>
        </is>
      </c>
      <c r="D157" t="n">
        <v>859</v>
      </c>
      <c r="E157" t="inlineStr">
        <is>
          <t>_traverse_impact nested loop with multiple branch points per hop</t>
        </is>
      </c>
      <c r="F157" t="b">
        <v>1</v>
      </c>
    </row>
    <row r="158">
      <c r="A158" t="inlineStr">
        <is>
          <t>archon-search</t>
        </is>
      </c>
      <c r="B158" t="inlineStr">
        <is>
          <t>/Users/manczg/Documents/development/archon-search/archon_search/graph_store.py</t>
        </is>
      </c>
      <c r="C158" t="inlineStr">
        <is>
          <t>clarity-16</t>
        </is>
      </c>
      <c r="D158" t="n">
        <v>1442</v>
      </c>
      <c r="E158" t="inlineStr">
        <is>
          <t>delete_defref_graph_by_doc has deeply nested loops and conditionals across 5+ stages</t>
        </is>
      </c>
      <c r="F158" t="b">
        <v>1</v>
      </c>
    </row>
    <row r="159">
      <c r="A159" t="inlineStr">
        <is>
          <t>archon-search</t>
        </is>
      </c>
      <c r="B159" t="inlineStr">
        <is>
          <t>/Users/manczg/Documents/development/archon-search/archon_search/graph_store.py</t>
        </is>
      </c>
      <c r="C159" t="inlineStr">
        <is>
          <t>clarity-16</t>
        </is>
      </c>
      <c r="D159" t="n">
        <v>2039</v>
      </c>
      <c r="E159" t="inlineStr">
        <is>
          <t>delete_orphan_nodes_and_edges has many sequential steps each with loops/conditionals</t>
        </is>
      </c>
      <c r="F159" t="b">
        <v>1</v>
      </c>
    </row>
    <row r="160">
      <c r="A160" t="inlineStr">
        <is>
          <t>archon-search</t>
        </is>
      </c>
      <c r="B160" t="inlineStr">
        <is>
          <t>/Users/manczg/Documents/development/archon-search/archon_search/graph_store.py</t>
        </is>
      </c>
      <c r="C160" t="inlineStr">
        <is>
          <t>clarity-17</t>
        </is>
      </c>
      <c r="D160" t="n">
        <v>289</v>
      </c>
      <c r="E160" t="inlineStr">
        <is>
          <t>ensure_graph_tables spans ~85 lines</t>
        </is>
      </c>
      <c r="F160" t="b">
        <v>0</v>
      </c>
    </row>
    <row r="161">
      <c r="A161" t="inlineStr">
        <is>
          <t>archon-search</t>
        </is>
      </c>
      <c r="B161" t="inlineStr">
        <is>
          <t>/Users/manczg/Documents/development/archon-search/archon_search/graph_store.py</t>
        </is>
      </c>
      <c r="C161" t="inlineStr">
        <is>
          <t>clarity-17</t>
        </is>
      </c>
      <c r="D161" t="n">
        <v>375</v>
      </c>
      <c r="E161" t="inlineStr">
        <is>
          <t>write_graph spans ~207 lines</t>
        </is>
      </c>
      <c r="F161" t="b">
        <v>1</v>
      </c>
    </row>
    <row r="162">
      <c r="A162" t="inlineStr">
        <is>
          <t>archon-search</t>
        </is>
      </c>
      <c r="B162" t="inlineStr">
        <is>
          <t>/Users/manczg/Documents/development/archon-search/archon_search/graph_store.py</t>
        </is>
      </c>
      <c r="C162" t="inlineStr">
        <is>
          <t>clarity-17</t>
        </is>
      </c>
      <c r="D162" t="n">
        <v>859</v>
      </c>
      <c r="E162" t="inlineStr">
        <is>
          <t>_traverse_impact spans ~104 lines</t>
        </is>
      </c>
      <c r="F162" t="b">
        <v>0</v>
      </c>
    </row>
    <row r="163">
      <c r="A163" t="inlineStr">
        <is>
          <t>archon-search</t>
        </is>
      </c>
      <c r="B163" t="inlineStr">
        <is>
          <t>/Users/manczg/Documents/development/archon-search/archon_search/graph_store.py</t>
        </is>
      </c>
      <c r="C163" t="inlineStr">
        <is>
          <t>clarity-17</t>
        </is>
      </c>
      <c r="D163" t="n">
        <v>1442</v>
      </c>
      <c r="E163" t="inlineStr">
        <is>
          <t>delete_defref_graph_by_doc spans ~150 lines</t>
        </is>
      </c>
      <c r="F163" t="b">
        <v>1</v>
      </c>
    </row>
    <row r="164">
      <c r="A164" t="inlineStr">
        <is>
          <t>archon-search</t>
        </is>
      </c>
      <c r="B164" t="inlineStr">
        <is>
          <t>/Users/manczg/Documents/development/archon-search/archon_search/graph_store.py</t>
        </is>
      </c>
      <c r="C164" t="inlineStr">
        <is>
          <t>clarity-17</t>
        </is>
      </c>
      <c r="D164" t="n">
        <v>2039</v>
      </c>
      <c r="E164" t="inlineStr">
        <is>
          <t>delete_orphan_nodes_and_edges spans ~205 lines</t>
        </is>
      </c>
      <c r="F164" t="b">
        <v>1</v>
      </c>
    </row>
    <row r="165">
      <c r="A165" t="inlineStr">
        <is>
          <t>archon-search</t>
        </is>
      </c>
      <c r="B165" t="inlineStr">
        <is>
          <t>/Users/manczg/Documents/development/archon-search/archon_search/graph_store.py</t>
        </is>
      </c>
      <c r="C165" t="inlineStr">
        <is>
          <t>smells-01</t>
        </is>
      </c>
      <c r="D165" t="n">
        <v>1</v>
      </c>
      <c r="E165" t="inlineStr">
        <is>
          <t>file is 2450 lines, far exceeds typical file-length guideline</t>
        </is>
      </c>
      <c r="F165" t="b">
        <v>1</v>
      </c>
    </row>
    <row r="166">
      <c r="A166" t="inlineStr">
        <is>
          <t>archon-search</t>
        </is>
      </c>
      <c r="B166" t="inlineStr">
        <is>
          <t>/Users/manczg/Documents/development/archon-search/archon_search/graph_store.py</t>
        </is>
      </c>
      <c r="C166" t="inlineStr">
        <is>
          <t>smells-02</t>
        </is>
      </c>
      <c r="D166" t="n">
        <v>674</v>
      </c>
      <c r="E166" t="inlineStr">
        <is>
          <t>compute_impact takes 7 parameters excluding self</t>
        </is>
      </c>
      <c r="F166" t="b">
        <v>1</v>
      </c>
    </row>
    <row r="167">
      <c r="A167" t="inlineStr">
        <is>
          <t>archon-search</t>
        </is>
      </c>
      <c r="B167" t="inlineStr">
        <is>
          <t>/Users/manczg/Documents/development/archon-search/archon_search/graph_store.py</t>
        </is>
      </c>
      <c r="C167" t="inlineStr">
        <is>
          <t>smells-02</t>
        </is>
      </c>
      <c r="D167" t="n">
        <v>859</v>
      </c>
      <c r="E167" t="inlineStr">
        <is>
          <t>_traverse_impact takes 6 parameters excluding self</t>
        </is>
      </c>
      <c r="F167" t="b">
        <v>1</v>
      </c>
    </row>
    <row r="168">
      <c r="A168" t="inlineStr">
        <is>
          <t>archon-search</t>
        </is>
      </c>
      <c r="B168" t="inlineStr">
        <is>
          <t>/Users/manczg/Documents/development/archon-search/archon_search/graph_store.py</t>
        </is>
      </c>
      <c r="C168" t="inlineStr">
        <is>
          <t>smells-02</t>
        </is>
      </c>
      <c r="D168" t="n">
        <v>1018</v>
      </c>
      <c r="E168" t="inlineStr">
        <is>
          <t>vector_search_nodes takes 6 parameters excluding self</t>
        </is>
      </c>
      <c r="F168" t="b">
        <v>1</v>
      </c>
    </row>
    <row r="169">
      <c r="A169" t="inlineStr">
        <is>
          <t>archon-search</t>
        </is>
      </c>
      <c r="B169" t="inlineStr">
        <is>
          <t>/Users/manczg/Documents/development/archon-search/archon_search/graph_store.py</t>
        </is>
      </c>
      <c r="C169" t="inlineStr">
        <is>
          <t>smells-02</t>
        </is>
      </c>
      <c r="D169" t="n">
        <v>1442</v>
      </c>
      <c r="E169" t="inlineStr">
        <is>
          <t>delete_defref_graph_by_doc takes 5 parameters excluding self</t>
        </is>
      </c>
      <c r="F169" t="b">
        <v>1</v>
      </c>
    </row>
    <row r="170">
      <c r="A170" t="inlineStr">
        <is>
          <t>archon-search</t>
        </is>
      </c>
      <c r="B170" t="inlineStr">
        <is>
          <t>/Users/manczg/Documents/development/archon-search/archon_search/graph_store.py</t>
        </is>
      </c>
      <c r="C170" t="inlineStr">
        <is>
          <t>smells-03</t>
        </is>
      </c>
      <c r="D170" t="n">
        <v>1449</v>
      </c>
      <c r="E170" t="inlineStr">
        <is>
          <t>delete_doc_owned_code_symbols bool parameter switches deletion behavior</t>
        </is>
      </c>
      <c r="F170" t="b">
        <v>1</v>
      </c>
    </row>
    <row r="171">
      <c r="A171" t="inlineStr">
        <is>
          <t>archon-search</t>
        </is>
      </c>
      <c r="B171" t="inlineStr">
        <is>
          <t>/Users/manczg/Documents/development/archon-search/archon_search/graph_store.py</t>
        </is>
      </c>
      <c r="C171" t="inlineStr">
        <is>
          <t>smells-07</t>
        </is>
      </c>
      <c r="D171" t="n">
        <v>411</v>
      </c>
      <c r="E171" t="inlineStr">
        <is>
          <t>"ponytail:" note flags an unverified LanceDB API assumption to verify later</t>
        </is>
      </c>
      <c r="F171" t="b">
        <v>0</v>
      </c>
    </row>
    <row r="172">
      <c r="A172" t="inlineStr">
        <is>
          <t>archon-search</t>
        </is>
      </c>
      <c r="B172" t="inlineStr">
        <is>
          <t>/Users/manczg/Documents/development/archon-search/archon_search/graph_store.py</t>
        </is>
      </c>
      <c r="C172" t="inlineStr">
        <is>
          <t>smells-07</t>
        </is>
      </c>
      <c r="D172" t="n">
        <v>977</v>
      </c>
      <c r="E172" t="inlineStr">
        <is>
          <t>"ponytail:" note flags unverified LanceDB index API to verify on upgrade</t>
        </is>
      </c>
      <c r="F172" t="b">
        <v>0</v>
      </c>
    </row>
    <row r="173">
      <c r="A173" t="inlineStr">
        <is>
          <t>archon-search</t>
        </is>
      </c>
      <c r="B173" t="inlineStr">
        <is>
          <t>/Users/manczg/Documents/development/archon-search/archon_search/graph_store.py</t>
        </is>
      </c>
      <c r="C173" t="inlineStr">
        <is>
          <t>smells-07</t>
        </is>
      </c>
      <c r="D173" t="n">
        <v>1681</v>
      </c>
      <c r="E173" t="inlineStr">
        <is>
          <t>"ponytail:" note flags full-table-scan workaround to revisit if scale grows</t>
        </is>
      </c>
      <c r="F173" t="b">
        <v>0</v>
      </c>
    </row>
    <row r="174">
      <c r="A174" t="inlineStr">
        <is>
          <t>archon-search</t>
        </is>
      </c>
      <c r="B174" t="inlineStr">
        <is>
          <t>/Users/manczg/Documents/development/archon-search/archon_search/graph_store.py</t>
        </is>
      </c>
      <c r="C174" t="inlineStr">
        <is>
          <t>smells-12</t>
        </is>
      </c>
      <c r="D174" t="n">
        <v>1143</v>
      </c>
      <c r="E174" t="inlineStr">
        <is>
          <t>broad except Exception silently downgrades unexpected error to a fake 0 count</t>
        </is>
      </c>
      <c r="F174" t="b">
        <v>1</v>
      </c>
    </row>
    <row r="175">
      <c r="A175" t="inlineStr">
        <is>
          <t>archon-search</t>
        </is>
      </c>
      <c r="B175" t="inlineStr">
        <is>
          <t>/Users/manczg/Documents/development/archon-search/archon_search/graph_store.py</t>
        </is>
      </c>
      <c r="C175" t="inlineStr">
        <is>
          <t>smells-12</t>
        </is>
      </c>
      <c r="D175" t="n">
        <v>1159</v>
      </c>
      <c r="E175" t="inlineStr">
        <is>
          <t>broad except Exception silently downgrades unexpected error to a fake 0 count</t>
        </is>
      </c>
      <c r="F175" t="b">
        <v>1</v>
      </c>
    </row>
    <row r="176">
      <c r="A176" t="inlineStr">
        <is>
          <t>archon-search</t>
        </is>
      </c>
      <c r="B176" t="inlineStr">
        <is>
          <t>/Users/manczg/Documents/development/archon-search/archon_search/graph_store.py</t>
        </is>
      </c>
      <c r="C176" t="inlineStr">
        <is>
          <t>smells-12</t>
        </is>
      </c>
      <c r="D176" t="n">
        <v>1180</v>
      </c>
      <c r="E176" t="inlineStr">
        <is>
          <t>broad except Exception silently downgrades unexpected error to a fake 0 count</t>
        </is>
      </c>
      <c r="F176" t="b">
        <v>1</v>
      </c>
    </row>
    <row r="177">
      <c r="A177" t="inlineStr">
        <is>
          <t>archon-search</t>
        </is>
      </c>
      <c r="B177" t="inlineStr">
        <is>
          <t>/Users/manczg/Documents/development/archon-search/archon_search/graph_store.py</t>
        </is>
      </c>
      <c r="C177" t="inlineStr">
        <is>
          <t>smells-12</t>
        </is>
      </c>
      <c r="D177" t="n">
        <v>1211</v>
      </c>
      <c r="E177" t="inlineStr">
        <is>
          <t>broad except Exception silently downgrades unexpected error to a fake 0.0</t>
        </is>
      </c>
      <c r="F177" t="b">
        <v>1</v>
      </c>
    </row>
    <row r="178">
      <c r="A178" t="inlineStr">
        <is>
          <t>archon-search</t>
        </is>
      </c>
      <c r="B178" t="inlineStr">
        <is>
          <t>/Users/manczg/Documents/development/archon-search/archon_search/graph_store.py</t>
        </is>
      </c>
      <c r="C178" t="inlineStr">
        <is>
          <t>smells-12</t>
        </is>
      </c>
      <c r="D178" t="n">
        <v>1232</v>
      </c>
      <c r="E178" t="inlineStr">
        <is>
          <t>broad except Exception silently downgrades unexpected error to a fake 0.0</t>
        </is>
      </c>
      <c r="F178" t="b">
        <v>1</v>
      </c>
    </row>
    <row r="179">
      <c r="A179" t="inlineStr">
        <is>
          <t>archon-search</t>
        </is>
      </c>
      <c r="B179" t="inlineStr">
        <is>
          <t>/Users/manczg/Documents/development/archon-search/archon_search/graph_store.py</t>
        </is>
      </c>
      <c r="C179" t="inlineStr">
        <is>
          <t>smells-12</t>
        </is>
      </c>
      <c r="D179" t="n">
        <v>2447</v>
      </c>
      <c r="E179" t="inlineStr">
        <is>
          <t>broad except Exception swallows every startup scan error and returns []</t>
        </is>
      </c>
      <c r="F179" t="b">
        <v>1</v>
      </c>
    </row>
    <row r="180">
      <c r="A180" t="inlineStr">
        <is>
          <t>archon-search</t>
        </is>
      </c>
      <c r="B180" t="inlineStr">
        <is>
          <t>/Users/manczg/Documents/development/archon-search/archon_search/graph_store.py</t>
        </is>
      </c>
      <c r="C180" t="inlineStr">
        <is>
          <t>smells-21</t>
        </is>
      </c>
      <c r="D180" t="n">
        <v>213</v>
      </c>
      <c r="E180" t="inlineStr">
        <is>
          <t># type: ignore[return] escape hatch on _nodes_schema</t>
        </is>
      </c>
      <c r="F180" t="b">
        <v>0</v>
      </c>
    </row>
    <row r="181">
      <c r="A181" t="inlineStr">
        <is>
          <t>archon-search</t>
        </is>
      </c>
      <c r="B181" t="inlineStr">
        <is>
          <t>/Users/manczg/Documents/development/archon-search/archon_search/graph_store.py</t>
        </is>
      </c>
      <c r="C181" t="inlineStr">
        <is>
          <t>smells-21</t>
        </is>
      </c>
      <c r="D181" t="n">
        <v>237</v>
      </c>
      <c r="E181" t="inlineStr">
        <is>
          <t># type: ignore[return] escape hatch on _edges_schema</t>
        </is>
      </c>
      <c r="F181" t="b">
        <v>0</v>
      </c>
    </row>
    <row r="182">
      <c r="A182" t="inlineStr">
        <is>
          <t>archon-search</t>
        </is>
      </c>
      <c r="B182" t="inlineStr">
        <is>
          <t>/Users/manczg/Documents/development/archon-search/archon_search/graph_store.py</t>
        </is>
      </c>
      <c r="C182" t="inlineStr">
        <is>
          <t>smells-21</t>
        </is>
      </c>
      <c r="D182" t="n">
        <v>251</v>
      </c>
      <c r="E182" t="inlineStr">
        <is>
          <t># type: ignore[return] escape hatch on _communities_schema</t>
        </is>
      </c>
      <c r="F182" t="b">
        <v>0</v>
      </c>
    </row>
    <row r="183">
      <c r="A183" t="inlineStr">
        <is>
          <t>archon-search</t>
        </is>
      </c>
      <c r="B183" t="inlineStr">
        <is>
          <t>/Users/manczg/Documents/development/archon-search/archon_search/graph_store.py</t>
        </is>
      </c>
      <c r="C183" t="inlineStr">
        <is>
          <t>smells-21</t>
        </is>
      </c>
      <c r="D183" t="n">
        <v>270</v>
      </c>
      <c r="E183" t="inlineStr">
        <is>
          <t># type: ignore[return] escape hatch on _mentions_schema</t>
        </is>
      </c>
      <c r="F183" t="b">
        <v>0</v>
      </c>
    </row>
    <row r="184">
      <c r="A184" t="inlineStr">
        <is>
          <t>archon-search</t>
        </is>
      </c>
      <c r="B184" t="inlineStr">
        <is>
          <t>/Users/manczg/Documents/development/archon-search/archon_search/graph_store.py</t>
        </is>
      </c>
      <c r="C184" t="inlineStr">
        <is>
          <t>smells-21</t>
        </is>
      </c>
      <c r="D184" t="n">
        <v>1808</v>
      </c>
      <c r="E184" t="inlineStr">
        <is>
          <t># type: ignore[return] escape hatch on _arrow_to_nodes</t>
        </is>
      </c>
      <c r="F184" t="b">
        <v>0</v>
      </c>
    </row>
    <row r="185">
      <c r="A185" t="inlineStr">
        <is>
          <t>archon-search</t>
        </is>
      </c>
      <c r="B185" t="inlineStr">
        <is>
          <t>/Users/manczg/Documents/development/archon-search/archon_search/graph_store.py</t>
        </is>
      </c>
      <c r="C185" t="inlineStr">
        <is>
          <t>smells-21</t>
        </is>
      </c>
      <c r="D185" t="n">
        <v>1867</v>
      </c>
      <c r="E185" t="inlineStr">
        <is>
          <t># type: ignore[return] escape hatch on _arrow_to_edges</t>
        </is>
      </c>
      <c r="F185" t="b">
        <v>0</v>
      </c>
    </row>
    <row r="186">
      <c r="A186" t="inlineStr">
        <is>
          <t>archon-search</t>
        </is>
      </c>
      <c r="B186" t="inlineStr">
        <is>
          <t>/Users/manczg/Documents/development/archon-search/archon_search/graph_store.py</t>
        </is>
      </c>
      <c r="C186" t="inlineStr">
        <is>
          <t>smells-21</t>
        </is>
      </c>
      <c r="D186" t="n">
        <v>1901</v>
      </c>
      <c r="E186" t="inlineStr">
        <is>
          <t># type: ignore[return] escape hatch on _load_all_from_table</t>
        </is>
      </c>
      <c r="F186" t="b">
        <v>0</v>
      </c>
    </row>
    <row r="187">
      <c r="A187" t="inlineStr">
        <is>
          <t>archon-search</t>
        </is>
      </c>
      <c r="B187" t="inlineStr">
        <is>
          <t>/Users/manczg/Documents/development/archon-search/archon_search/graph_store.py</t>
        </is>
      </c>
      <c r="C187" t="inlineStr">
        <is>
          <t>solid-07</t>
        </is>
      </c>
      <c r="D187" t="n">
        <v>864</v>
      </c>
      <c r="E187" t="inlineStr">
        <is>
          <t>direction parameter typed as raw str instead of an enum like ImpactDirection</t>
        </is>
      </c>
      <c r="F187" t="b">
        <v>1</v>
      </c>
    </row>
    <row r="188">
      <c r="A188" t="inlineStr">
        <is>
          <t>archon-search</t>
        </is>
      </c>
      <c r="B188" t="inlineStr">
        <is>
          <t>/Users/manczg/Documents/development/archon-search/archon_search/graph_store.py</t>
        </is>
      </c>
      <c r="C188" t="inlineStr">
        <is>
          <t>solid-07</t>
        </is>
      </c>
      <c r="D188" t="n">
        <v>1022</v>
      </c>
      <c r="E188" t="inlineStr">
        <is>
          <t>entity_type parameter typed as raw str instead of the EntityType enum</t>
        </is>
      </c>
      <c r="F188" t="b">
        <v>0</v>
      </c>
    </row>
    <row r="189">
      <c r="A189" t="inlineStr">
        <is>
          <t>archon-search</t>
        </is>
      </c>
      <c r="B189" t="inlineStr">
        <is>
          <t>/Users/manczg/Documents/development/archon-search/archon_search/graph_store.py</t>
        </is>
      </c>
      <c r="C189" t="inlineStr">
        <is>
          <t>solid-10</t>
        </is>
      </c>
      <c r="D189" t="n">
        <v>169</v>
      </c>
      <c r="E189" t="inlineStr">
        <is>
          <t>connect() directly instantiates the lancedb connection instead of it being injected</t>
        </is>
      </c>
      <c r="F189" t="b">
        <v>0</v>
      </c>
    </row>
    <row r="190">
      <c r="A190" t="inlineStr">
        <is>
          <t>archon-search</t>
        </is>
      </c>
      <c r="B190" t="inlineStr">
        <is>
          <t>/Users/manczg/Documents/development/archon-search/archon_search/graph_store.py</t>
        </is>
      </c>
      <c r="C190" t="inlineStr">
        <is>
          <t>safety-05</t>
        </is>
      </c>
      <c r="D190" t="n">
        <v>1337</v>
      </c>
      <c r="E190" t="inlineStr">
        <is>
          <t>delete-then-add is non-atomic; a concurrent reader sees zero communities transiently</t>
        </is>
      </c>
      <c r="F190" t="b">
        <v>0</v>
      </c>
    </row>
    <row r="191">
      <c r="A191" t="inlineStr">
        <is>
          <t>archon-search</t>
        </is>
      </c>
      <c r="B191" t="inlineStr">
        <is>
          <t>/Users/manczg/Documents/development/archon-search/archon_search/graph_store.py</t>
        </is>
      </c>
      <c r="C191" t="inlineStr">
        <is>
          <t>safety-06</t>
        </is>
      </c>
      <c r="D191" t="n">
        <v>168</v>
      </c>
      <c r="E191" t="inlineStr">
        <is>
          <t>Path.mkdir() blocking filesystem call executed directly inside async connect()</t>
        </is>
      </c>
      <c r="F191" t="b">
        <v>0</v>
      </c>
    </row>
    <row r="192">
      <c r="A192" t="inlineStr">
        <is>
          <t>archon-search</t>
        </is>
      </c>
      <c r="B192" t="inlineStr">
        <is>
          <t>/Users/manczg/Documents/development/archon-search/archon_search/graph_store.py</t>
        </is>
      </c>
      <c r="C192" t="inlineStr">
        <is>
          <t>safety-07</t>
        </is>
      </c>
      <c r="D192" t="n">
        <v>166</v>
      </c>
      <c r="E192" t="inlineStr">
        <is>
          <t>noqa: PLC0415 suppresses lint on deferred import</t>
        </is>
      </c>
      <c r="F192" t="b">
        <v>1</v>
      </c>
    </row>
    <row r="193">
      <c r="A193" t="inlineStr">
        <is>
          <t>archon-search</t>
        </is>
      </c>
      <c r="B193" t="inlineStr">
        <is>
          <t>/Users/manczg/Documents/development/archon-search/archon_search/graph_store.py</t>
        </is>
      </c>
      <c r="C193" t="inlineStr">
        <is>
          <t>safety-07</t>
        </is>
      </c>
      <c r="D193" t="n">
        <v>222</v>
      </c>
      <c r="E193" t="inlineStr">
        <is>
          <t>noqa: PLC0415 suppresses lint on deferred import</t>
        </is>
      </c>
      <c r="F193" t="b">
        <v>1</v>
      </c>
    </row>
    <row r="194">
      <c r="A194" t="inlineStr">
        <is>
          <t>archon-search</t>
        </is>
      </c>
      <c r="B194" t="inlineStr">
        <is>
          <t>/Users/manczg/Documents/development/archon-search/archon_search/graph_store.py</t>
        </is>
      </c>
      <c r="C194" t="inlineStr">
        <is>
          <t>safety-07</t>
        </is>
      </c>
      <c r="D194" t="n">
        <v>239</v>
      </c>
      <c r="E194" t="inlineStr">
        <is>
          <t>noqa: PLC0415 suppresses lint on deferred import</t>
        </is>
      </c>
      <c r="F194" t="b">
        <v>1</v>
      </c>
    </row>
    <row r="195">
      <c r="A195" t="inlineStr">
        <is>
          <t>archon-search</t>
        </is>
      </c>
      <c r="B195" t="inlineStr">
        <is>
          <t>/Users/manczg/Documents/development/archon-search/archon_search/graph_store.py</t>
        </is>
      </c>
      <c r="C195" t="inlineStr">
        <is>
          <t>safety-07</t>
        </is>
      </c>
      <c r="D195" t="n">
        <v>259</v>
      </c>
      <c r="E195" t="inlineStr">
        <is>
          <t>noqa: PLC0415 suppresses lint on deferred import</t>
        </is>
      </c>
      <c r="F195" t="b">
        <v>1</v>
      </c>
    </row>
    <row r="196">
      <c r="A196" t="inlineStr">
        <is>
          <t>archon-search</t>
        </is>
      </c>
      <c r="B196" t="inlineStr">
        <is>
          <t>/Users/manczg/Documents/development/archon-search/archon_search/graph_store.py</t>
        </is>
      </c>
      <c r="C196" t="inlineStr">
        <is>
          <t>safety-07</t>
        </is>
      </c>
      <c r="D196" t="n">
        <v>277</v>
      </c>
      <c r="E196" t="inlineStr">
        <is>
          <t>noqa: PLC0415 suppresses lint on deferred import</t>
        </is>
      </c>
      <c r="F196" t="b">
        <v>1</v>
      </c>
    </row>
    <row r="197">
      <c r="A197" t="inlineStr">
        <is>
          <t>archon-search</t>
        </is>
      </c>
      <c r="B197" t="inlineStr">
        <is>
          <t>/Users/manczg/Documents/development/archon-search/archon_search/graph_store.py</t>
        </is>
      </c>
      <c r="C197" t="inlineStr">
        <is>
          <t>safety-07</t>
        </is>
      </c>
      <c r="D197" t="n">
        <v>309</v>
      </c>
      <c r="E197" t="inlineStr">
        <is>
          <t>noqa: PLC0415 suppresses lint on deferred import</t>
        </is>
      </c>
      <c r="F197" t="b">
        <v>1</v>
      </c>
    </row>
    <row r="198">
      <c r="A198" t="inlineStr">
        <is>
          <t>archon-search</t>
        </is>
      </c>
      <c r="B198" t="inlineStr">
        <is>
          <t>/Users/manczg/Documents/development/archon-search/archon_search/graph_store.py</t>
        </is>
      </c>
      <c r="C198" t="inlineStr">
        <is>
          <t>safety-07</t>
        </is>
      </c>
      <c r="D198" t="n">
        <v>350</v>
      </c>
      <c r="E198" t="inlineStr">
        <is>
          <t>noqa: PLC0415 suppresses lint on deferred import</t>
        </is>
      </c>
      <c r="F198" t="b">
        <v>1</v>
      </c>
    </row>
    <row r="199">
      <c r="A199" t="inlineStr">
        <is>
          <t>archon-search</t>
        </is>
      </c>
      <c r="B199" t="inlineStr">
        <is>
          <t>/Users/manczg/Documents/development/archon-search/archon_search/graph_store.py</t>
        </is>
      </c>
      <c r="C199" t="inlineStr">
        <is>
          <t>safety-07</t>
        </is>
      </c>
      <c r="D199" t="n">
        <v>387</v>
      </c>
      <c r="E199" t="inlineStr">
        <is>
          <t>noqa: PLC0415 suppresses lint on deferred import</t>
        </is>
      </c>
      <c r="F199" t="b">
        <v>1</v>
      </c>
    </row>
    <row r="200">
      <c r="A200" t="inlineStr">
        <is>
          <t>archon-search</t>
        </is>
      </c>
      <c r="B200" t="inlineStr">
        <is>
          <t>/Users/manczg/Documents/development/archon-search/archon_search/graph_store.py</t>
        </is>
      </c>
      <c r="C200" t="inlineStr">
        <is>
          <t>safety-07</t>
        </is>
      </c>
      <c r="D200" t="n">
        <v>610</v>
      </c>
      <c r="E200" t="inlineStr">
        <is>
          <t>noqa: PLC0415 suppresses lint on deferred import</t>
        </is>
      </c>
      <c r="F200" t="b">
        <v>1</v>
      </c>
    </row>
    <row r="201">
      <c r="A201" t="inlineStr">
        <is>
          <t>archon-search</t>
        </is>
      </c>
      <c r="B201" t="inlineStr">
        <is>
          <t>/Users/manczg/Documents/development/archon-search/archon_search/graph_store.py</t>
        </is>
      </c>
      <c r="C201" t="inlineStr">
        <is>
          <t>safety-07</t>
        </is>
      </c>
      <c r="D201" t="n">
        <v>980</v>
      </c>
      <c r="E201" t="inlineStr">
        <is>
          <t>noqa: PLC0415 suppresses lint on deferred import</t>
        </is>
      </c>
      <c r="F201" t="b">
        <v>1</v>
      </c>
    </row>
    <row r="202">
      <c r="A202" t="inlineStr">
        <is>
          <t>archon-search</t>
        </is>
      </c>
      <c r="B202" t="inlineStr">
        <is>
          <t>/Users/manczg/Documents/development/archon-search/archon_search/graph_store.py</t>
        </is>
      </c>
      <c r="C202" t="inlineStr">
        <is>
          <t>safety-07</t>
        </is>
      </c>
      <c r="D202" t="n">
        <v>1328</v>
      </c>
      <c r="E202" t="inlineStr">
        <is>
          <t>noqa: PLC0415 suppresses lint on deferred import</t>
        </is>
      </c>
      <c r="F202" t="b">
        <v>1</v>
      </c>
    </row>
    <row r="203">
      <c r="A203" t="inlineStr">
        <is>
          <t>archon-search</t>
        </is>
      </c>
      <c r="B203" t="inlineStr">
        <is>
          <t>/Users/manczg/Documents/development/archon-search/archon_search/graph_store.py</t>
        </is>
      </c>
      <c r="C203" t="inlineStr">
        <is>
          <t>safety-07</t>
        </is>
      </c>
      <c r="D203" t="n">
        <v>1370</v>
      </c>
      <c r="E203" t="inlineStr">
        <is>
          <t>noqa: PLC0415 suppresses lint on deferred import</t>
        </is>
      </c>
      <c r="F203" t="b">
        <v>1</v>
      </c>
    </row>
    <row r="204">
      <c r="A204" t="inlineStr">
        <is>
          <t>archon-search</t>
        </is>
      </c>
      <c r="B204" t="inlineStr">
        <is>
          <t>/Users/manczg/Documents/development/archon-search/archon_search/graph_store.py</t>
        </is>
      </c>
      <c r="C204" t="inlineStr">
        <is>
          <t>safety-07</t>
        </is>
      </c>
      <c r="D204" t="n">
        <v>1745</v>
      </c>
      <c r="E204" t="inlineStr">
        <is>
          <t>noqa: PLC0415 suppresses lint on deferred import</t>
        </is>
      </c>
      <c r="F204" t="b">
        <v>1</v>
      </c>
    </row>
    <row r="205">
      <c r="A205" t="inlineStr">
        <is>
          <t>archon-search</t>
        </is>
      </c>
      <c r="B205" t="inlineStr">
        <is>
          <t>/Users/manczg/Documents/development/archon-search/archon_search/graph_store.py</t>
        </is>
      </c>
      <c r="C205" t="inlineStr">
        <is>
          <t>safety-07</t>
        </is>
      </c>
      <c r="D205" t="n">
        <v>1786</v>
      </c>
      <c r="E205" t="inlineStr">
        <is>
          <t>noqa: PLC0415 suppresses lint on deferred import</t>
        </is>
      </c>
      <c r="F205" t="b">
        <v>1</v>
      </c>
    </row>
    <row r="206">
      <c r="A206" t="inlineStr">
        <is>
          <t>archon-search</t>
        </is>
      </c>
      <c r="B206" t="inlineStr">
        <is>
          <t>/Users/manczg/Documents/development/archon-search/archon_search/graph_store.py</t>
        </is>
      </c>
      <c r="C206" t="inlineStr">
        <is>
          <t>safety-07</t>
        </is>
      </c>
      <c r="D206" t="n">
        <v>2447</v>
      </c>
      <c r="E206" t="inlineStr">
        <is>
          <t>noqa: BLE001 suppresses broad-except lint warning</t>
        </is>
      </c>
      <c r="F206" t="b">
        <v>1</v>
      </c>
    </row>
    <row r="207">
      <c r="A207" t="inlineStr">
        <is>
          <t>archon-search</t>
        </is>
      </c>
      <c r="B207" t="inlineStr">
        <is>
          <t>/Users/manczg/Documents/development/archon-search/archon_search/graph_store.py</t>
        </is>
      </c>
      <c r="C207" t="inlineStr">
        <is>
          <t>safety-08</t>
        </is>
      </c>
      <c r="D207" t="n">
        <v>169</v>
      </c>
      <c r="E207" t="inlineStr">
        <is>
          <t>lancedb.connect_async call has no timeout or cancellation</t>
        </is>
      </c>
      <c r="F207" t="b">
        <v>0</v>
      </c>
    </row>
    <row r="208">
      <c r="A208" t="inlineStr">
        <is>
          <t>archon-search</t>
        </is>
      </c>
      <c r="B208" t="inlineStr">
        <is>
          <t>/Users/manczg/Documents/development/archon-search/archon_search/graph_store.py</t>
        </is>
      </c>
      <c r="C208" t="inlineStr">
        <is>
          <t>safety-08</t>
        </is>
      </c>
      <c r="D208" t="n">
        <v>1005</v>
      </c>
      <c r="E208" t="inlineStr">
        <is>
          <t>create_index call has no timeout or cancellation for a potentially slow ANN build</t>
        </is>
      </c>
      <c r="F208" t="b">
        <v>0</v>
      </c>
    </row>
    <row r="209">
      <c r="A209" t="inlineStr">
        <is>
          <t>archon-search</t>
        </is>
      </c>
      <c r="B209" t="inlineStr">
        <is>
          <t>/Users/manczg/Documents/development/archon-search/archon_search/server/mcp.py</t>
        </is>
      </c>
      <c r="C209" t="inlineStr">
        <is>
          <t>clarity-06</t>
        </is>
      </c>
      <c r="D209" t="n">
        <v>425</v>
      </c>
      <c r="E209" t="inlineStr">
        <is>
          <t>result_obj noise-word suffix instead of descriptive name</t>
        </is>
      </c>
      <c r="F209" t="b">
        <v>0</v>
      </c>
    </row>
    <row r="210">
      <c r="A210" t="inlineStr">
        <is>
          <t>archon-search</t>
        </is>
      </c>
      <c r="B210" t="inlineStr">
        <is>
          <t>/Users/manczg/Documents/development/archon-search/archon_search/server/mcp.py</t>
        </is>
      </c>
      <c r="C210" t="inlineStr">
        <is>
          <t>clarity-06</t>
        </is>
      </c>
      <c r="D210" t="n">
        <v>516</v>
      </c>
      <c r="E210" t="inlineStr">
        <is>
          <t>result_obj noise-word suffix instead of descriptive name</t>
        </is>
      </c>
      <c r="F210" t="b">
        <v>0</v>
      </c>
    </row>
    <row r="211">
      <c r="A211" t="inlineStr">
        <is>
          <t>archon-search</t>
        </is>
      </c>
      <c r="B211" t="inlineStr">
        <is>
          <t>/Users/manczg/Documents/development/archon-search/archon_search/server/mcp.py</t>
        </is>
      </c>
      <c r="C211" t="inlineStr">
        <is>
          <t>clarity-09</t>
        </is>
      </c>
      <c r="D211" t="n">
        <v>871</v>
      </c>
      <c r="E211" t="inlineStr">
        <is>
          <t>graph_mode-or-(rag_fusion-and-enabled) condition inlined instead of named</t>
        </is>
      </c>
      <c r="F211" t="b">
        <v>1</v>
      </c>
    </row>
    <row r="212">
      <c r="A212" t="inlineStr">
        <is>
          <t>archon-search</t>
        </is>
      </c>
      <c r="B212" t="inlineStr">
        <is>
          <t>/Users/manczg/Documents/development/archon-search/archon_search/server/mcp.py</t>
        </is>
      </c>
      <c r="C212" t="inlineStr">
        <is>
          <t>clarity-09</t>
        </is>
      </c>
      <c r="D212" t="n">
        <v>1019</v>
      </c>
      <c r="E212" t="inlineStr">
        <is>
          <t>chosen_score None-or-below-threshold check inlined in constructor call</t>
        </is>
      </c>
      <c r="F212" t="b">
        <v>0</v>
      </c>
    </row>
    <row r="213">
      <c r="A213" t="inlineStr">
        <is>
          <t>archon-search</t>
        </is>
      </c>
      <c r="B213" t="inlineStr">
        <is>
          <t>/Users/manczg/Documents/development/archon-search/archon_search/server/mcp.py</t>
        </is>
      </c>
      <c r="C213" t="inlineStr">
        <is>
          <t>clarity-16</t>
        </is>
      </c>
      <c r="D213" t="n">
        <v>292</v>
      </c>
      <c r="E213" t="inlineStr">
        <is>
          <t>search tool has ~15 branches/try-except paths in one function</t>
        </is>
      </c>
      <c r="F213" t="b">
        <v>1</v>
      </c>
    </row>
    <row r="214">
      <c r="A214" t="inlineStr">
        <is>
          <t>archon-search</t>
        </is>
      </c>
      <c r="B214" t="inlineStr">
        <is>
          <t>/Users/manczg/Documents/development/archon-search/archon_search/server/mcp.py</t>
        </is>
      </c>
      <c r="C214" t="inlineStr">
        <is>
          <t>clarity-16</t>
        </is>
      </c>
      <c r="D214" t="n">
        <v>604</v>
      </c>
      <c r="E214" t="inlineStr">
        <is>
          <t>search_with_context has deep nested branching and multiple except clauses</t>
        </is>
      </c>
      <c r="F214" t="b">
        <v>1</v>
      </c>
    </row>
    <row r="215">
      <c r="A215" t="inlineStr">
        <is>
          <t>archon-search</t>
        </is>
      </c>
      <c r="B215" t="inlineStr">
        <is>
          <t>/Users/manczg/Documents/development/archon-search/archon_search/server/mcp.py</t>
        </is>
      </c>
      <c r="C215" t="inlineStr">
        <is>
          <t>clarity-16</t>
        </is>
      </c>
      <c r="D215" t="n">
        <v>794</v>
      </c>
      <c r="E215" t="inlineStr">
        <is>
          <t>explain has extremely high branch count across two collection modes</t>
        </is>
      </c>
      <c r="F215" t="b">
        <v>1</v>
      </c>
    </row>
    <row r="216">
      <c r="A216" t="inlineStr">
        <is>
          <t>archon-search</t>
        </is>
      </c>
      <c r="B216" t="inlineStr">
        <is>
          <t>/Users/manczg/Documents/development/archon-search/archon_search/server/mcp.py</t>
        </is>
      </c>
      <c r="C216" t="inlineStr">
        <is>
          <t>clarity-16</t>
        </is>
      </c>
      <c r="D216" t="n">
        <v>1364</v>
      </c>
      <c r="E216" t="inlineStr">
        <is>
          <t>update_collection has a 4-branch state machine plus nested guards</t>
        </is>
      </c>
      <c r="F216" t="b">
        <v>1</v>
      </c>
    </row>
    <row r="217">
      <c r="A217" t="inlineStr">
        <is>
          <t>archon-search</t>
        </is>
      </c>
      <c r="B217" t="inlineStr">
        <is>
          <t>/Users/manczg/Documents/development/archon-search/archon_search/server/mcp.py</t>
        </is>
      </c>
      <c r="C217" t="inlineStr">
        <is>
          <t>clarity-16</t>
        </is>
      </c>
      <c r="D217" t="n">
        <v>1510</v>
      </c>
      <c r="E217" t="inlineStr">
        <is>
          <t>import_collection chains 7+ sequential validation branches</t>
        </is>
      </c>
      <c r="F217" t="b">
        <v>1</v>
      </c>
    </row>
    <row r="218">
      <c r="A218" t="inlineStr">
        <is>
          <t>archon-search</t>
        </is>
      </c>
      <c r="B218" t="inlineStr">
        <is>
          <t>/Users/manczg/Documents/development/archon-search/archon_search/server/mcp.py</t>
        </is>
      </c>
      <c r="C218" t="inlineStr">
        <is>
          <t>clarity-16</t>
        </is>
      </c>
      <c r="D218" t="n">
        <v>1902</v>
      </c>
      <c r="E218" t="inlineStr">
        <is>
          <t>get_graph mixes guard clauses, loops and dict-building branches</t>
        </is>
      </c>
      <c r="F218" t="b">
        <v>0</v>
      </c>
    </row>
    <row r="219">
      <c r="A219" t="inlineStr">
        <is>
          <t>archon-search</t>
        </is>
      </c>
      <c r="B219" t="inlineStr">
        <is>
          <t>/Users/manczg/Documents/development/archon-search/archon_search/server/mcp.py</t>
        </is>
      </c>
      <c r="C219" t="inlineStr">
        <is>
          <t>clarity-16</t>
        </is>
      </c>
      <c r="D219" t="n">
        <v>1987</v>
      </c>
      <c r="E219" t="inlineStr">
        <is>
          <t>get_graph_cross_collection duplicates get_graph's branching plus extra validation</t>
        </is>
      </c>
      <c r="F219" t="b">
        <v>1</v>
      </c>
    </row>
    <row r="220">
      <c r="A220" t="inlineStr">
        <is>
          <t>archon-search</t>
        </is>
      </c>
      <c r="B220" t="inlineStr">
        <is>
          <t>/Users/manczg/Documents/development/archon-search/archon_search/server/mcp.py</t>
        </is>
      </c>
      <c r="C220" t="inlineStr">
        <is>
          <t>clarity-17</t>
        </is>
      </c>
      <c r="D220" t="n">
        <v>258</v>
      </c>
      <c r="E220" t="inlineStr">
        <is>
          <t>create_app spans lines 258-2184, ~1900 lines in one function</t>
        </is>
      </c>
      <c r="F220" t="b">
        <v>1</v>
      </c>
    </row>
    <row r="221">
      <c r="A221" t="inlineStr">
        <is>
          <t>archon-search</t>
        </is>
      </c>
      <c r="B221" t="inlineStr">
        <is>
          <t>/Users/manczg/Documents/development/archon-search/archon_search/server/mcp.py</t>
        </is>
      </c>
      <c r="C221" t="inlineStr">
        <is>
          <t>clarity-17</t>
        </is>
      </c>
      <c r="D221" t="n">
        <v>292</v>
      </c>
      <c r="E221" t="inlineStr">
        <is>
          <t>search tool body runs ~310 lines (292-601)</t>
        </is>
      </c>
      <c r="F221" t="b">
        <v>1</v>
      </c>
    </row>
    <row r="222">
      <c r="A222" t="inlineStr">
        <is>
          <t>archon-search</t>
        </is>
      </c>
      <c r="B222" t="inlineStr">
        <is>
          <t>/Users/manczg/Documents/development/archon-search/archon_search/server/mcp.py</t>
        </is>
      </c>
      <c r="C222" t="inlineStr">
        <is>
          <t>clarity-17</t>
        </is>
      </c>
      <c r="D222" t="n">
        <v>604</v>
      </c>
      <c r="E222" t="inlineStr">
        <is>
          <t>search_with_context body runs ~188 lines (604-791)</t>
        </is>
      </c>
      <c r="F222" t="b">
        <v>1</v>
      </c>
    </row>
    <row r="223">
      <c r="A223" t="inlineStr">
        <is>
          <t>archon-search</t>
        </is>
      </c>
      <c r="B223" t="inlineStr">
        <is>
          <t>/Users/manczg/Documents/development/archon-search/archon_search/server/mcp.py</t>
        </is>
      </c>
      <c r="C223" t="inlineStr">
        <is>
          <t>clarity-17</t>
        </is>
      </c>
      <c r="D223" t="n">
        <v>794</v>
      </c>
      <c r="E223" t="inlineStr">
        <is>
          <t>explain body runs ~340 lines (794-1134)</t>
        </is>
      </c>
      <c r="F223" t="b">
        <v>1</v>
      </c>
    </row>
    <row r="224">
      <c r="A224" t="inlineStr">
        <is>
          <t>archon-search</t>
        </is>
      </c>
      <c r="B224" t="inlineStr">
        <is>
          <t>/Users/manczg/Documents/development/archon-search/archon_search/server/mcp.py</t>
        </is>
      </c>
      <c r="C224" t="inlineStr">
        <is>
          <t>clarity-17</t>
        </is>
      </c>
      <c r="D224" t="n">
        <v>1364</v>
      </c>
      <c r="E224" t="inlineStr">
        <is>
          <t>update_collection body runs ~97 lines (1364-1460)</t>
        </is>
      </c>
      <c r="F224" t="b">
        <v>0</v>
      </c>
    </row>
    <row r="225">
      <c r="A225" t="inlineStr">
        <is>
          <t>archon-search</t>
        </is>
      </c>
      <c r="B225" t="inlineStr">
        <is>
          <t>/Users/manczg/Documents/development/archon-search/archon_search/server/mcp.py</t>
        </is>
      </c>
      <c r="C225" t="inlineStr">
        <is>
          <t>clarity-17</t>
        </is>
      </c>
      <c r="D225" t="n">
        <v>1510</v>
      </c>
      <c r="E225" t="inlineStr">
        <is>
          <t>import_collection body runs ~96 lines (1510-1605)</t>
        </is>
      </c>
      <c r="F225" t="b">
        <v>0</v>
      </c>
    </row>
    <row r="226">
      <c r="A226" t="inlineStr">
        <is>
          <t>archon-search</t>
        </is>
      </c>
      <c r="B226" t="inlineStr">
        <is>
          <t>/Users/manczg/Documents/development/archon-search/archon_search/server/mcp.py</t>
        </is>
      </c>
      <c r="C226" t="inlineStr">
        <is>
          <t>clarity-17</t>
        </is>
      </c>
      <c r="D226" t="n">
        <v>1902</v>
      </c>
      <c r="E226" t="inlineStr">
        <is>
          <t>get_graph body runs ~83 lines (1902-1984)</t>
        </is>
      </c>
      <c r="F226" t="b">
        <v>0</v>
      </c>
    </row>
    <row r="227">
      <c r="A227" t="inlineStr">
        <is>
          <t>archon-search</t>
        </is>
      </c>
      <c r="B227" t="inlineStr">
        <is>
          <t>/Users/manczg/Documents/development/archon-search/archon_search/server/mcp.py</t>
        </is>
      </c>
      <c r="C227" t="inlineStr">
        <is>
          <t>clarity-17</t>
        </is>
      </c>
      <c r="D227" t="n">
        <v>1987</v>
      </c>
      <c r="E227" t="inlineStr">
        <is>
          <t>get_graph_cross_collection body runs ~104 lines (1987-2090)</t>
        </is>
      </c>
      <c r="F227" t="b">
        <v>0</v>
      </c>
    </row>
    <row r="228">
      <c r="A228" t="inlineStr">
        <is>
          <t>archon-search</t>
        </is>
      </c>
      <c r="B228" t="inlineStr">
        <is>
          <t>/Users/manczg/Documents/development/archon-search/archon_search/server/mcp.py</t>
        </is>
      </c>
      <c r="C228" t="inlineStr">
        <is>
          <t>smells-01</t>
        </is>
      </c>
      <c r="D228" t="n">
        <v>1</v>
      </c>
      <c r="E228" t="inlineStr">
        <is>
          <t>module is 2260 lines, well beyond a reasonable single-file size</t>
        </is>
      </c>
      <c r="F228" t="b">
        <v>1</v>
      </c>
    </row>
    <row r="229">
      <c r="A229" t="inlineStr">
        <is>
          <t>archon-search</t>
        </is>
      </c>
      <c r="B229" t="inlineStr">
        <is>
          <t>/Users/manczg/Documents/development/archon-search/archon_search/server/mcp.py</t>
        </is>
      </c>
      <c r="C229" t="inlineStr">
        <is>
          <t>smells-02</t>
        </is>
      </c>
      <c r="D229" t="n">
        <v>258</v>
      </c>
      <c r="E229" t="inlineStr">
        <is>
          <t>create_app takes 11 parameters</t>
        </is>
      </c>
      <c r="F229" t="b">
        <v>1</v>
      </c>
    </row>
    <row r="230">
      <c r="A230" t="inlineStr">
        <is>
          <t>archon-search</t>
        </is>
      </c>
      <c r="B230" t="inlineStr">
        <is>
          <t>/Users/manczg/Documents/development/archon-search/archon_search/server/mcp.py</t>
        </is>
      </c>
      <c r="C230" t="inlineStr">
        <is>
          <t>smells-02</t>
        </is>
      </c>
      <c r="D230" t="n">
        <v>2187</v>
      </c>
      <c r="E230" t="inlineStr">
        <is>
          <t>create_mcp_http_app takes 12 parameters</t>
        </is>
      </c>
      <c r="F230" t="b">
        <v>1</v>
      </c>
    </row>
    <row r="231">
      <c r="A231" t="inlineStr">
        <is>
          <t>archon-search</t>
        </is>
      </c>
      <c r="B231" t="inlineStr">
        <is>
          <t>/Users/manczg/Documents/development/archon-search/archon_search/server/mcp.py</t>
        </is>
      </c>
      <c r="C231" t="inlineStr">
        <is>
          <t>smells-02</t>
        </is>
      </c>
      <c r="D231" t="n">
        <v>292</v>
      </c>
      <c r="E231" t="inlineStr">
        <is>
          <t>search tool takes 14 parameters</t>
        </is>
      </c>
      <c r="F231" t="b">
        <v>1</v>
      </c>
    </row>
    <row r="232">
      <c r="A232" t="inlineStr">
        <is>
          <t>archon-search</t>
        </is>
      </c>
      <c r="B232" t="inlineStr">
        <is>
          <t>/Users/manczg/Documents/development/archon-search/archon_search/server/mcp.py</t>
        </is>
      </c>
      <c r="C232" t="inlineStr">
        <is>
          <t>smells-02</t>
        </is>
      </c>
      <c r="D232" t="n">
        <v>604</v>
      </c>
      <c r="E232" t="inlineStr">
        <is>
          <t>search_with_context tool takes 14 parameters</t>
        </is>
      </c>
      <c r="F232" t="b">
        <v>1</v>
      </c>
    </row>
    <row r="233">
      <c r="A233" t="inlineStr">
        <is>
          <t>archon-search</t>
        </is>
      </c>
      <c r="B233" t="inlineStr">
        <is>
          <t>/Users/manczg/Documents/development/archon-search/archon_search/server/mcp.py</t>
        </is>
      </c>
      <c r="C233" t="inlineStr">
        <is>
          <t>smells-02</t>
        </is>
      </c>
      <c r="D233" t="n">
        <v>794</v>
      </c>
      <c r="E233" t="inlineStr">
        <is>
          <t>explain tool takes 9 parameters</t>
        </is>
      </c>
      <c r="F233" t="b">
        <v>1</v>
      </c>
    </row>
    <row r="234">
      <c r="A234" t="inlineStr">
        <is>
          <t>archon-search</t>
        </is>
      </c>
      <c r="B234" t="inlineStr">
        <is>
          <t>/Users/manczg/Documents/development/archon-search/archon_search/server/mcp.py</t>
        </is>
      </c>
      <c r="C234" t="inlineStr">
        <is>
          <t>smells-03</t>
        </is>
      </c>
      <c r="D234" t="n">
        <v>296</v>
      </c>
      <c r="E234" t="inlineStr">
        <is>
          <t>include_metadata boolean flag drives response shaping downstream</t>
        </is>
      </c>
      <c r="F234" t="b">
        <v>1</v>
      </c>
    </row>
    <row r="235">
      <c r="A235" t="inlineStr">
        <is>
          <t>archon-search</t>
        </is>
      </c>
      <c r="B235" t="inlineStr">
        <is>
          <t>/Users/manczg/Documents/development/archon-search/archon_search/server/mcp.py</t>
        </is>
      </c>
      <c r="C235" t="inlineStr">
        <is>
          <t>smells-03</t>
        </is>
      </c>
      <c r="D235" t="n">
        <v>303</v>
      </c>
      <c r="E235" t="inlineStr">
        <is>
          <t>hyde boolean flag toggles expansion branch</t>
        </is>
      </c>
      <c r="F235" t="b">
        <v>1</v>
      </c>
    </row>
    <row r="236">
      <c r="A236" t="inlineStr">
        <is>
          <t>archon-search</t>
        </is>
      </c>
      <c r="B236" t="inlineStr">
        <is>
          <t>/Users/manczg/Documents/development/archon-search/archon_search/server/mcp.py</t>
        </is>
      </c>
      <c r="C236" t="inlineStr">
        <is>
          <t>smells-03</t>
        </is>
      </c>
      <c r="D236" t="n">
        <v>304</v>
      </c>
      <c r="E236" t="inlineStr">
        <is>
          <t>rag_fusion boolean flag toggles mutually-exclusive expansion branch</t>
        </is>
      </c>
      <c r="F236" t="b">
        <v>1</v>
      </c>
    </row>
    <row r="237">
      <c r="A237" t="inlineStr">
        <is>
          <t>archon-search</t>
        </is>
      </c>
      <c r="B237" t="inlineStr">
        <is>
          <t>/Users/manczg/Documents/development/archon-search/archon_search/server/mcp.py</t>
        </is>
      </c>
      <c r="C237" t="inlineStr">
        <is>
          <t>smells-03</t>
        </is>
      </c>
      <c r="D237" t="n">
        <v>608</v>
      </c>
      <c r="E237" t="inlineStr">
        <is>
          <t>include_metadata boolean flag on search_with_context</t>
        </is>
      </c>
      <c r="F237" t="b">
        <v>1</v>
      </c>
    </row>
    <row r="238">
      <c r="A238" t="inlineStr">
        <is>
          <t>archon-search</t>
        </is>
      </c>
      <c r="B238" t="inlineStr">
        <is>
          <t>/Users/manczg/Documents/development/archon-search/archon_search/server/mcp.py</t>
        </is>
      </c>
      <c r="C238" t="inlineStr">
        <is>
          <t>smells-03</t>
        </is>
      </c>
      <c r="D238" t="n">
        <v>799</v>
      </c>
      <c r="E238" t="inlineStr">
        <is>
          <t>rerank boolean flag on explain</t>
        </is>
      </c>
      <c r="F238" t="b">
        <v>1</v>
      </c>
    </row>
    <row r="239">
      <c r="A239" t="inlineStr">
        <is>
          <t>archon-search</t>
        </is>
      </c>
      <c r="B239" t="inlineStr">
        <is>
          <t>/Users/manczg/Documents/development/archon-search/archon_search/server/mcp.py</t>
        </is>
      </c>
      <c r="C239" t="inlineStr">
        <is>
          <t>smells-03</t>
        </is>
      </c>
      <c r="D239" t="n">
        <v>1513</v>
      </c>
      <c r="E239" t="inlineStr">
        <is>
          <t>force_overwrite boolean flag on import_collection</t>
        </is>
      </c>
      <c r="F239" t="b">
        <v>1</v>
      </c>
    </row>
    <row r="240">
      <c r="A240" t="inlineStr">
        <is>
          <t>archon-search</t>
        </is>
      </c>
      <c r="B240" t="inlineStr">
        <is>
          <t>/Users/manczg/Documents/development/archon-search/archon_search/server/mcp.py</t>
        </is>
      </c>
      <c r="C240" t="inlineStr">
        <is>
          <t>smells-03</t>
        </is>
      </c>
      <c r="D240" t="n">
        <v>1514</v>
      </c>
      <c r="E240" t="inlineStr">
        <is>
          <t>ignore_schema_version boolean flag on import_collection</t>
        </is>
      </c>
      <c r="F240" t="b">
        <v>1</v>
      </c>
    </row>
    <row r="241">
      <c r="A241" t="inlineStr">
        <is>
          <t>archon-search</t>
        </is>
      </c>
      <c r="B241" t="inlineStr">
        <is>
          <t>/Users/manczg/Documents/development/archon-search/archon_search/server/mcp.py</t>
        </is>
      </c>
      <c r="C241" t="inlineStr">
        <is>
          <t>smells-03</t>
        </is>
      </c>
      <c r="D241" t="n">
        <v>1275</v>
      </c>
      <c r="E241" t="inlineStr">
        <is>
          <t>include_description_embedding boolean flag on get_collections_meta</t>
        </is>
      </c>
      <c r="F241" t="b">
        <v>1</v>
      </c>
    </row>
    <row r="242">
      <c r="A242" t="inlineStr">
        <is>
          <t>archon-search</t>
        </is>
      </c>
      <c r="B242" t="inlineStr">
        <is>
          <t>/Users/manczg/Documents/development/archon-search/archon_search/server/mcp.py</t>
        </is>
      </c>
      <c r="C242" t="inlineStr">
        <is>
          <t>smells-08</t>
        </is>
      </c>
      <c r="D242" t="n">
        <v>131</v>
      </c>
      <c r="E242" t="inlineStr">
        <is>
          <t>_validate_scope_filter returns Optional error object as success/failure sentinel</t>
        </is>
      </c>
      <c r="F242" t="b">
        <v>0</v>
      </c>
    </row>
    <row r="243">
      <c r="A243" t="inlineStr">
        <is>
          <t>archon-search</t>
        </is>
      </c>
      <c r="B243" t="inlineStr">
        <is>
          <t>/Users/manczg/Documents/development/archon-search/archon_search/server/mcp.py</t>
        </is>
      </c>
      <c r="C243" t="inlineStr">
        <is>
          <t>smells-08</t>
        </is>
      </c>
      <c r="D243" t="n">
        <v>139</v>
      </c>
      <c r="E243" t="inlineStr">
        <is>
          <t>_validate_ttl_and_scopes returns Optional error object as success/failure sentinel</t>
        </is>
      </c>
      <c r="F243" t="b">
        <v>0</v>
      </c>
    </row>
    <row r="244">
      <c r="A244" t="inlineStr">
        <is>
          <t>archon-search</t>
        </is>
      </c>
      <c r="B244" t="inlineStr">
        <is>
          <t>/Users/manczg/Documents/development/archon-search/archon_search/server/mcp.py</t>
        </is>
      </c>
      <c r="C244" t="inlineStr">
        <is>
          <t>smells-21</t>
        </is>
      </c>
      <c r="D244" t="n">
        <v>219</v>
      </c>
      <c r="E244" t="inlineStr">
        <is>
          <t>pipeline: Any parameter defeats static typing in helper</t>
        </is>
      </c>
      <c r="F244" t="b">
        <v>1</v>
      </c>
    </row>
    <row r="245">
      <c r="A245" t="inlineStr">
        <is>
          <t>archon-search</t>
        </is>
      </c>
      <c r="B245" t="inlineStr">
        <is>
          <t>/Users/manczg/Documents/development/archon-search/archon_search/server/mcp.py</t>
        </is>
      </c>
      <c r="C245" t="inlineStr">
        <is>
          <t>smells-21</t>
        </is>
      </c>
      <c r="D245" t="n">
        <v>230</v>
      </c>
      <c r="E245" t="inlineStr">
        <is>
          <t>pipeline: Any, embedder_cache: Any, config: Any in _resolve_embedder</t>
        </is>
      </c>
      <c r="F245" t="b">
        <v>1</v>
      </c>
    </row>
    <row r="246">
      <c r="A246" t="inlineStr">
        <is>
          <t>archon-search</t>
        </is>
      </c>
      <c r="B246" t="inlineStr">
        <is>
          <t>/Users/manczg/Documents/development/archon-search/archon_search/server/mcp.py</t>
        </is>
      </c>
      <c r="C246" t="inlineStr">
        <is>
          <t>smells-21</t>
        </is>
      </c>
      <c r="D246" t="n">
        <v>1832</v>
      </c>
      <c r="E246" t="inlineStr">
        <is>
          <t>explicit type: ignore[assignment] escape hatch</t>
        </is>
      </c>
      <c r="F246" t="b">
        <v>0</v>
      </c>
    </row>
    <row r="247">
      <c r="A247" t="inlineStr">
        <is>
          <t>archon-search</t>
        </is>
      </c>
      <c r="B247" t="inlineStr">
        <is>
          <t>/Users/manczg/Documents/development/archon-search/archon_search/server/mcp.py</t>
        </is>
      </c>
      <c r="C247" t="inlineStr">
        <is>
          <t>solid-07</t>
        </is>
      </c>
      <c r="D247" t="n">
        <v>332</v>
      </c>
      <c r="E247" t="inlineStr">
        <is>
          <t>graph_mode value validated against a raw string set instead of an enum type</t>
        </is>
      </c>
      <c r="F247" t="b">
        <v>0</v>
      </c>
    </row>
    <row r="248">
      <c r="A248" t="inlineStr">
        <is>
          <t>archon-search</t>
        </is>
      </c>
      <c r="B248" t="inlineStr">
        <is>
          <t>/Users/manczg/Documents/development/archon-search/archon_search/server/mcp.py</t>
        </is>
      </c>
      <c r="C248" t="inlineStr">
        <is>
          <t>solid-07</t>
        </is>
      </c>
      <c r="D248" t="n">
        <v>336</v>
      </c>
      <c r="E248" t="inlineStr">
        <is>
          <t>"graph_disabled" bare string used as an ad-hoc error-code enum</t>
        </is>
      </c>
      <c r="F248" t="b">
        <v>0</v>
      </c>
    </row>
    <row r="249">
      <c r="A249" t="inlineStr">
        <is>
          <t>archon-search</t>
        </is>
      </c>
      <c r="B249" t="inlineStr">
        <is>
          <t>/Users/manczg/Documents/development/archon-search/archon_search/server/mcp.py</t>
        </is>
      </c>
      <c r="C249" t="inlineStr">
        <is>
          <t>solid-07</t>
        </is>
      </c>
      <c r="D249" t="n">
        <v>511</v>
      </c>
      <c r="E249" t="inlineStr">
        <is>
          <t>"not_found" bare string used as an ad-hoc error-code enum</t>
        </is>
      </c>
      <c r="F249" t="b">
        <v>0</v>
      </c>
    </row>
    <row r="250">
      <c r="A250" t="inlineStr">
        <is>
          <t>archon-search</t>
        </is>
      </c>
      <c r="B250" t="inlineStr">
        <is>
          <t>/Users/manczg/Documents/development/archon-search/archon_search/server/mcp.py</t>
        </is>
      </c>
      <c r="C250" t="inlineStr">
        <is>
          <t>solid-07</t>
        </is>
      </c>
      <c r="D250" t="n">
        <v>1183</v>
      </c>
      <c r="E250" t="inlineStr">
        <is>
          <t>"store_busy" bare string repeated as ad-hoc error-code enum</t>
        </is>
      </c>
      <c r="F250" t="b">
        <v>0</v>
      </c>
    </row>
    <row r="251">
      <c r="A251" t="inlineStr">
        <is>
          <t>archon-search</t>
        </is>
      </c>
      <c r="B251" t="inlineStr">
        <is>
          <t>/Users/manczg/Documents/development/archon-search/archon_search/server/mcp.py</t>
        </is>
      </c>
      <c r="C251" t="inlineStr">
        <is>
          <t>solid-07</t>
        </is>
      </c>
      <c r="D251" t="n">
        <v>1358</v>
      </c>
      <c r="E251" t="inlineStr">
        <is>
          <t>"store_busy" bare string repeated as ad-hoc error-code enum</t>
        </is>
      </c>
      <c r="F251" t="b">
        <v>0</v>
      </c>
    </row>
    <row r="252">
      <c r="A252" t="inlineStr">
        <is>
          <t>archon-search</t>
        </is>
      </c>
      <c r="B252" t="inlineStr">
        <is>
          <t>/Users/manczg/Documents/development/archon-search/archon_search/server/mcp.py</t>
        </is>
      </c>
      <c r="C252" t="inlineStr">
        <is>
          <t>solid-10</t>
        </is>
      </c>
      <c r="D252" t="n">
        <v>355</v>
      </c>
      <c r="E252" t="inlineStr">
        <is>
          <t>RAGFusionConfig() constructed inline as fallback instead of injected</t>
        </is>
      </c>
      <c r="F252" t="b">
        <v>1</v>
      </c>
    </row>
    <row r="253">
      <c r="A253" t="inlineStr">
        <is>
          <t>archon-search</t>
        </is>
      </c>
      <c r="B253" t="inlineStr">
        <is>
          <t>/Users/manczg/Documents/development/archon-search/archon_search/server/mcp.py</t>
        </is>
      </c>
      <c r="C253" t="inlineStr">
        <is>
          <t>solid-10</t>
        </is>
      </c>
      <c r="D253" t="n">
        <v>362</v>
      </c>
      <c r="E253" t="inlineStr">
        <is>
          <t>HyDEConfig() constructed inline as fallback instead of injected</t>
        </is>
      </c>
      <c r="F253" t="b">
        <v>1</v>
      </c>
    </row>
    <row r="254">
      <c r="A254" t="inlineStr">
        <is>
          <t>archon-search</t>
        </is>
      </c>
      <c r="B254" t="inlineStr">
        <is>
          <t>/Users/manczg/Documents/development/archon-search/archon_search/server/mcp.py</t>
        </is>
      </c>
      <c r="C254" t="inlineStr">
        <is>
          <t>solid-10</t>
        </is>
      </c>
      <c r="D254" t="n">
        <v>393</v>
      </c>
      <c r="E254" t="inlineStr">
        <is>
          <t>_SearchConfig() constructed inline as fallback instead of injected</t>
        </is>
      </c>
      <c r="F254" t="b">
        <v>0</v>
      </c>
    </row>
    <row r="255">
      <c r="A255" t="inlineStr">
        <is>
          <t>archon-search</t>
        </is>
      </c>
      <c r="B255" t="inlineStr">
        <is>
          <t>/Users/manczg/Documents/development/archon-search/archon_search/server/mcp.py</t>
        </is>
      </c>
      <c r="C255" t="inlineStr">
        <is>
          <t>solid-10</t>
        </is>
      </c>
      <c r="D255" t="n">
        <v>656</v>
      </c>
      <c r="E255" t="inlineStr">
        <is>
          <t>RAGFusionConfig() constructed inline in search_with_context</t>
        </is>
      </c>
      <c r="F255" t="b">
        <v>1</v>
      </c>
    </row>
    <row r="256">
      <c r="A256" t="inlineStr">
        <is>
          <t>archon-search</t>
        </is>
      </c>
      <c r="B256" t="inlineStr">
        <is>
          <t>/Users/manczg/Documents/development/archon-search/archon_search/server/mcp.py</t>
        </is>
      </c>
      <c r="C256" t="inlineStr">
        <is>
          <t>solid-10</t>
        </is>
      </c>
      <c r="D256" t="n">
        <v>664</v>
      </c>
      <c r="E256" t="inlineStr">
        <is>
          <t>HyDEConfig() constructed inline in search_with_context</t>
        </is>
      </c>
      <c r="F256" t="b">
        <v>1</v>
      </c>
    </row>
    <row r="257">
      <c r="A257" t="inlineStr">
        <is>
          <t>archon-search</t>
        </is>
      </c>
      <c r="B257" t="inlineStr">
        <is>
          <t>/Users/manczg/Documents/development/archon-search/archon_search/server/mcp.py</t>
        </is>
      </c>
      <c r="C257" t="inlineStr">
        <is>
          <t>solid-10</t>
        </is>
      </c>
      <c r="D257" t="n">
        <v>826</v>
      </c>
      <c r="E257" t="inlineStr">
        <is>
          <t>_SearchConfig() constructed inline in explain</t>
        </is>
      </c>
      <c r="F257" t="b">
        <v>0</v>
      </c>
    </row>
    <row r="258">
      <c r="A258" t="inlineStr">
        <is>
          <t>archon-search</t>
        </is>
      </c>
      <c r="B258" t="inlineStr">
        <is>
          <t>/Users/manczg/Documents/development/archon-search/archon_search/server/mcp.py</t>
        </is>
      </c>
      <c r="C258" t="inlineStr">
        <is>
          <t>solid-10</t>
        </is>
      </c>
      <c r="D258" t="n">
        <v>870</v>
      </c>
      <c r="E258" t="inlineStr">
        <is>
          <t>RAGFusionConfig() constructed inline in explain</t>
        </is>
      </c>
      <c r="F258" t="b">
        <v>1</v>
      </c>
    </row>
    <row r="259">
      <c r="A259" t="inlineStr">
        <is>
          <t>archon-search</t>
        </is>
      </c>
      <c r="B259" t="inlineStr">
        <is>
          <t>/Users/manczg/Documents/development/archon-search/archon_search/server/mcp.py</t>
        </is>
      </c>
      <c r="C259" t="inlineStr">
        <is>
          <t>solid-10</t>
        </is>
      </c>
      <c r="D259" t="n">
        <v>877</v>
      </c>
      <c r="E259" t="inlineStr">
        <is>
          <t>HyDEConfig() constructed inline in explain</t>
        </is>
      </c>
      <c r="F259" t="b">
        <v>1</v>
      </c>
    </row>
    <row r="260">
      <c r="A260" t="inlineStr">
        <is>
          <t>archon-search</t>
        </is>
      </c>
      <c r="B260" t="inlineStr">
        <is>
          <t>/Users/manczg/Documents/development/archon-search/archon_search/server/mcp.py</t>
        </is>
      </c>
      <c r="C260" t="inlineStr">
        <is>
          <t>solid-10</t>
        </is>
      </c>
      <c r="D260" t="n">
        <v>1003</v>
      </c>
      <c r="E260" t="inlineStr">
        <is>
          <t>MultiCollectionRouter constructed by hand inside the request path</t>
        </is>
      </c>
      <c r="F260" t="b">
        <v>1</v>
      </c>
    </row>
    <row r="261">
      <c r="A261" t="inlineStr">
        <is>
          <t>archon-search</t>
        </is>
      </c>
      <c r="B261" t="inlineStr">
        <is>
          <t>/Users/manczg/Documents/development/archon-search/archon_search/server/mcp.py</t>
        </is>
      </c>
      <c r="C261" t="inlineStr">
        <is>
          <t>arch-05</t>
        </is>
      </c>
      <c r="D261" t="n">
        <v>448</v>
      </c>
      <c r="E261" t="inlineStr">
        <is>
          <t>str(exc) from multi-collection search leaked directly to caller</t>
        </is>
      </c>
      <c r="F261" t="b">
        <v>0</v>
      </c>
    </row>
    <row r="262">
      <c r="A262" t="inlineStr">
        <is>
          <t>archon-search</t>
        </is>
      </c>
      <c r="B262" t="inlineStr">
        <is>
          <t>/Users/manczg/Documents/development/archon-search/archon_search/server/mcp.py</t>
        </is>
      </c>
      <c r="C262" t="inlineStr">
        <is>
          <t>arch-05</t>
        </is>
      </c>
      <c r="D262" t="n">
        <v>601</v>
      </c>
      <c r="E262" t="inlineStr">
        <is>
          <t>str(exc) from search leaked directly to caller</t>
        </is>
      </c>
      <c r="F262" t="b">
        <v>0</v>
      </c>
    </row>
    <row r="263">
      <c r="A263" t="inlineStr">
        <is>
          <t>archon-search</t>
        </is>
      </c>
      <c r="B263" t="inlineStr">
        <is>
          <t>/Users/manczg/Documents/development/archon-search/archon_search/server/mcp.py</t>
        </is>
      </c>
      <c r="C263" t="inlineStr">
        <is>
          <t>arch-05</t>
        </is>
      </c>
      <c r="D263" t="n">
        <v>1190</v>
      </c>
      <c r="E263" t="inlineStr">
        <is>
          <t>str(exc) from ingest_file leaked directly to caller</t>
        </is>
      </c>
      <c r="F263" t="b">
        <v>0</v>
      </c>
    </row>
    <row r="264">
      <c r="A264" t="inlineStr">
        <is>
          <t>archon-search</t>
        </is>
      </c>
      <c r="B264" t="inlineStr">
        <is>
          <t>/Users/manczg/Documents/development/archon-search/archon_search/server/mcp.py</t>
        </is>
      </c>
      <c r="C264" t="inlineStr">
        <is>
          <t>arch-05</t>
        </is>
      </c>
      <c r="D264" t="n">
        <v>1258</v>
      </c>
      <c r="E264" t="inlineStr">
        <is>
          <t>str(exc) from ingest_directory leaked directly to caller</t>
        </is>
      </c>
      <c r="F264" t="b">
        <v>0</v>
      </c>
    </row>
    <row r="265">
      <c r="A265" t="inlineStr">
        <is>
          <t>archon-search</t>
        </is>
      </c>
      <c r="B265" t="inlineStr">
        <is>
          <t>/Users/manczg/Documents/development/archon-search/archon_search/server/mcp.py</t>
        </is>
      </c>
      <c r="C265" t="inlineStr">
        <is>
          <t>arch-05</t>
        </is>
      </c>
      <c r="D265" t="n">
        <v>1271</v>
      </c>
      <c r="E265" t="inlineStr">
        <is>
          <t>str(exc) from list_collections leaked directly to caller</t>
        </is>
      </c>
      <c r="F265" t="b">
        <v>0</v>
      </c>
    </row>
    <row r="266">
      <c r="A266" t="inlineStr">
        <is>
          <t>archon-search</t>
        </is>
      </c>
      <c r="B266" t="inlineStr">
        <is>
          <t>/Users/manczg/Documents/development/archon-search/archon_search/server/mcp.py</t>
        </is>
      </c>
      <c r="C266" t="inlineStr">
        <is>
          <t>arch-05</t>
        </is>
      </c>
      <c r="D266" t="n">
        <v>1296</v>
      </c>
      <c r="E266" t="inlineStr">
        <is>
          <t>str(exc) from get_collections_meta leaked directly to caller</t>
        </is>
      </c>
      <c r="F266" t="b">
        <v>0</v>
      </c>
    </row>
    <row r="267">
      <c r="A267" t="inlineStr">
        <is>
          <t>archon-search</t>
        </is>
      </c>
      <c r="B267" t="inlineStr">
        <is>
          <t>/Users/manczg/Documents/development/archon-search/archon_search/server/mcp.py</t>
        </is>
      </c>
      <c r="C267" t="inlineStr">
        <is>
          <t>arch-05</t>
        </is>
      </c>
      <c r="D267" t="n">
        <v>1312</v>
      </c>
      <c r="E267" t="inlineStr">
        <is>
          <t>str(exc) from get_collection_meta leaked directly to caller</t>
        </is>
      </c>
      <c r="F267" t="b">
        <v>0</v>
      </c>
    </row>
    <row r="268">
      <c r="A268" t="inlineStr">
        <is>
          <t>archon-search</t>
        </is>
      </c>
      <c r="B268" t="inlineStr">
        <is>
          <t>/Users/manczg/Documents/development/archon-search/archon_search/server/mcp.py</t>
        </is>
      </c>
      <c r="C268" t="inlineStr">
        <is>
          <t>arch-05</t>
        </is>
      </c>
      <c r="D268" t="n">
        <v>1331</v>
      </c>
      <c r="E268" t="inlineStr">
        <is>
          <t>str(exc) from list_documents leaked directly to caller</t>
        </is>
      </c>
      <c r="F268" t="b">
        <v>0</v>
      </c>
    </row>
    <row r="269">
      <c r="A269" t="inlineStr">
        <is>
          <t>archon-search</t>
        </is>
      </c>
      <c r="B269" t="inlineStr">
        <is>
          <t>/Users/manczg/Documents/development/archon-search/archon_search/server/mcp.py</t>
        </is>
      </c>
      <c r="C269" t="inlineStr">
        <is>
          <t>arch-05</t>
        </is>
      </c>
      <c r="D269" t="n">
        <v>1361</v>
      </c>
      <c r="E269" t="inlineStr">
        <is>
          <t>str(exc) from delete_document leaked directly to caller</t>
        </is>
      </c>
      <c r="F269" t="b">
        <v>0</v>
      </c>
    </row>
    <row r="270">
      <c r="A270" t="inlineStr">
        <is>
          <t>archon-search</t>
        </is>
      </c>
      <c r="B270" t="inlineStr">
        <is>
          <t>/Users/manczg/Documents/development/archon-search/archon_search/server/mcp.py</t>
        </is>
      </c>
      <c r="C270" t="inlineStr">
        <is>
          <t>arch-05</t>
        </is>
      </c>
      <c r="D270" t="n">
        <v>1460</v>
      </c>
      <c r="E270" t="inlineStr">
        <is>
          <t>str(exc) from update_collection leaked directly to caller</t>
        </is>
      </c>
      <c r="F270" t="b">
        <v>0</v>
      </c>
    </row>
    <row r="271">
      <c r="A271" t="inlineStr">
        <is>
          <t>archon-search</t>
        </is>
      </c>
      <c r="B271" t="inlineStr">
        <is>
          <t>/Users/manczg/Documents/development/archon-search/archon_search/server/mcp.py</t>
        </is>
      </c>
      <c r="C271" t="inlineStr">
        <is>
          <t>arch-05</t>
        </is>
      </c>
      <c r="D271" t="n">
        <v>1557</v>
      </c>
      <c r="E271" t="inlineStr">
        <is>
          <t>raw tarfile exception text embedded in API error message</t>
        </is>
      </c>
      <c r="F271" t="b">
        <v>0</v>
      </c>
    </row>
    <row r="272">
      <c r="A272" t="inlineStr">
        <is>
          <t>archon-search</t>
        </is>
      </c>
      <c r="B272" t="inlineStr">
        <is>
          <t>/Users/manczg/Documents/development/archon-search/archon_search/server/mcp.py</t>
        </is>
      </c>
      <c r="C272" t="inlineStr">
        <is>
          <t>arch-05</t>
        </is>
      </c>
      <c r="D272" t="n">
        <v>1565</v>
      </c>
      <c r="E272" t="inlineStr">
        <is>
          <t>raw manifest-parse exception text embedded in API error message</t>
        </is>
      </c>
      <c r="F272" t="b">
        <v>0</v>
      </c>
    </row>
    <row r="273">
      <c r="A273" t="inlineStr">
        <is>
          <t>archon-search</t>
        </is>
      </c>
      <c r="B273" t="inlineStr">
        <is>
          <t>/Users/manczg/Documents/development/archon-search/archon_search/server/mcp.py</t>
        </is>
      </c>
      <c r="C273" t="inlineStr">
        <is>
          <t>arch-05</t>
        </is>
      </c>
      <c r="D273" t="n">
        <v>1984</v>
      </c>
      <c r="E273" t="inlineStr">
        <is>
          <t>str(exc) from get_graph leaked directly to caller</t>
        </is>
      </c>
      <c r="F273" t="b">
        <v>0</v>
      </c>
    </row>
    <row r="274">
      <c r="A274" t="inlineStr">
        <is>
          <t>archon-search</t>
        </is>
      </c>
      <c r="B274" t="inlineStr">
        <is>
          <t>/Users/manczg/Documents/development/archon-search/archon_search/server/mcp.py</t>
        </is>
      </c>
      <c r="C274" t="inlineStr">
        <is>
          <t>arch-05</t>
        </is>
      </c>
      <c r="D274" t="n">
        <v>2090</v>
      </c>
      <c r="E274" t="inlineStr">
        <is>
          <t>str(exc) from get_graph_cross_collection leaked directly to caller</t>
        </is>
      </c>
      <c r="F274" t="b">
        <v>0</v>
      </c>
    </row>
    <row r="275">
      <c r="A275" t="inlineStr">
        <is>
          <t>archon-search</t>
        </is>
      </c>
      <c r="B275" t="inlineStr">
        <is>
          <t>/Users/manczg/Documents/development/archon-search/archon_search/server/mcp.py</t>
        </is>
      </c>
      <c r="C275" t="inlineStr">
        <is>
          <t>arch-05</t>
        </is>
      </c>
      <c r="D275" t="n">
        <v>2178</v>
      </c>
      <c r="E275" t="inlineStr">
        <is>
          <t>str(exc) from graph_impact leaked directly to caller</t>
        </is>
      </c>
      <c r="F275" t="b">
        <v>0</v>
      </c>
    </row>
    <row r="276">
      <c r="A276" t="inlineStr">
        <is>
          <t>archon-search</t>
        </is>
      </c>
      <c r="B276" t="inlineStr">
        <is>
          <t>/Users/manczg/Documents/development/archon-search/archon_search/server/mcp.py</t>
        </is>
      </c>
      <c r="C276" t="inlineStr">
        <is>
          <t>arch-11</t>
        </is>
      </c>
      <c r="D276" t="n">
        <v>1004</v>
      </c>
      <c r="E276" t="inlineStr">
        <is>
          <t>search_url="http://mcp" hardcoded inside MultiCollectionRouter construction</t>
        </is>
      </c>
      <c r="F276" t="b">
        <v>1</v>
      </c>
    </row>
    <row r="277">
      <c r="A277" t="inlineStr">
        <is>
          <t>archon-search</t>
        </is>
      </c>
      <c r="B277" t="inlineStr">
        <is>
          <t>/Users/manczg/Documents/development/archon-search/archon_search/server/mcp.py</t>
        </is>
      </c>
      <c r="C277" t="inlineStr">
        <is>
          <t>safety-05</t>
        </is>
      </c>
      <c r="D277" t="n">
        <v>1412</v>
      </c>
      <c r="E277" t="inlineStr">
        <is>
          <t>reindex job status checked then meta written later without holding a lock across the gap</t>
        </is>
      </c>
      <c r="F277" t="b">
        <v>0</v>
      </c>
    </row>
    <row r="278">
      <c r="A278" t="inlineStr">
        <is>
          <t>archon-search</t>
        </is>
      </c>
      <c r="B278" t="inlineStr">
        <is>
          <t>/Users/manczg/Documents/development/archon-search/archon_search/server/mcp.py</t>
        </is>
      </c>
      <c r="C278" t="inlineStr">
        <is>
          <t>safety-05</t>
        </is>
      </c>
      <c r="D278" t="n">
        <v>1442</v>
      </c>
      <c r="E278" t="inlineStr">
        <is>
          <t>chunk_count read then branched on and written without a lock guarding the check-act window</t>
        </is>
      </c>
      <c r="F278" t="b">
        <v>0</v>
      </c>
    </row>
    <row r="279">
      <c r="A279" t="inlineStr">
        <is>
          <t>archon-search</t>
        </is>
      </c>
      <c r="B279" t="inlineStr">
        <is>
          <t>/Users/manczg/Documents/development/archon-search/archon_search/server/mcp.py</t>
        </is>
      </c>
      <c r="C279" t="inlineStr">
        <is>
          <t>safety-06</t>
        </is>
      </c>
      <c r="D279" t="n">
        <v>1543</v>
      </c>
      <c r="E279" t="inlineStr">
        <is>
          <t>archive_path.exists() blocking filesystem call inside async import_collection</t>
        </is>
      </c>
      <c r="F279" t="b">
        <v>0</v>
      </c>
    </row>
    <row r="280">
      <c r="A280" t="inlineStr">
        <is>
          <t>archon-search</t>
        </is>
      </c>
      <c r="B280" t="inlineStr">
        <is>
          <t>/Users/manczg/Documents/development/archon-search/archon_search/server/mcp.py</t>
        </is>
      </c>
      <c r="C280" t="inlineStr">
        <is>
          <t>safety-06</t>
        </is>
      </c>
      <c r="D280" t="n">
        <v>1549</v>
      </c>
      <c r="E280" t="inlineStr">
        <is>
          <t>tarfile.open(...) synchronous archive read inside async import_collection</t>
        </is>
      </c>
      <c r="F280" t="b">
        <v>0</v>
      </c>
    </row>
    <row r="281">
      <c r="A281" t="inlineStr">
        <is>
          <t>archon-search</t>
        </is>
      </c>
      <c r="B281" t="inlineStr">
        <is>
          <t>/Users/manczg/Documents/development/archon-search/archon_search/server/mcp.py</t>
        </is>
      </c>
      <c r="C281" t="inlineStr">
        <is>
          <t>safety-06</t>
        </is>
      </c>
      <c r="D281" t="n">
        <v>1562</v>
      </c>
      <c r="E281" t="inlineStr">
        <is>
          <t>reader.read_manifest() synchronous file read inside async import_collection</t>
        </is>
      </c>
      <c r="F281" t="b">
        <v>0</v>
      </c>
    </row>
    <row r="282">
      <c r="A282" t="inlineStr">
        <is>
          <t>archon-search</t>
        </is>
      </c>
      <c r="B282" t="inlineStr">
        <is>
          <t>/Users/manczg/Documents/development/archon-search/archon_search/server/mcp.py</t>
        </is>
      </c>
      <c r="C282" t="inlineStr">
        <is>
          <t>safety-06</t>
        </is>
      </c>
      <c r="D282" t="n">
        <v>1808</v>
      </c>
      <c r="E282" t="inlineStr">
        <is>
          <t>key_file.parent.mkdir(...) blocking filesystem call inside async rotate_key</t>
        </is>
      </c>
      <c r="F282" t="b">
        <v>0</v>
      </c>
    </row>
    <row r="283">
      <c r="A283" t="inlineStr">
        <is>
          <t>archon-search</t>
        </is>
      </c>
      <c r="B283" t="inlineStr">
        <is>
          <t>/Users/manczg/Documents/development/archon-search/archon_search/server/mcp.py</t>
        </is>
      </c>
      <c r="C283" t="inlineStr">
        <is>
          <t>safety-07</t>
        </is>
      </c>
      <c r="D283" t="n">
        <v>211</v>
      </c>
      <c r="E283" t="inlineStr">
        <is>
          <t>noqa: PLC0415 suppressing import-not-at-top-of-file lint</t>
        </is>
      </c>
      <c r="F283" t="b">
        <v>1</v>
      </c>
    </row>
    <row r="284">
      <c r="A284" t="inlineStr">
        <is>
          <t>archon-search</t>
        </is>
      </c>
      <c r="B284" t="inlineStr">
        <is>
          <t>/Users/manczg/Documents/development/archon-search/archon_search/server/mcp.py</t>
        </is>
      </c>
      <c r="C284" t="inlineStr">
        <is>
          <t>safety-07</t>
        </is>
      </c>
      <c r="D284" t="n">
        <v>287</v>
      </c>
      <c r="E284" t="inlineStr">
        <is>
          <t>noqa: PLC0415 suppressing import-not-at-top-of-file lint</t>
        </is>
      </c>
      <c r="F284" t="b">
        <v>1</v>
      </c>
    </row>
    <row r="285">
      <c r="A285" t="inlineStr">
        <is>
          <t>archon-search</t>
        </is>
      </c>
      <c r="B285" t="inlineStr">
        <is>
          <t>/Users/manczg/Documents/development/archon-search/archon_search/server/mcp.py</t>
        </is>
      </c>
      <c r="C285" t="inlineStr">
        <is>
          <t>safety-07</t>
        </is>
      </c>
      <c r="D285" t="n">
        <v>354</v>
      </c>
      <c r="E285" t="inlineStr">
        <is>
          <t>noqa: PLC0415 suppressing import-not-at-top-of-file lint</t>
        </is>
      </c>
      <c r="F285" t="b">
        <v>1</v>
      </c>
    </row>
    <row r="286">
      <c r="A286" t="inlineStr">
        <is>
          <t>archon-search</t>
        </is>
      </c>
      <c r="B286" t="inlineStr">
        <is>
          <t>/Users/manczg/Documents/development/archon-search/archon_search/server/mcp.py</t>
        </is>
      </c>
      <c r="C286" t="inlineStr">
        <is>
          <t>safety-07</t>
        </is>
      </c>
      <c r="D286" t="n">
        <v>655</v>
      </c>
      <c r="E286" t="inlineStr">
        <is>
          <t>noqa: PLC0415 suppressing import-not-at-top-of-file lint</t>
        </is>
      </c>
      <c r="F286" t="b">
        <v>1</v>
      </c>
    </row>
    <row r="287">
      <c r="A287" t="inlineStr">
        <is>
          <t>archon-search</t>
        </is>
      </c>
      <c r="B287" t="inlineStr">
        <is>
          <t>/Users/manczg/Documents/development/archon-search/archon_search/server/mcp.py</t>
        </is>
      </c>
      <c r="C287" t="inlineStr">
        <is>
          <t>safety-07</t>
        </is>
      </c>
      <c r="D287" t="n">
        <v>825</v>
      </c>
      <c r="E287" t="inlineStr">
        <is>
          <t>noqa: PLC0415 suppressing import-not-at-top-of-file lint</t>
        </is>
      </c>
      <c r="F287" t="b">
        <v>1</v>
      </c>
    </row>
    <row r="288">
      <c r="A288" t="inlineStr">
        <is>
          <t>archon-search</t>
        </is>
      </c>
      <c r="B288" t="inlineStr">
        <is>
          <t>/Users/manczg/Documents/development/archon-search/archon_search/server/mcp.py</t>
        </is>
      </c>
      <c r="C288" t="inlineStr">
        <is>
          <t>safety-07</t>
        </is>
      </c>
      <c r="D288" t="n">
        <v>1493</v>
      </c>
      <c r="E288" t="inlineStr">
        <is>
          <t>noqa: PLC0415 suppressing import-not-at-top-of-file lint</t>
        </is>
      </c>
      <c r="F288" t="b">
        <v>1</v>
      </c>
    </row>
    <row r="289">
      <c r="A289" t="inlineStr">
        <is>
          <t>archon-search</t>
        </is>
      </c>
      <c r="B289" t="inlineStr">
        <is>
          <t>/Users/manczg/Documents/development/archon-search/archon_search/server/mcp.py</t>
        </is>
      </c>
      <c r="C289" t="inlineStr">
        <is>
          <t>safety-07</t>
        </is>
      </c>
      <c r="D289" t="n">
        <v>1494</v>
      </c>
      <c r="E289" t="inlineStr">
        <is>
          <t>noqa: PLC0415 suppressing import-not-at-top-of-file lint</t>
        </is>
      </c>
      <c r="F289" t="b">
        <v>1</v>
      </c>
    </row>
    <row r="290">
      <c r="A290" t="inlineStr">
        <is>
          <t>archon-search</t>
        </is>
      </c>
      <c r="B290" t="inlineStr">
        <is>
          <t>/Users/manczg/Documents/development/archon-search/archon_search/server/mcp.py</t>
        </is>
      </c>
      <c r="C290" t="inlineStr">
        <is>
          <t>safety-07</t>
        </is>
      </c>
      <c r="D290" t="n">
        <v>1540</v>
      </c>
      <c r="E290" t="inlineStr">
        <is>
          <t>noqa: PLC0415 suppressing import-not-at-top-of-file lint</t>
        </is>
      </c>
      <c r="F290" t="b">
        <v>1</v>
      </c>
    </row>
    <row r="291">
      <c r="A291" t="inlineStr">
        <is>
          <t>archon-search</t>
        </is>
      </c>
      <c r="B291" t="inlineStr">
        <is>
          <t>/Users/manczg/Documents/development/archon-search/archon_search/server/mcp.py</t>
        </is>
      </c>
      <c r="C291" t="inlineStr">
        <is>
          <t>safety-07</t>
        </is>
      </c>
      <c r="D291" t="n">
        <v>1555</v>
      </c>
      <c r="E291" t="inlineStr">
        <is>
          <t>noqa: BLE001 suppressing broad-exception-catch lint</t>
        </is>
      </c>
      <c r="F291" t="b">
        <v>1</v>
      </c>
    </row>
    <row r="292">
      <c r="A292" t="inlineStr">
        <is>
          <t>archon-search</t>
        </is>
      </c>
      <c r="B292" t="inlineStr">
        <is>
          <t>/Users/manczg/Documents/development/archon-search/archon_search/server/mcp.py</t>
        </is>
      </c>
      <c r="C292" t="inlineStr">
        <is>
          <t>safety-07</t>
        </is>
      </c>
      <c r="D292" t="n">
        <v>1832</v>
      </c>
      <c r="E292" t="inlineStr">
        <is>
          <t>type: ignore[assignment] suppressing type-checker error</t>
        </is>
      </c>
      <c r="F292" t="b">
        <v>1</v>
      </c>
    </row>
    <row r="293">
      <c r="A293" t="inlineStr">
        <is>
          <t>archon-search</t>
        </is>
      </c>
      <c r="B293" t="inlineStr">
        <is>
          <t>/Users/manczg/Documents/development/archon-search/archon_search/server/mcp.py</t>
        </is>
      </c>
      <c r="C293" t="inlineStr">
        <is>
          <t>safety-11</t>
        </is>
      </c>
      <c r="D293" t="n">
        <v>1496</v>
      </c>
      <c r="E293" t="inlineStr">
        <is>
          <t>datetime.now(timezone.utc) called directly instead of via an injected clock</t>
        </is>
      </c>
      <c r="F293" t="b">
        <v>1</v>
      </c>
    </row>
    <row r="294">
      <c r="A294" t="inlineStr">
        <is>
          <t>archon-search</t>
        </is>
      </c>
      <c r="B294" t="inlineStr">
        <is>
          <t>/Users/manczg/Documents/development/archon-search/archon_search/server/mcp.py</t>
        </is>
      </c>
      <c r="C294" t="inlineStr">
        <is>
          <t>safety-11</t>
        </is>
      </c>
      <c r="D294" t="n">
        <v>1497</v>
      </c>
      <c r="E294" t="inlineStr">
        <is>
          <t>uuid4() called directly instead of via an injected id generator</t>
        </is>
      </c>
      <c r="F294" t="b">
        <v>1</v>
      </c>
    </row>
    <row r="295">
      <c r="A295" t="inlineStr">
        <is>
          <t>archon-search</t>
        </is>
      </c>
      <c r="B295" t="inlineStr">
        <is>
          <t>/Users/manczg/Documents/development/archon-search/archon_search/server/mcp.py</t>
        </is>
      </c>
      <c r="C295" t="inlineStr">
        <is>
          <t>safety-11</t>
        </is>
      </c>
      <c r="D295" t="n">
        <v>1805</v>
      </c>
      <c r="E295" t="inlineStr">
        <is>
          <t>secrets.token_hex(32) called directly instead of via an injected randomness source</t>
        </is>
      </c>
      <c r="F295" t="b">
        <v>1</v>
      </c>
    </row>
    <row r="296">
      <c r="A296" t="inlineStr">
        <is>
          <t>archon-search</t>
        </is>
      </c>
      <c r="B296" t="inlineStr">
        <is>
          <t>/Users/manczg/Documents/development/archon-search/archon_search/eval/runner.py</t>
        </is>
      </c>
      <c r="C296" t="inlineStr">
        <is>
          <t>clarity-09</t>
        </is>
      </c>
      <c r="D296" t="n">
        <v>331</v>
      </c>
      <c r="E296" t="inlineStr">
        <is>
          <t>compound AND condition inline, not extracted to named predicate</t>
        </is>
      </c>
      <c r="F296" t="b">
        <v>0</v>
      </c>
    </row>
    <row r="297">
      <c r="A297" t="inlineStr">
        <is>
          <t>archon-search</t>
        </is>
      </c>
      <c r="B297" t="inlineStr">
        <is>
          <t>/Users/manczg/Documents/development/archon-search/archon_search/eval/runner.py</t>
        </is>
      </c>
      <c r="C297" t="inlineStr">
        <is>
          <t>clarity-09</t>
        </is>
      </c>
      <c r="D297" t="n">
        <v>908</v>
      </c>
      <c r="E297" t="inlineStr">
        <is>
          <t>any() generator combined with is-not-None check inline in if</t>
        </is>
      </c>
      <c r="F297" t="b">
        <v>0</v>
      </c>
    </row>
    <row r="298">
      <c r="A298" t="inlineStr">
        <is>
          <t>archon-search</t>
        </is>
      </c>
      <c r="B298" t="inlineStr">
        <is>
          <t>/Users/manczg/Documents/development/archon-search/archon_search/eval/runner.py</t>
        </is>
      </c>
      <c r="C298" t="inlineStr">
        <is>
          <t>clarity-09</t>
        </is>
      </c>
      <c r="D298" t="n">
        <v>1904</v>
      </c>
      <c r="E298" t="inlineStr">
        <is>
          <t>two-clause AND comparison inline for under-depth diagnostic</t>
        </is>
      </c>
      <c r="F298" t="b">
        <v>0</v>
      </c>
    </row>
    <row r="299">
      <c r="A299" t="inlineStr">
        <is>
          <t>archon-search</t>
        </is>
      </c>
      <c r="B299" t="inlineStr">
        <is>
          <t>/Users/manczg/Documents/development/archon-search/archon_search/eval/runner.py</t>
        </is>
      </c>
      <c r="C299" t="inlineStr">
        <is>
          <t>clarity-16</t>
        </is>
      </c>
      <c r="D299" t="n">
        <v>144</v>
      </c>
      <c r="E299" t="inlineStr">
        <is>
          <t>load_thresholds has ~15 sequential validation branches</t>
        </is>
      </c>
      <c r="F299" t="b">
        <v>1</v>
      </c>
    </row>
    <row r="300">
      <c r="A300" t="inlineStr">
        <is>
          <t>archon-search</t>
        </is>
      </c>
      <c r="B300" t="inlineStr">
        <is>
          <t>/Users/manczg/Documents/development/archon-search/archon_search/eval/runner.py</t>
        </is>
      </c>
      <c r="C300" t="inlineStr">
        <is>
          <t>clarity-16</t>
        </is>
      </c>
      <c r="D300" t="n">
        <v>1016</v>
      </c>
      <c r="E300" t="inlineStr">
        <is>
          <t>run_eval_suite has deep nested branching across ~480 lines</t>
        </is>
      </c>
      <c r="F300" t="b">
        <v>1</v>
      </c>
    </row>
    <row r="301">
      <c r="A301" t="inlineStr">
        <is>
          <t>archon-search</t>
        </is>
      </c>
      <c r="B301" t="inlineStr">
        <is>
          <t>/Users/manczg/Documents/development/archon-search/archon_search/eval/runner.py</t>
        </is>
      </c>
      <c r="C301" t="inlineStr">
        <is>
          <t>clarity-16</t>
        </is>
      </c>
      <c r="D301" t="n">
        <v>1532</v>
      </c>
      <c r="E301" t="inlineStr">
        <is>
          <t>assert_thresholds has many nested conditional failure branches</t>
        </is>
      </c>
      <c r="F301" t="b">
        <v>1</v>
      </c>
    </row>
    <row r="302">
      <c r="A302" t="inlineStr">
        <is>
          <t>archon-search</t>
        </is>
      </c>
      <c r="B302" t="inlineStr">
        <is>
          <t>/Users/manczg/Documents/development/archon-search/archon_search/eval/runner.py</t>
        </is>
      </c>
      <c r="C302" t="inlineStr">
        <is>
          <t>clarity-17</t>
        </is>
      </c>
      <c r="D302" t="n">
        <v>144</v>
      </c>
      <c r="E302" t="inlineStr">
        <is>
          <t>load_thresholds spans ~103 lines</t>
        </is>
      </c>
      <c r="F302" t="b">
        <v>0</v>
      </c>
    </row>
    <row r="303">
      <c r="A303" t="inlineStr">
        <is>
          <t>archon-search</t>
        </is>
      </c>
      <c r="B303" t="inlineStr">
        <is>
          <t>/Users/manczg/Documents/development/archon-search/archon_search/eval/runner.py</t>
        </is>
      </c>
      <c r="C303" t="inlineStr">
        <is>
          <t>clarity-17</t>
        </is>
      </c>
      <c r="D303" t="n">
        <v>1016</v>
      </c>
      <c r="E303" t="inlineStr">
        <is>
          <t>run_eval_suite spans ~478 lines</t>
        </is>
      </c>
      <c r="F303" t="b">
        <v>1</v>
      </c>
    </row>
    <row r="304">
      <c r="A304" t="inlineStr">
        <is>
          <t>archon-search</t>
        </is>
      </c>
      <c r="B304" t="inlineStr">
        <is>
          <t>/Users/manczg/Documents/development/archon-search/archon_search/eval/runner.py</t>
        </is>
      </c>
      <c r="C304" t="inlineStr">
        <is>
          <t>clarity-17</t>
        </is>
      </c>
      <c r="D304" t="n">
        <v>1532</v>
      </c>
      <c r="E304" t="inlineStr">
        <is>
          <t>assert_thresholds spans ~165 lines</t>
        </is>
      </c>
      <c r="F304" t="b">
        <v>1</v>
      </c>
    </row>
    <row r="305">
      <c r="A305" t="inlineStr">
        <is>
          <t>archon-search</t>
        </is>
      </c>
      <c r="B305" t="inlineStr">
        <is>
          <t>/Users/manczg/Documents/development/archon-search/archon_search/eval/runner.py</t>
        </is>
      </c>
      <c r="C305" t="inlineStr">
        <is>
          <t>clarity-17</t>
        </is>
      </c>
      <c r="D305" t="n">
        <v>1726</v>
      </c>
      <c r="E305" t="inlineStr">
        <is>
          <t>render_report spans ~121 lines</t>
        </is>
      </c>
      <c r="F305" t="b">
        <v>0</v>
      </c>
    </row>
    <row r="306">
      <c r="A306" t="inlineStr">
        <is>
          <t>archon-search</t>
        </is>
      </c>
      <c r="B306" t="inlineStr">
        <is>
          <t>/Users/manczg/Documents/development/archon-search/archon_search/eval/runner.py</t>
        </is>
      </c>
      <c r="C306" t="inlineStr">
        <is>
          <t>clarity-17</t>
        </is>
      </c>
      <c r="D306" t="n">
        <v>1850</v>
      </c>
      <c r="E306" t="inlineStr">
        <is>
          <t>_execute_retrieval_query spans ~83 lines</t>
        </is>
      </c>
      <c r="F306" t="b">
        <v>0</v>
      </c>
    </row>
    <row r="307">
      <c r="A307" t="inlineStr">
        <is>
          <t>archon-search</t>
        </is>
      </c>
      <c r="B307" t="inlineStr">
        <is>
          <t>/Users/manczg/Documents/development/archon-search/archon_search/eval/runner.py</t>
        </is>
      </c>
      <c r="C307" t="inlineStr">
        <is>
          <t>smells-01</t>
        </is>
      </c>
      <c r="D307" t="n">
        <v>1</v>
      </c>
      <c r="E307" t="inlineStr">
        <is>
          <t>file is 2015 lines total</t>
        </is>
      </c>
      <c r="F307" t="b">
        <v>1</v>
      </c>
    </row>
    <row r="308">
      <c r="A308" t="inlineStr">
        <is>
          <t>archon-search</t>
        </is>
      </c>
      <c r="B308" t="inlineStr">
        <is>
          <t>/Users/manczg/Documents/development/archon-search/archon_search/eval/runner.py</t>
        </is>
      </c>
      <c r="C308" t="inlineStr">
        <is>
          <t>smells-02</t>
        </is>
      </c>
      <c r="D308" t="n">
        <v>607</v>
      </c>
      <c r="E308" t="inlineStr">
        <is>
          <t>_build_pipeline_with_eval_backends takes 6 params</t>
        </is>
      </c>
      <c r="F308" t="b">
        <v>1</v>
      </c>
    </row>
    <row r="309">
      <c r="A309" t="inlineStr">
        <is>
          <t>archon-search</t>
        </is>
      </c>
      <c r="B309" t="inlineStr">
        <is>
          <t>/Users/manczg/Documents/development/archon-search/archon_search/eval/runner.py</t>
        </is>
      </c>
      <c r="C309" t="inlineStr">
        <is>
          <t>smells-02</t>
        </is>
      </c>
      <c r="D309" t="n">
        <v>1016</v>
      </c>
      <c r="E309" t="inlineStr">
        <is>
          <t>run_eval_suite takes 6 params</t>
        </is>
      </c>
      <c r="F309" t="b">
        <v>1</v>
      </c>
    </row>
    <row r="310">
      <c r="A310" t="inlineStr">
        <is>
          <t>archon-search</t>
        </is>
      </c>
      <c r="B310" t="inlineStr">
        <is>
          <t>/Users/manczg/Documents/development/archon-search/archon_search/eval/runner.py</t>
        </is>
      </c>
      <c r="C310" t="inlineStr">
        <is>
          <t>smells-02</t>
        </is>
      </c>
      <c r="D310" t="n">
        <v>1850</v>
      </c>
      <c r="E310" t="inlineStr">
        <is>
          <t>_execute_retrieval_query takes 8 params</t>
        </is>
      </c>
      <c r="F310" t="b">
        <v>1</v>
      </c>
    </row>
    <row r="311">
      <c r="A311" t="inlineStr">
        <is>
          <t>archon-search</t>
        </is>
      </c>
      <c r="B311" t="inlineStr">
        <is>
          <t>/Users/manczg/Documents/development/archon-search/archon_search/eval/runner.py</t>
        </is>
      </c>
      <c r="C311" t="inlineStr">
        <is>
          <t>smells-03</t>
        </is>
      </c>
      <c r="D311" t="n">
        <v>709</v>
      </c>
      <c r="E311" t="inlineStr">
        <is>
          <t>defref_enabled boolean flag param controls internal branching</t>
        </is>
      </c>
      <c r="F311" t="b">
        <v>1</v>
      </c>
    </row>
    <row r="312">
      <c r="A312" t="inlineStr">
        <is>
          <t>archon-search</t>
        </is>
      </c>
      <c r="B312" t="inlineStr">
        <is>
          <t>/Users/manczg/Documents/development/archon-search/archon_search/eval/runner.py</t>
        </is>
      </c>
      <c r="C312" t="inlineStr">
        <is>
          <t>smells-10</t>
        </is>
      </c>
      <c r="D312" t="n">
        <v>661</v>
      </c>
      <c r="E312" t="inlineStr">
        <is>
          <t>dict.values()-&gt;iter-&gt;next chained into private _graph_store attribute access</t>
        </is>
      </c>
      <c r="F312" t="b">
        <v>0</v>
      </c>
    </row>
    <row r="313">
      <c r="A313" t="inlineStr">
        <is>
          <t>archon-search</t>
        </is>
      </c>
      <c r="B313" t="inlineStr">
        <is>
          <t>/Users/manczg/Documents/development/archon-search/archon_search/eval/runner.py</t>
        </is>
      </c>
      <c r="C313" t="inlineStr">
        <is>
          <t>smells-10</t>
        </is>
      </c>
      <c r="D313" t="n">
        <v>912</v>
      </c>
      <c r="E313" t="inlineStr">
        <is>
          <t>pipeline.store._db_path reaches through two objects into a private attribute</t>
        </is>
      </c>
      <c r="F313" t="b">
        <v>0</v>
      </c>
    </row>
    <row r="314">
      <c r="A314" t="inlineStr">
        <is>
          <t>archon-search</t>
        </is>
      </c>
      <c r="B314" t="inlineStr">
        <is>
          <t>/Users/manczg/Documents/development/archon-search/archon_search/eval/runner.py</t>
        </is>
      </c>
      <c r="C314" t="inlineStr">
        <is>
          <t>smells-12</t>
        </is>
      </c>
      <c r="D314" t="n">
        <v>1242</v>
      </c>
      <c r="E314" t="inlineStr">
        <is>
          <t>disconnect() failure caught broadly, only debug-logged, never surfaced</t>
        </is>
      </c>
      <c r="F314" t="b">
        <v>1</v>
      </c>
    </row>
    <row r="315">
      <c r="A315" t="inlineStr">
        <is>
          <t>archon-search</t>
        </is>
      </c>
      <c r="B315" t="inlineStr">
        <is>
          <t>/Users/manczg/Documents/development/archon-search/archon_search/eval/runner.py</t>
        </is>
      </c>
      <c r="C315" t="inlineStr">
        <is>
          <t>smells-21</t>
        </is>
      </c>
      <c r="D315" t="n">
        <v>22</v>
      </c>
      <c r="E315" t="inlineStr">
        <is>
          <t>type: ignore[no-redef] suppresses type checker on tomllib fallback import</t>
        </is>
      </c>
      <c r="F315" t="b">
        <v>0</v>
      </c>
    </row>
    <row r="316">
      <c r="A316" t="inlineStr">
        <is>
          <t>archon-search</t>
        </is>
      </c>
      <c r="B316" t="inlineStr">
        <is>
          <t>/Users/manczg/Documents/development/archon-search/archon_search/eval/runner.py</t>
        </is>
      </c>
      <c r="C316" t="inlineStr">
        <is>
          <t>smells-21</t>
        </is>
      </c>
      <c r="D316" t="n">
        <v>848</v>
      </c>
      <c r="E316" t="inlineStr">
        <is>
          <t>type: ignore[name-defined] on forward-ref return type</t>
        </is>
      </c>
      <c r="F316" t="b">
        <v>0</v>
      </c>
    </row>
    <row r="317">
      <c r="A317" t="inlineStr">
        <is>
          <t>archon-search</t>
        </is>
      </c>
      <c r="B317" t="inlineStr">
        <is>
          <t>/Users/manczg/Documents/development/archon-search/archon_search/eval/runner.py</t>
        </is>
      </c>
      <c r="C317" t="inlineStr">
        <is>
          <t>solid-06</t>
        </is>
      </c>
      <c r="D317" t="n">
        <v>477</v>
      </c>
      <c r="E317" t="inlineStr">
        <is>
          <t>EvalReport exposes mutable public list fields (traces, notes) mutated externally</t>
        </is>
      </c>
      <c r="F317" t="b">
        <v>0</v>
      </c>
    </row>
    <row r="318">
      <c r="A318" t="inlineStr">
        <is>
          <t>archon-search</t>
        </is>
      </c>
      <c r="B318" t="inlineStr">
        <is>
          <t>/Users/manczg/Documents/development/archon-search/archon_search/eval/runner.py</t>
        </is>
      </c>
      <c r="C318" t="inlineStr">
        <is>
          <t>solid-08</t>
        </is>
      </c>
      <c r="D318" t="n">
        <v>47</v>
      </c>
      <c r="E318" t="inlineStr">
        <is>
          <t>EvalQualityFloors is a plain mutable dataclass though never mutated after construction</t>
        </is>
      </c>
      <c r="F318" t="b">
        <v>0</v>
      </c>
    </row>
    <row r="319">
      <c r="A319" t="inlineStr">
        <is>
          <t>archon-search</t>
        </is>
      </c>
      <c r="B319" t="inlineStr">
        <is>
          <t>/Users/manczg/Documents/development/archon-search/archon_search/eval/runner.py</t>
        </is>
      </c>
      <c r="C319" t="inlineStr">
        <is>
          <t>solid-08</t>
        </is>
      </c>
      <c r="D319" t="n">
        <v>84</v>
      </c>
      <c r="E319" t="inlineStr">
        <is>
          <t>EvalThresholds not frozen though immutable by usage</t>
        </is>
      </c>
      <c r="F319" t="b">
        <v>0</v>
      </c>
    </row>
    <row r="320">
      <c r="A320" t="inlineStr">
        <is>
          <t>archon-search</t>
        </is>
      </c>
      <c r="B320" t="inlineStr">
        <is>
          <t>/Users/manczg/Documents/development/archon-search/archon_search/eval/runner.py</t>
        </is>
      </c>
      <c r="C320" t="inlineStr">
        <is>
          <t>solid-08</t>
        </is>
      </c>
      <c r="D320" t="n">
        <v>257</v>
      </c>
      <c r="E320" t="inlineStr">
        <is>
          <t>EvalRuntimeConfig not frozen though immutable by usage</t>
        </is>
      </c>
      <c r="F320" t="b">
        <v>0</v>
      </c>
    </row>
    <row r="321">
      <c r="A321" t="inlineStr">
        <is>
          <t>archon-search</t>
        </is>
      </c>
      <c r="B321" t="inlineStr">
        <is>
          <t>/Users/manczg/Documents/development/archon-search/archon_search/eval/runner.py</t>
        </is>
      </c>
      <c r="C321" t="inlineStr">
        <is>
          <t>solid-10</t>
        </is>
      </c>
      <c r="D321" t="n">
        <v>987</v>
      </c>
      <c r="E321" t="inlineStr">
        <is>
          <t>MultiCollectionRouter constructed directly inside function instead of injected</t>
        </is>
      </c>
      <c r="F321" t="b">
        <v>1</v>
      </c>
    </row>
    <row r="322">
      <c r="A322" t="inlineStr">
        <is>
          <t>archon-search</t>
        </is>
      </c>
      <c r="B322" t="inlineStr">
        <is>
          <t>/Users/manczg/Documents/development/archon-search/archon_search/eval/runner.py</t>
        </is>
      </c>
      <c r="C322" t="inlineStr">
        <is>
          <t>arch-09</t>
        </is>
      </c>
      <c r="D322" t="n">
        <v>623</v>
      </c>
      <c r="E322" t="inlineStr">
        <is>
          <t>os.environ lookup branches business logic directly</t>
        </is>
      </c>
      <c r="F322" t="b">
        <v>1</v>
      </c>
    </row>
    <row r="323">
      <c r="A323" t="inlineStr">
        <is>
          <t>archon-search</t>
        </is>
      </c>
      <c r="B323" t="inlineStr">
        <is>
          <t>/Users/manczg/Documents/development/archon-search/archon_search/eval/runner.py</t>
        </is>
      </c>
      <c r="C323" t="inlineStr">
        <is>
          <t>arch-11</t>
        </is>
      </c>
      <c r="D323" t="n">
        <v>988</v>
      </c>
      <c r="E323" t="inlineStr">
        <is>
          <t>hardcoded URL literal "http://invalid.example/route"</t>
        </is>
      </c>
      <c r="F323" t="b">
        <v>0</v>
      </c>
    </row>
    <row r="324">
      <c r="A324" t="inlineStr">
        <is>
          <t>archon-search</t>
        </is>
      </c>
      <c r="B324" t="inlineStr">
        <is>
          <t>/Users/manczg/Documents/development/archon-search/archon_search/eval/runner.py</t>
        </is>
      </c>
      <c r="C324" t="inlineStr">
        <is>
          <t>safety-01</t>
        </is>
      </c>
      <c r="D324" t="n">
        <v>1097</v>
      </c>
      <c r="E324" t="inlineStr">
        <is>
          <t>_graph_store_for_communities connected but never disconnected in run_eval_suite</t>
        </is>
      </c>
      <c r="F324" t="b">
        <v>0</v>
      </c>
    </row>
    <row r="325">
      <c r="A325" t="inlineStr">
        <is>
          <t>archon-search</t>
        </is>
      </c>
      <c r="B325" t="inlineStr">
        <is>
          <t>/Users/manczg/Documents/development/archon-search/archon_search/eval/runner.py</t>
        </is>
      </c>
      <c r="C325" t="inlineStr">
        <is>
          <t>safety-07</t>
        </is>
      </c>
      <c r="D325" t="n">
        <v>21</v>
      </c>
      <c r="E325" t="inlineStr">
        <is>
          <t>pragma: no cover suppresses coverage on ImportError fallback</t>
        </is>
      </c>
      <c r="F325" t="b">
        <v>1</v>
      </c>
    </row>
    <row r="326">
      <c r="A326" t="inlineStr">
        <is>
          <t>archon-search</t>
        </is>
      </c>
      <c r="B326" t="inlineStr">
        <is>
          <t>/Users/manczg/Documents/development/archon-search/archon_search/eval/runner.py</t>
        </is>
      </c>
      <c r="C326" t="inlineStr">
        <is>
          <t>safety-07</t>
        </is>
      </c>
      <c r="D326" t="n">
        <v>22</v>
      </c>
      <c r="E326" t="inlineStr">
        <is>
          <t>type: ignore[no-redef] suppresses type checker</t>
        </is>
      </c>
      <c r="F326" t="b">
        <v>1</v>
      </c>
    </row>
    <row r="327">
      <c r="A327" t="inlineStr">
        <is>
          <t>archon-search</t>
        </is>
      </c>
      <c r="B327" t="inlineStr">
        <is>
          <t>/Users/manczg/Documents/development/archon-search/archon_search/eval/runner.py</t>
        </is>
      </c>
      <c r="C327" t="inlineStr">
        <is>
          <t>safety-07</t>
        </is>
      </c>
      <c r="D327" t="n">
        <v>409</v>
      </c>
      <c r="E327" t="inlineStr">
        <is>
          <t>pragma: no cover on defensive OSError branch</t>
        </is>
      </c>
      <c r="F327" t="b">
        <v>0</v>
      </c>
    </row>
    <row r="328">
      <c r="A328" t="inlineStr">
        <is>
          <t>archon-search</t>
        </is>
      </c>
      <c r="B328" t="inlineStr">
        <is>
          <t>/Users/manczg/Documents/development/archon-search/archon_search/eval/runner.py</t>
        </is>
      </c>
      <c r="C328" t="inlineStr">
        <is>
          <t>safety-07</t>
        </is>
      </c>
      <c r="D328" t="n">
        <v>848</v>
      </c>
      <c r="E328" t="inlineStr">
        <is>
          <t>type: ignore and noqa suppress type/lint checks together</t>
        </is>
      </c>
      <c r="F328" t="b">
        <v>1</v>
      </c>
    </row>
    <row r="329">
      <c r="A329" t="inlineStr">
        <is>
          <t>archon-search</t>
        </is>
      </c>
      <c r="B329" t="inlineStr">
        <is>
          <t>/Users/manczg/Documents/development/archon-search/archon_search/eval/runner.py</t>
        </is>
      </c>
      <c r="C329" t="inlineStr">
        <is>
          <t>safety-07</t>
        </is>
      </c>
      <c r="D329" t="n">
        <v>1242</v>
      </c>
      <c r="E329" t="inlineStr">
        <is>
          <t>pragma: no cover on broad except</t>
        </is>
      </c>
      <c r="F329" t="b">
        <v>0</v>
      </c>
    </row>
    <row r="330">
      <c r="A330" t="inlineStr">
        <is>
          <t>archon-search</t>
        </is>
      </c>
      <c r="B330" t="inlineStr">
        <is>
          <t>/Users/manczg/Documents/development/archon-search/archon_search/eval/runner.py</t>
        </is>
      </c>
      <c r="C330" t="inlineStr">
        <is>
          <t>ddd-01</t>
        </is>
      </c>
      <c r="D330" t="n">
        <v>47</v>
      </c>
      <c r="E330" t="inlineStr">
        <is>
          <t>EvalQualityFloors acts as a config value object but is mutable</t>
        </is>
      </c>
      <c r="F330" t="b">
        <v>1</v>
      </c>
    </row>
    <row r="331">
      <c r="A331" t="inlineStr">
        <is>
          <t>archon-search</t>
        </is>
      </c>
      <c r="B331" t="inlineStr">
        <is>
          <t>/Users/manczg/Documents/development/archon-search/archon_search/eval/runner.py</t>
        </is>
      </c>
      <c r="C331" t="inlineStr">
        <is>
          <t>ddd-07</t>
        </is>
      </c>
      <c r="D331" t="n">
        <v>486</v>
      </c>
      <c r="E331" t="inlineStr">
        <is>
          <t>EvalReport.notes is a mutable list field appended to from outside the class</t>
        </is>
      </c>
      <c r="F331" t="b">
        <v>0</v>
      </c>
    </row>
    <row r="332">
      <c r="A332" t="inlineStr">
        <is>
          <t>archon-search</t>
        </is>
      </c>
      <c r="B332" t="inlineStr">
        <is>
          <t>/Users/manczg/Documents/development/archon-search/archon_search/parser.py</t>
        </is>
      </c>
      <c r="C332" t="inlineStr">
        <is>
          <t>solid-09</t>
        </is>
      </c>
      <c r="D332" t="n">
        <v>50</v>
      </c>
      <c r="E332" t="inlineStr">
        <is>
          <t>_worker_converter module global mutated via `global` in _docling_to_markdown</t>
        </is>
      </c>
      <c r="F332" t="b">
        <v>1</v>
      </c>
    </row>
    <row r="333">
      <c r="A333" t="inlineStr">
        <is>
          <t>archon-search</t>
        </is>
      </c>
      <c r="B333" t="inlineStr">
        <is>
          <t>/Users/manczg/Documents/development/archon-search/archon_search/parser.py</t>
        </is>
      </c>
      <c r="C333" t="inlineStr">
        <is>
          <t>solid-09</t>
        </is>
      </c>
      <c r="D333" t="n">
        <v>57</v>
      </c>
      <c r="E333" t="inlineStr">
        <is>
          <t>_IS_PARSE_WORKER module global mutated via `global` in _worker_initializer</t>
        </is>
      </c>
      <c r="F333" t="b">
        <v>0</v>
      </c>
    </row>
    <row r="334">
      <c r="A334" t="inlineStr">
        <is>
          <t>archon-search</t>
        </is>
      </c>
      <c r="B334" t="inlineStr">
        <is>
          <t>/Users/manczg/Documents/development/archon-search/archon_search/parser.py</t>
        </is>
      </c>
      <c r="C334" t="inlineStr">
        <is>
          <t>safety-07</t>
        </is>
      </c>
      <c r="D334" t="n">
        <v>160</v>
      </c>
      <c r="E334" t="inlineStr">
        <is>
          <t>noqa: PLC0415 suppresses import-outside-toplevel lint</t>
        </is>
      </c>
      <c r="F334" t="b">
        <v>1</v>
      </c>
    </row>
    <row r="335">
      <c r="A335" t="inlineStr">
        <is>
          <t>archon-search</t>
        </is>
      </c>
      <c r="B335" t="inlineStr">
        <is>
          <t>/Users/manczg/Documents/development/archon-search/archon_search/parser.py</t>
        </is>
      </c>
      <c r="C335" t="inlineStr">
        <is>
          <t>safety-07</t>
        </is>
      </c>
      <c r="D335" t="n">
        <v>163</v>
      </c>
      <c r="E335" t="inlineStr">
        <is>
          <t>noqa: PLC0415 suppresses import-outside-toplevel lint</t>
        </is>
      </c>
      <c r="F335" t="b">
        <v>1</v>
      </c>
    </row>
    <row r="336">
      <c r="A336" t="inlineStr">
        <is>
          <t>archon-search</t>
        </is>
      </c>
      <c r="B336" t="inlineStr">
        <is>
          <t>/Users/manczg/Documents/development/archon-search/archon_search/parser.py</t>
        </is>
      </c>
      <c r="C336" t="inlineStr">
        <is>
          <t>safety-07</t>
        </is>
      </c>
      <c r="D336" t="n">
        <v>353</v>
      </c>
      <c r="E336" t="inlineStr">
        <is>
          <t>noqa: PLC0415 suppresses import-outside-toplevel lint</t>
        </is>
      </c>
      <c r="F336" t="b">
        <v>1</v>
      </c>
    </row>
    <row r="337">
      <c r="A337" t="inlineStr">
        <is>
          <t>archon-search</t>
        </is>
      </c>
      <c r="B337" t="inlineStr">
        <is>
          <t>/Users/manczg/Documents/development/archon-search/archon_search/parser.py</t>
        </is>
      </c>
      <c r="C337" t="inlineStr">
        <is>
          <t>safety-08</t>
        </is>
      </c>
      <c r="D337" t="n">
        <v>321</v>
      </c>
      <c r="E337" t="inlineStr">
        <is>
          <t>pool.submit(...).result() blocks with no timeout waiting on worker process</t>
        </is>
      </c>
      <c r="F337" t="b">
        <v>0</v>
      </c>
    </row>
    <row r="338">
      <c r="A338" t="inlineStr">
        <is>
          <t>archon-search</t>
        </is>
      </c>
      <c r="B338" t="inlineStr">
        <is>
          <t>/Users/manczg/Documents/development/archon-search/archon_search/parser.py</t>
        </is>
      </c>
      <c r="C338" t="inlineStr">
        <is>
          <t>smells-12</t>
        </is>
      </c>
      <c r="D338" t="n">
        <v>208</v>
      </c>
      <c r="E338" t="inlineStr">
        <is>
          <t>_docling_to_markdown swallows exception into a bool/str tuple instead of propagating</t>
        </is>
      </c>
      <c r="F338" t="b">
        <v>1</v>
      </c>
    </row>
    <row r="339">
      <c r="A339" t="inlineStr">
        <is>
          <t>archon-search</t>
        </is>
      </c>
      <c r="B339" t="inlineStr">
        <is>
          <t>/Users/manczg/Documents/development/archon-search/archon_search/embedder_cache.py</t>
        </is>
      </c>
      <c r="C339" t="inlineStr">
        <is>
          <t>clarity-16</t>
        </is>
      </c>
      <c r="D339" t="n">
        <v>62</v>
      </c>
      <c r="E339" t="inlineStr">
        <is>
          <t>get_or_load has nested while/try/except/if retry-loop logic</t>
        </is>
      </c>
      <c r="F339" t="b">
        <v>0</v>
      </c>
    </row>
    <row r="340">
      <c r="A340" t="inlineStr">
        <is>
          <t>archon-search</t>
        </is>
      </c>
      <c r="B340" t="inlineStr">
        <is>
          <t>/Users/manczg/Documents/development/archon-search/archon_search/embedder_cache.py</t>
        </is>
      </c>
      <c r="C340" t="inlineStr">
        <is>
          <t>clarity-17</t>
        </is>
      </c>
      <c r="D340" t="n">
        <v>62</v>
      </c>
      <c r="E340" t="inlineStr">
        <is>
          <t>get_or_load spans ~89 lines</t>
        </is>
      </c>
      <c r="F340" t="b">
        <v>0</v>
      </c>
    </row>
    <row r="341">
      <c r="A341" t="inlineStr">
        <is>
          <t>archon-search</t>
        </is>
      </c>
      <c r="B341" t="inlineStr">
        <is>
          <t>/Users/manczg/Documents/development/archon-search/archon_search/embedder_cache.py</t>
        </is>
      </c>
      <c r="C341" t="inlineStr">
        <is>
          <t>smells-12</t>
        </is>
      </c>
      <c r="D341" t="n">
        <v>171</v>
      </c>
      <c r="E341" t="inlineStr">
        <is>
          <t>broad except Exception swallowed, logged only, load silently skipped</t>
        </is>
      </c>
      <c r="F341" t="b">
        <v>1</v>
      </c>
    </row>
    <row r="342">
      <c r="A342" t="inlineStr">
        <is>
          <t>archon-search</t>
        </is>
      </c>
      <c r="B342" t="inlineStr">
        <is>
          <t>/Users/manczg/Documents/development/archon-search/archon_search/embedder_cache.py</t>
        </is>
      </c>
      <c r="C342" t="inlineStr">
        <is>
          <t>smells-12</t>
        </is>
      </c>
      <c r="D342" t="n">
        <v>176</v>
      </c>
      <c r="E342" t="inlineStr">
        <is>
          <t>broad except Exception swallowed during warm-up, only logged</t>
        </is>
      </c>
      <c r="F342" t="b">
        <v>1</v>
      </c>
    </row>
    <row r="343">
      <c r="A343" t="inlineStr">
        <is>
          <t>archon-search</t>
        </is>
      </c>
      <c r="B343" t="inlineStr">
        <is>
          <t>/Users/manczg/Documents/development/archon-search/archon_search/embedder_cache.py</t>
        </is>
      </c>
      <c r="C343" t="inlineStr">
        <is>
          <t>safety-07</t>
        </is>
      </c>
      <c r="D343" t="n">
        <v>171</v>
      </c>
      <c r="E343" t="inlineStr">
        <is>
          <t>noqa: BLE001 suppresses broad-except lint</t>
        </is>
      </c>
      <c r="F343" t="b">
        <v>1</v>
      </c>
    </row>
    <row r="344">
      <c r="A344" t="inlineStr">
        <is>
          <t>archon-search</t>
        </is>
      </c>
      <c r="B344" t="inlineStr">
        <is>
          <t>/Users/manczg/Documents/development/archon-search/archon_search/embedder_cache.py</t>
        </is>
      </c>
      <c r="C344" t="inlineStr">
        <is>
          <t>safety-07</t>
        </is>
      </c>
      <c r="D344" t="n">
        <v>176</v>
      </c>
      <c r="E344" t="inlineStr">
        <is>
          <t>noqa: BLE001 suppresses broad-except lint</t>
        </is>
      </c>
      <c r="F344" t="b">
        <v>1</v>
      </c>
    </row>
    <row r="345">
      <c r="A345" t="inlineStr">
        <is>
          <t>archon-search</t>
        </is>
      </c>
      <c r="B345" t="inlineStr">
        <is>
          <t>/Users/manczg/Documents/development/archon-search/archon_search/embedder_cache.py</t>
        </is>
      </c>
      <c r="C345" t="inlineStr">
        <is>
          <t>safety-10</t>
        </is>
      </c>
      <c r="D345" t="n">
        <v>107</v>
      </c>
      <c r="E345" t="inlineStr">
        <is>
          <t>raise EmbedderNotReadyError(...) from None discards original TimeoutError cause</t>
        </is>
      </c>
      <c r="F345" t="b">
        <v>0</v>
      </c>
    </row>
    <row r="346">
      <c r="A346" t="inlineStr">
        <is>
          <t>archon-search</t>
        </is>
      </c>
      <c r="B346" t="inlineStr">
        <is>
          <t>/Users/manczg/Documents/development/archon-search/archon_search/sync_suppression.py</t>
        </is>
      </c>
      <c r="C346" t="inlineStr">
        <is>
          <t>safety-11</t>
        </is>
      </c>
      <c r="D346" t="n">
        <v>62</v>
      </c>
      <c r="E346" t="inlineStr">
        <is>
          <t>datetime.now(UTC) called directly, not via injected clock abstraction</t>
        </is>
      </c>
      <c r="F346" t="b">
        <v>1</v>
      </c>
    </row>
    <row r="347">
      <c r="A347" t="inlineStr">
        <is>
          <t>archon-search</t>
        </is>
      </c>
      <c r="B347" t="inlineStr">
        <is>
          <t>/Users/manczg/Documents/development/archon-search/archon_search/sync_suppression.py</t>
        </is>
      </c>
      <c r="C347" t="inlineStr">
        <is>
          <t>smells-12</t>
        </is>
      </c>
      <c r="D347" t="n">
        <v>63</v>
      </c>
      <c r="E347" t="inlineStr">
        <is>
          <t>except OSError swallowed, only warning-logged, write failure never surfaced</t>
        </is>
      </c>
      <c r="F347" t="b">
        <v>0</v>
      </c>
    </row>
    <row r="348">
      <c r="A348" t="inlineStr">
        <is>
          <t>archon-search</t>
        </is>
      </c>
      <c r="B348" t="inlineStr">
        <is>
          <t>/Users/manczg/Documents/development/archon-search/archon_search/sync_suppression.py</t>
        </is>
      </c>
      <c r="C348" t="inlineStr">
        <is>
          <t>smells-12</t>
        </is>
      </c>
      <c r="D348" t="n">
        <v>80</v>
      </c>
      <c r="E348" t="inlineStr">
        <is>
          <t>except OSError swallowed, only warning-logged, unlink failure never surfaced</t>
        </is>
      </c>
      <c r="F348" t="b">
        <v>0</v>
      </c>
    </row>
    <row r="349">
      <c r="A349" t="inlineStr">
        <is>
          <t>archon-search</t>
        </is>
      </c>
      <c r="B349" t="inlineStr">
        <is>
          <t>/Users/manczg/Documents/development/archon-search/tests/test_store.py</t>
        </is>
      </c>
      <c r="C349" t="inlineStr">
        <is>
          <t>smells-01</t>
        </is>
      </c>
      <c r="D349" t="n">
        <v>1</v>
      </c>
      <c r="E349" t="inlineStr">
        <is>
          <t>8271-line test module far exceeds a reasonable file length</t>
        </is>
      </c>
      <c r="F349" t="b">
        <v>1</v>
      </c>
    </row>
    <row r="350">
      <c r="A350" t="inlineStr">
        <is>
          <t>archon-search</t>
        </is>
      </c>
      <c r="B350" t="inlineStr">
        <is>
          <t>/Users/manczg/Documents/development/archon-search/tests/test_store.py</t>
        </is>
      </c>
      <c r="C350" t="inlineStr">
        <is>
          <t>clarity-17</t>
        </is>
      </c>
      <c r="D350" t="n">
        <v>1270</v>
      </c>
      <c r="E350" t="inlineStr">
        <is>
          <t>test_old_schema_upsert_preserves_new_columns spans ~90 lines of setup/assertions</t>
        </is>
      </c>
      <c r="F350" t="b">
        <v>0</v>
      </c>
    </row>
    <row r="351">
      <c r="A351" t="inlineStr">
        <is>
          <t>archon-search</t>
        </is>
      </c>
      <c r="B351" t="inlineStr">
        <is>
          <t>/Users/manczg/Documents/development/archon-search/tests/test_store.py</t>
        </is>
      </c>
      <c r="C351" t="inlineStr">
        <is>
          <t>clarity-17</t>
        </is>
      </c>
      <c r="D351" t="n">
        <v>2360</v>
      </c>
      <c r="E351" t="inlineStr">
        <is>
          <t>test_hybrid_search_trace_exposes_score_breakdown spans ~57 lines of mock setup</t>
        </is>
      </c>
      <c r="F351" t="b">
        <v>0</v>
      </c>
    </row>
    <row r="352">
      <c r="A352" t="inlineStr">
        <is>
          <t>archon-search</t>
        </is>
      </c>
      <c r="B352" t="inlineStr">
        <is>
          <t>/Users/manczg/Documents/development/archon-search/tests/test_store.py</t>
        </is>
      </c>
      <c r="C352" t="inlineStr">
        <is>
          <t>clarity-16</t>
        </is>
      </c>
      <c r="D352" t="n">
        <v>4508</v>
      </c>
      <c r="E352" t="inlineStr">
        <is>
          <t>nested for-loops with multiple compound if/or/and branches scanning source text</t>
        </is>
      </c>
      <c r="F352" t="b">
        <v>0</v>
      </c>
    </row>
    <row r="353">
      <c r="A353" t="inlineStr">
        <is>
          <t>archon-search</t>
        </is>
      </c>
      <c r="B353" t="inlineStr">
        <is>
          <t>/Users/manczg/Documents/development/archon-search/tests/test_store.py</t>
        </is>
      </c>
      <c r="C353" t="inlineStr">
        <is>
          <t>clarity-09</t>
        </is>
      </c>
      <c r="D353" t="n">
        <v>4533</v>
      </c>
      <c r="E353" t="inlineStr">
        <is>
          <t>mixed and/or without parentheses creates a precedence-ambiguous condition</t>
        </is>
      </c>
      <c r="F353" t="b">
        <v>1</v>
      </c>
    </row>
    <row r="354">
      <c r="A354" t="inlineStr">
        <is>
          <t>archon-search</t>
        </is>
      </c>
      <c r="B354" t="inlineStr">
        <is>
          <t>/Users/manczg/Documents/development/archon-search/tests/test_store.py</t>
        </is>
      </c>
      <c r="C354" t="inlineStr">
        <is>
          <t>smells-12</t>
        </is>
      </c>
      <c r="D354" t="n">
        <v>740</v>
      </c>
      <c r="E354" t="inlineStr">
        <is>
          <t>except NotImplementedError: pass discards the branch with no verification</t>
        </is>
      </c>
      <c r="F354" t="b">
        <v>0</v>
      </c>
    </row>
    <row r="355">
      <c r="A355" t="inlineStr">
        <is>
          <t>archon-search</t>
        </is>
      </c>
      <c r="B355" t="inlineStr">
        <is>
          <t>/Users/manczg/Documents/development/archon-search/tests/test_store.py</t>
        </is>
      </c>
      <c r="C355" t="inlineStr">
        <is>
          <t>smells-21</t>
        </is>
      </c>
      <c r="D355" t="n">
        <v>2026</v>
      </c>
      <c r="E355" t="inlineStr">
        <is>
          <t>store.delete_document reassigned with # type: ignore[method-assign]</t>
        </is>
      </c>
      <c r="F355" t="b">
        <v>0</v>
      </c>
    </row>
    <row r="356">
      <c r="A356" t="inlineStr">
        <is>
          <t>archon-search</t>
        </is>
      </c>
      <c r="B356" t="inlineStr">
        <is>
          <t>/Users/manczg/Documents/development/archon-search/tests/test_store.py</t>
        </is>
      </c>
      <c r="C356" t="inlineStr">
        <is>
          <t>smells-21</t>
        </is>
      </c>
      <c r="D356" t="n">
        <v>2042</v>
      </c>
      <c r="E356" t="inlineStr">
        <is>
          <t>store.delete_document reassigned with # type: ignore[method-assign]</t>
        </is>
      </c>
      <c r="F356" t="b">
        <v>0</v>
      </c>
    </row>
    <row r="357">
      <c r="A357" t="inlineStr">
        <is>
          <t>archon-search</t>
        </is>
      </c>
      <c r="B357" t="inlineStr">
        <is>
          <t>/Users/manczg/Documents/development/archon-search/tests/test_store.py</t>
        </is>
      </c>
      <c r="C357" t="inlineStr">
        <is>
          <t>smells-21</t>
        </is>
      </c>
      <c r="D357" t="n">
        <v>4478</v>
      </c>
      <c r="E357" t="inlineStr">
        <is>
          <t>real_lock.acquire reassigned with # type: ignore[method-assign]</t>
        </is>
      </c>
      <c r="F357" t="b">
        <v>0</v>
      </c>
    </row>
    <row r="358">
      <c r="A358" t="inlineStr">
        <is>
          <t>archon-search</t>
        </is>
      </c>
      <c r="B358" t="inlineStr">
        <is>
          <t>/Users/manczg/Documents/development/archon-search/tests/test_store.py</t>
        </is>
      </c>
      <c r="C358" t="inlineStr">
        <is>
          <t>smells-21</t>
        </is>
      </c>
      <c r="D358" t="n">
        <v>6335</v>
      </c>
      <c r="E358" t="inlineStr">
        <is>
          <t>store._do_update_meta_on_add reassigned with # type: ignore[assignment]</t>
        </is>
      </c>
      <c r="F358" t="b">
        <v>0</v>
      </c>
    </row>
    <row r="359">
      <c r="A359" t="inlineStr">
        <is>
          <t>archon-search</t>
        </is>
      </c>
      <c r="B359" t="inlineStr">
        <is>
          <t>/Users/manczg/Documents/development/archon-search/tests/test_store.py</t>
        </is>
      </c>
      <c r="C359" t="inlineStr">
        <is>
          <t>smells-21</t>
        </is>
      </c>
      <c r="D359" t="n">
        <v>6713</v>
      </c>
      <c r="E359" t="inlineStr">
        <is>
          <t>private _require_connected() call silenced with # type: ignore[attr-defined]</t>
        </is>
      </c>
      <c r="F359" t="b">
        <v>0</v>
      </c>
    </row>
    <row r="360">
      <c r="A360" t="inlineStr">
        <is>
          <t>archon-search</t>
        </is>
      </c>
      <c r="B360" t="inlineStr">
        <is>
          <t>/Users/manczg/Documents/development/archon-search/tests/test_store.py</t>
        </is>
      </c>
      <c r="C360" t="inlineStr">
        <is>
          <t>smells-21</t>
        </is>
      </c>
      <c r="D360" t="n">
        <v>6722</v>
      </c>
      <c r="E360" t="inlineStr">
        <is>
          <t>table.create_index reassigned with # type: ignore[method-assign]</t>
        </is>
      </c>
      <c r="F360" t="b">
        <v>0</v>
      </c>
    </row>
    <row r="361">
      <c r="A361" t="inlineStr">
        <is>
          <t>archon-search</t>
        </is>
      </c>
      <c r="B361" t="inlineStr">
        <is>
          <t>/Users/manczg/Documents/development/archon-search/tests/test_store.py</t>
        </is>
      </c>
      <c r="C361" t="inlineStr">
        <is>
          <t>smells-21</t>
        </is>
      </c>
      <c r="D361" t="n">
        <v>6723</v>
      </c>
      <c r="E361" t="inlineStr">
        <is>
          <t>db.open_table reassigned with # type: ignore[method-assign]</t>
        </is>
      </c>
      <c r="F361" t="b">
        <v>0</v>
      </c>
    </row>
    <row r="362">
      <c r="A362" t="inlineStr">
        <is>
          <t>archon-search</t>
        </is>
      </c>
      <c r="B362" t="inlineStr">
        <is>
          <t>/Users/manczg/Documents/development/archon-search/tests/test_store.py</t>
        </is>
      </c>
      <c r="C362" t="inlineStr">
        <is>
          <t>smells-21</t>
        </is>
      </c>
      <c r="D362" t="n">
        <v>6729</v>
      </c>
      <c r="E362" t="inlineStr">
        <is>
          <t>attribute access silenced with # type: ignore[attr-defined]</t>
        </is>
      </c>
      <c r="F362" t="b">
        <v>0</v>
      </c>
    </row>
    <row r="363">
      <c r="A363" t="inlineStr">
        <is>
          <t>archon-search</t>
        </is>
      </c>
      <c r="B363" t="inlineStr">
        <is>
          <t>/Users/manczg/Documents/development/archon-search/tests/test_store.py</t>
        </is>
      </c>
      <c r="C363" t="inlineStr">
        <is>
          <t>smells-21</t>
        </is>
      </c>
      <c r="D363" t="n">
        <v>6746</v>
      </c>
      <c r="E363" t="inlineStr">
        <is>
          <t>private _require_connected() call silenced with # type: ignore[attr-defined]</t>
        </is>
      </c>
      <c r="F363" t="b">
        <v>0</v>
      </c>
    </row>
    <row r="364">
      <c r="A364" t="inlineStr">
        <is>
          <t>archon-search</t>
        </is>
      </c>
      <c r="B364" t="inlineStr">
        <is>
          <t>/Users/manczg/Documents/development/archon-search/tests/test_store.py</t>
        </is>
      </c>
      <c r="C364" t="inlineStr">
        <is>
          <t>smells-21</t>
        </is>
      </c>
      <c r="D364" t="n">
        <v>7128</v>
      </c>
      <c r="E364" t="inlineStr">
        <is>
          <t>store.get_collection_meta reassigned with # type: ignore[method-assign]</t>
        </is>
      </c>
      <c r="F364" t="b">
        <v>0</v>
      </c>
    </row>
    <row r="365">
      <c r="A365" t="inlineStr">
        <is>
          <t>archon-search</t>
        </is>
      </c>
      <c r="B365" t="inlineStr">
        <is>
          <t>/Users/manczg/Documents/development/archon-search/tests/test_store.py</t>
        </is>
      </c>
      <c r="C365" t="inlineStr">
        <is>
          <t>smells-21</t>
        </is>
      </c>
      <c r="D365" t="n">
        <v>7298</v>
      </c>
      <c r="E365" t="inlineStr">
        <is>
          <t>store.migrate_a reassigned with # type: ignore[attr-defined]</t>
        </is>
      </c>
      <c r="F365" t="b">
        <v>0</v>
      </c>
    </row>
    <row r="366">
      <c r="A366" t="inlineStr">
        <is>
          <t>archon-search</t>
        </is>
      </c>
      <c r="B366" t="inlineStr">
        <is>
          <t>/Users/manczg/Documents/development/archon-search/tests/test_store.py</t>
        </is>
      </c>
      <c r="C366" t="inlineStr">
        <is>
          <t>smells-21</t>
        </is>
      </c>
      <c r="D366" t="n">
        <v>7334</v>
      </c>
      <c r="E366" t="inlineStr">
        <is>
          <t>store.migrate_noop reassigned with # type: ignore[attr-defined]</t>
        </is>
      </c>
      <c r="F366" t="b">
        <v>0</v>
      </c>
    </row>
    <row r="367">
      <c r="A367" t="inlineStr">
        <is>
          <t>archon-search</t>
        </is>
      </c>
      <c r="B367" t="inlineStr">
        <is>
          <t>/Users/manczg/Documents/development/archon-search/tests/test_store.py</t>
        </is>
      </c>
      <c r="C367" t="inlineStr">
        <is>
          <t>smells-21</t>
        </is>
      </c>
      <c r="D367" t="n">
        <v>7381</v>
      </c>
      <c r="E367" t="inlineStr">
        <is>
          <t>store.migrate_fn reassigned with # type: ignore[attr-defined]</t>
        </is>
      </c>
      <c r="F367" t="b">
        <v>0</v>
      </c>
    </row>
    <row r="368">
      <c r="A368" t="inlineStr">
        <is>
          <t>archon-search</t>
        </is>
      </c>
      <c r="B368" t="inlineStr">
        <is>
          <t>/Users/manczg/Documents/development/archon-search/tests/test_store.py</t>
        </is>
      </c>
      <c r="C368" t="inlineStr">
        <is>
          <t>smells-21</t>
        </is>
      </c>
      <c r="D368" t="n">
        <v>7418</v>
      </c>
      <c r="E368" t="inlineStr">
        <is>
          <t>store.migrate_ok reassigned with # type: ignore[attr-defined]</t>
        </is>
      </c>
      <c r="F368" t="b">
        <v>0</v>
      </c>
    </row>
    <row r="369">
      <c r="A369" t="inlineStr">
        <is>
          <t>archon-search</t>
        </is>
      </c>
      <c r="B369" t="inlineStr">
        <is>
          <t>/Users/manczg/Documents/development/archon-search/tests/test_store.py</t>
        </is>
      </c>
      <c r="C369" t="inlineStr">
        <is>
          <t>smells-21</t>
        </is>
      </c>
      <c r="D369" t="n">
        <v>7556</v>
      </c>
      <c r="E369" t="inlineStr">
        <is>
          <t>store.migrate_rewrite_dummy reassigned with # type: ignore[attr-defined]</t>
        </is>
      </c>
      <c r="F369" t="b">
        <v>0</v>
      </c>
    </row>
    <row r="370">
      <c r="A370" t="inlineStr">
        <is>
          <t>archon-search</t>
        </is>
      </c>
      <c r="B370" t="inlineStr">
        <is>
          <t>/Users/manczg/Documents/development/archon-search/tests/test_store.py</t>
        </is>
      </c>
      <c r="C370" t="inlineStr">
        <is>
          <t>safety-07</t>
        </is>
      </c>
      <c r="D370" t="n">
        <v>4390</v>
      </c>
      <c r="E370" t="inlineStr">
        <is>
          <t>private import silenced with # noqa: PLC0415</t>
        </is>
      </c>
      <c r="F370" t="b">
        <v>1</v>
      </c>
    </row>
    <row r="371">
      <c r="A371" t="inlineStr">
        <is>
          <t>archon-search</t>
        </is>
      </c>
      <c r="B371" t="inlineStr">
        <is>
          <t>/Users/manczg/Documents/development/archon-search/tests/test_store.py</t>
        </is>
      </c>
      <c r="C371" t="inlineStr">
        <is>
          <t>safety-07</t>
        </is>
      </c>
      <c r="D371" t="n">
        <v>4397</v>
      </c>
      <c r="E371" t="inlineStr">
        <is>
          <t>private import silenced with # noqa: PLC0415</t>
        </is>
      </c>
      <c r="F371" t="b">
        <v>1</v>
      </c>
    </row>
    <row r="372">
      <c r="A372" t="inlineStr">
        <is>
          <t>archon-search</t>
        </is>
      </c>
      <c r="B372" t="inlineStr">
        <is>
          <t>/Users/manczg/Documents/development/archon-search/tests/test_store.py</t>
        </is>
      </c>
      <c r="C372" t="inlineStr">
        <is>
          <t>safety-07</t>
        </is>
      </c>
      <c r="D372" t="n">
        <v>4403</v>
      </c>
      <c r="E372" t="inlineStr">
        <is>
          <t>private import silenced with # noqa: PLC0415</t>
        </is>
      </c>
      <c r="F372" t="b">
        <v>1</v>
      </c>
    </row>
    <row r="373">
      <c r="A373" t="inlineStr">
        <is>
          <t>archon-search</t>
        </is>
      </c>
      <c r="B373" t="inlineStr">
        <is>
          <t>/Users/manczg/Documents/development/archon-search/tests/test_store.py</t>
        </is>
      </c>
      <c r="C373" t="inlineStr">
        <is>
          <t>safety-07</t>
        </is>
      </c>
      <c r="D373" t="n">
        <v>4409</v>
      </c>
      <c r="E373" t="inlineStr">
        <is>
          <t>private import silenced with # noqa: PLC0415</t>
        </is>
      </c>
      <c r="F373" t="b">
        <v>1</v>
      </c>
    </row>
    <row r="374">
      <c r="A374" t="inlineStr">
        <is>
          <t>archon-search</t>
        </is>
      </c>
      <c r="B374" t="inlineStr">
        <is>
          <t>/Users/manczg/Documents/development/archon-search/tests/test_store.py</t>
        </is>
      </c>
      <c r="C374" t="inlineStr">
        <is>
          <t>safety-07</t>
        </is>
      </c>
      <c r="D374" t="n">
        <v>4415</v>
      </c>
      <c r="E374" t="inlineStr">
        <is>
          <t>private import silenced with # noqa: PLC0415</t>
        </is>
      </c>
      <c r="F374" t="b">
        <v>1</v>
      </c>
    </row>
    <row r="375">
      <c r="A375" t="inlineStr">
        <is>
          <t>archon-search</t>
        </is>
      </c>
      <c r="B375" t="inlineStr">
        <is>
          <t>/Users/manczg/Documents/development/archon-search/tests/test_store.py</t>
        </is>
      </c>
      <c r="C375" t="inlineStr">
        <is>
          <t>safety-07</t>
        </is>
      </c>
      <c r="D375" t="n">
        <v>4422</v>
      </c>
      <c r="E375" t="inlineStr">
        <is>
          <t>private import silenced with # noqa: PLC0415</t>
        </is>
      </c>
      <c r="F375" t="b">
        <v>1</v>
      </c>
    </row>
    <row r="376">
      <c r="A376" t="inlineStr">
        <is>
          <t>archon-search</t>
        </is>
      </c>
      <c r="B376" t="inlineStr">
        <is>
          <t>/Users/manczg/Documents/development/archon-search/tests/test_store.py</t>
        </is>
      </c>
      <c r="C376" t="inlineStr">
        <is>
          <t>safety-07</t>
        </is>
      </c>
      <c r="D376" t="n">
        <v>6716</v>
      </c>
      <c r="E376" t="inlineStr">
        <is>
          <t>unused param warning silenced with # noqa: ARG001</t>
        </is>
      </c>
      <c r="F376" t="b">
        <v>1</v>
      </c>
    </row>
    <row r="377">
      <c r="A377" t="inlineStr">
        <is>
          <t>archon-search</t>
        </is>
      </c>
      <c r="B377" t="inlineStr">
        <is>
          <t>/Users/manczg/Documents/development/archon-search/tests/test_store.py</t>
        </is>
      </c>
      <c r="C377" t="inlineStr">
        <is>
          <t>safety-07</t>
        </is>
      </c>
      <c r="D377" t="n">
        <v>6719</v>
      </c>
      <c r="E377" t="inlineStr">
        <is>
          <t>missing return-type annotation silenced with # noqa: ANN202</t>
        </is>
      </c>
      <c r="F377" t="b">
        <v>1</v>
      </c>
    </row>
    <row r="378">
      <c r="A378" t="inlineStr">
        <is>
          <t>archon-search</t>
        </is>
      </c>
      <c r="B378" t="inlineStr">
        <is>
          <t>/Users/manczg/Documents/development/archon-search/tests/test_store.py</t>
        </is>
      </c>
      <c r="C378" t="inlineStr">
        <is>
          <t>safety-07</t>
        </is>
      </c>
      <c r="D378" t="n">
        <v>6749</v>
      </c>
      <c r="E378" t="inlineStr">
        <is>
          <t>unused param warning silenced with # noqa: ARG001</t>
        </is>
      </c>
      <c r="F378" t="b">
        <v>1</v>
      </c>
    </row>
    <row r="379">
      <c r="A379" t="inlineStr">
        <is>
          <t>archon-search</t>
        </is>
      </c>
      <c r="B379" t="inlineStr">
        <is>
          <t>/Users/manczg/Documents/development/archon-search/tests/test_store.py</t>
        </is>
      </c>
      <c r="C379" t="inlineStr">
        <is>
          <t>safety-07</t>
        </is>
      </c>
      <c r="D379" t="n">
        <v>6752</v>
      </c>
      <c r="E379" t="inlineStr">
        <is>
          <t>missing return-type annotation silenced with # noqa: ANN202</t>
        </is>
      </c>
      <c r="F379" t="b">
        <v>1</v>
      </c>
    </row>
    <row r="380">
      <c r="A380" t="inlineStr">
        <is>
          <t>archon-search</t>
        </is>
      </c>
      <c r="B380" t="inlineStr">
        <is>
          <t>/Users/manczg/Documents/development/archon-search/tests/test_store.py</t>
        </is>
      </c>
      <c r="C380" t="inlineStr">
        <is>
          <t>safety-07</t>
        </is>
      </c>
      <c r="D380" t="n">
        <v>6783</v>
      </c>
      <c r="E380" t="inlineStr">
        <is>
          <t>unused param warning silenced with # noqa: ARG001</t>
        </is>
      </c>
      <c r="F380" t="b">
        <v>1</v>
      </c>
    </row>
    <row r="381">
      <c r="A381" t="inlineStr">
        <is>
          <t>archon-search</t>
        </is>
      </c>
      <c r="B381" t="inlineStr">
        <is>
          <t>/Users/manczg/Documents/development/archon-search/tests/test_store.py</t>
        </is>
      </c>
      <c r="C381" t="inlineStr">
        <is>
          <t>safety-07</t>
        </is>
      </c>
      <c r="D381" t="n">
        <v>6786</v>
      </c>
      <c r="E381" t="inlineStr">
        <is>
          <t>missing return-type annotation silenced with # noqa: ANN202</t>
        </is>
      </c>
      <c r="F381" t="b">
        <v>1</v>
      </c>
    </row>
    <row r="382">
      <c r="A382" t="inlineStr">
        <is>
          <t>archon-search</t>
        </is>
      </c>
      <c r="B382" t="inlineStr">
        <is>
          <t>/Users/manczg/Documents/development/archon-search/tests/test_store.py</t>
        </is>
      </c>
      <c r="C382" t="inlineStr">
        <is>
          <t>safety-15</t>
        </is>
      </c>
      <c r="D382" t="n">
        <v>3040</v>
      </c>
      <c r="E382" t="inlineStr">
        <is>
          <t>table.delete(f"name = '{col_name}'") builds the filter predicate via f-string interpolation</t>
        </is>
      </c>
      <c r="F382" t="b">
        <v>0</v>
      </c>
    </row>
    <row r="383">
      <c r="A383" t="inlineStr">
        <is>
          <t>archon-search</t>
        </is>
      </c>
      <c r="B383" t="inlineStr">
        <is>
          <t>/Users/manczg/Documents/development/archon-search/tests/test_store.py</t>
        </is>
      </c>
      <c r="C383" t="inlineStr">
        <is>
          <t>tests-04</t>
        </is>
      </c>
      <c r="D383" t="n">
        <v>6075</v>
      </c>
      <c r="E383" t="inlineStr">
        <is>
          <t>await _asyncio.sleep(0.01) "to ensure time advances" — wall-clock timing dependency</t>
        </is>
      </c>
      <c r="F383" t="b">
        <v>0</v>
      </c>
    </row>
    <row r="384">
      <c r="A384" t="inlineStr">
        <is>
          <t>archon-search</t>
        </is>
      </c>
      <c r="B384" t="inlineStr">
        <is>
          <t>/Users/manczg/Documents/development/archon-search/tests/test_store.py</t>
        </is>
      </c>
      <c r="C384" t="inlineStr">
        <is>
          <t>tests-05</t>
        </is>
      </c>
      <c r="D384" t="n">
        <v>18</v>
      </c>
      <c r="E384" t="inlineStr">
        <is>
          <t>imports private module functions _batch_vectors_valid, _centroid_sum_valid directly</t>
        </is>
      </c>
      <c r="F384" t="b">
        <v>0</v>
      </c>
    </row>
    <row r="385">
      <c r="A385" t="inlineStr">
        <is>
          <t>archon-search</t>
        </is>
      </c>
      <c r="B385" t="inlineStr">
        <is>
          <t>/Users/manczg/Documents/development/archon-search/tests/test_store.py</t>
        </is>
      </c>
      <c r="C385" t="inlineStr">
        <is>
          <t>tests-05</t>
        </is>
      </c>
      <c r="D385" t="n">
        <v>576</v>
      </c>
      <c r="E385" t="inlineStr">
        <is>
          <t>store._db = mock_db bypasses the public API to inject internals</t>
        </is>
      </c>
      <c r="F385" t="b">
        <v>1</v>
      </c>
    </row>
    <row r="386">
      <c r="A386" t="inlineStr">
        <is>
          <t>archon-search</t>
        </is>
      </c>
      <c r="B386" t="inlineStr">
        <is>
          <t>/Users/manczg/Documents/development/archon-search/tests/test_store.py</t>
        </is>
      </c>
      <c r="C386" t="inlineStr">
        <is>
          <t>tests-05</t>
        </is>
      </c>
      <c r="D386" t="n">
        <v>722</v>
      </c>
      <c r="E386" t="inlineStr">
        <is>
          <t>store._db = MagicMock() bypasses the public API to inject internals</t>
        </is>
      </c>
      <c r="F386" t="b">
        <v>1</v>
      </c>
    </row>
    <row r="387">
      <c r="A387" t="inlineStr">
        <is>
          <t>archon-search</t>
        </is>
      </c>
      <c r="B387" t="inlineStr">
        <is>
          <t>/Users/manczg/Documents/development/archon-search/tests/test_store.py</t>
        </is>
      </c>
      <c r="C387" t="inlineStr">
        <is>
          <t>tests-05</t>
        </is>
      </c>
      <c r="D387" t="n">
        <v>820</v>
      </c>
      <c r="E387" t="inlineStr">
        <is>
          <t>calls private SearchStore._meta_schema() directly</t>
        </is>
      </c>
      <c r="F387" t="b">
        <v>1</v>
      </c>
    </row>
    <row r="388">
      <c r="A388" t="inlineStr">
        <is>
          <t>archon-search</t>
        </is>
      </c>
      <c r="B388" t="inlineStr">
        <is>
          <t>/Users/manczg/Documents/development/archon-search/tests/test_store.py</t>
        </is>
      </c>
      <c r="C388" t="inlineStr">
        <is>
          <t>tests-05</t>
        </is>
      </c>
      <c r="D388" t="n">
        <v>839</v>
      </c>
      <c r="E388" t="inlineStr">
        <is>
          <t>calls private SearchStore._row_to_meta(row) directly</t>
        </is>
      </c>
      <c r="F388" t="b">
        <v>1</v>
      </c>
    </row>
    <row r="389">
      <c r="A389" t="inlineStr">
        <is>
          <t>archon-search</t>
        </is>
      </c>
      <c r="B389" t="inlineStr">
        <is>
          <t>/Users/manczg/Documents/development/archon-search/tests/test_store.py</t>
        </is>
      </c>
      <c r="C389" t="inlineStr">
        <is>
          <t>tests-05</t>
        </is>
      </c>
      <c r="D389" t="n">
        <v>903</v>
      </c>
      <c r="E389" t="inlineStr">
        <is>
          <t>calls private connected_store._require_connected() directly</t>
        </is>
      </c>
      <c r="F389" t="b">
        <v>1</v>
      </c>
    </row>
    <row r="390">
      <c r="A390" t="inlineStr">
        <is>
          <t>archon-search</t>
        </is>
      </c>
      <c r="B390" t="inlineStr">
        <is>
          <t>/Users/manczg/Documents/development/archon-search/tests/test_store.py</t>
        </is>
      </c>
      <c r="C390" t="inlineStr">
        <is>
          <t>tests-05</t>
        </is>
      </c>
      <c r="D390" t="n">
        <v>989</v>
      </c>
      <c r="E390" t="inlineStr">
        <is>
          <t>calls private store._require_connected() directly</t>
        </is>
      </c>
      <c r="F390" t="b">
        <v>1</v>
      </c>
    </row>
    <row r="391">
      <c r="A391" t="inlineStr">
        <is>
          <t>archon-search</t>
        </is>
      </c>
      <c r="B391" t="inlineStr">
        <is>
          <t>/Users/manczg/Documents/development/archon-search/tests/test_store.py</t>
        </is>
      </c>
      <c r="C391" t="inlineStr">
        <is>
          <t>tests-05</t>
        </is>
      </c>
      <c r="D391" t="n">
        <v>1304</v>
      </c>
      <c r="E391" t="inlineStr">
        <is>
          <t>calls private store._migrate_schema_version() directly</t>
        </is>
      </c>
      <c r="F391" t="b">
        <v>1</v>
      </c>
    </row>
    <row r="392">
      <c r="A392" t="inlineStr">
        <is>
          <t>archon-search</t>
        </is>
      </c>
      <c r="B392" t="inlineStr">
        <is>
          <t>/Users/manczg/Documents/development/archon-search/tests/test_store.py</t>
        </is>
      </c>
      <c r="C392" t="inlineStr">
        <is>
          <t>tests-05</t>
        </is>
      </c>
      <c r="D392" t="n">
        <v>2366</v>
      </c>
      <c r="E392" t="inlineStr">
        <is>
          <t>imports private module function _hybrid_search_with_trace directly</t>
        </is>
      </c>
      <c r="F392" t="b">
        <v>0</v>
      </c>
    </row>
    <row r="393">
      <c r="A393" t="inlineStr">
        <is>
          <t>archon-search</t>
        </is>
      </c>
      <c r="B393" t="inlineStr">
        <is>
          <t>/Users/manczg/Documents/development/archon-search/tests/test_store.py</t>
        </is>
      </c>
      <c r="C393" t="inlineStr">
        <is>
          <t>tests-05</t>
        </is>
      </c>
      <c r="D393" t="n">
        <v>2401</v>
      </c>
      <c r="E393" t="inlineStr">
        <is>
          <t>store._db = mock_db bypasses the public API to inject internals</t>
        </is>
      </c>
      <c r="F393" t="b">
        <v>1</v>
      </c>
    </row>
    <row r="394">
      <c r="A394" t="inlineStr">
        <is>
          <t>archon-search</t>
        </is>
      </c>
      <c r="B394" t="inlineStr">
        <is>
          <t>/Users/manczg/Documents/development/archon-search/tests/test_store.py</t>
        </is>
      </c>
      <c r="C394" t="inlineStr">
        <is>
          <t>tests-05</t>
        </is>
      </c>
      <c r="D394" t="n">
        <v>4390</v>
      </c>
      <c r="E394" t="inlineStr">
        <is>
          <t>imports private module function _where_eq directly</t>
        </is>
      </c>
      <c r="F394" t="b">
        <v>0</v>
      </c>
    </row>
    <row r="395">
      <c r="A395" t="inlineStr">
        <is>
          <t>archon-search</t>
        </is>
      </c>
      <c r="B395" t="inlineStr">
        <is>
          <t>/Users/manczg/Documents/development/archon-search/tests/test_store.py</t>
        </is>
      </c>
      <c r="C395" t="inlineStr">
        <is>
          <t>tests-05</t>
        </is>
      </c>
      <c r="D395" t="n">
        <v>6335</v>
      </c>
      <c r="E395" t="inlineStr">
        <is>
          <t>store._do_update_meta_on_add reassigned, a private method replaced directly</t>
        </is>
      </c>
      <c r="F395" t="b">
        <v>1</v>
      </c>
    </row>
    <row r="396">
      <c r="A396" t="inlineStr">
        <is>
          <t>archon-search</t>
        </is>
      </c>
      <c r="B396" t="inlineStr">
        <is>
          <t>/Users/manczg/Documents/development/archon-search/tests/test_store.py</t>
        </is>
      </c>
      <c r="C396" t="inlineStr">
        <is>
          <t>tests-05</t>
        </is>
      </c>
      <c r="D396" t="n">
        <v>7288</v>
      </c>
      <c r="E396" t="inlineStr">
        <is>
          <t>SearchStore.__new__ bypasses the constructor then sets private _collection_locks directly</t>
        </is>
      </c>
      <c r="F396" t="b">
        <v>1</v>
      </c>
    </row>
    <row r="397">
      <c r="A397" t="inlineStr">
        <is>
          <t>archon-search</t>
        </is>
      </c>
      <c r="B397" t="inlineStr">
        <is>
          <t>/Users/manczg/Documents/development/archon-search/tests/test_store.py</t>
        </is>
      </c>
      <c r="C397" t="inlineStr">
        <is>
          <t>tests-05</t>
        </is>
      </c>
      <c r="D397" t="n">
        <v>7747</v>
      </c>
      <c r="E397" t="inlineStr">
        <is>
          <t>store._require_connected reassigned, a private method replaced directly</t>
        </is>
      </c>
      <c r="F397" t="b">
        <v>1</v>
      </c>
    </row>
    <row r="398">
      <c r="A398" t="inlineStr">
        <is>
          <t>archon-search</t>
        </is>
      </c>
      <c r="B398" t="inlineStr">
        <is>
          <t>/Users/manczg/Documents/development/archon-search/tests/test_store.py</t>
        </is>
      </c>
      <c r="C398" t="inlineStr">
        <is>
          <t>tests-09</t>
        </is>
      </c>
      <c r="D398" t="n">
        <v>196</v>
      </c>
      <c r="E398" t="inlineStr">
        <is>
          <t>test_store_double_disconnect_safe has no assert; relies on "should not raise"</t>
        </is>
      </c>
      <c r="F398" t="b">
        <v>1</v>
      </c>
    </row>
    <row r="399">
      <c r="A399" t="inlineStr">
        <is>
          <t>archon-search</t>
        </is>
      </c>
      <c r="B399" t="inlineStr">
        <is>
          <t>/Users/manczg/Documents/development/archon-search/tests/test_store.py</t>
        </is>
      </c>
      <c r="C399" t="inlineStr">
        <is>
          <t>tests-09</t>
        </is>
      </c>
      <c r="D399" t="n">
        <v>236</v>
      </c>
      <c r="E399" t="inlineStr">
        <is>
          <t>test_store_ensure_collection_idempotent has no assert; relies on "should not raise"</t>
        </is>
      </c>
      <c r="F399" t="b">
        <v>1</v>
      </c>
    </row>
    <row r="400">
      <c r="A400" t="inlineStr">
        <is>
          <t>archon-search</t>
        </is>
      </c>
      <c r="B400" t="inlineStr">
        <is>
          <t>/Users/manczg/Documents/development/archon-search/tests/test_store.py</t>
        </is>
      </c>
      <c r="C400" t="inlineStr">
        <is>
          <t>tests-09</t>
        </is>
      </c>
      <c r="D400" t="n">
        <v>444</v>
      </c>
      <c r="E400" t="inlineStr">
        <is>
          <t>test_store_rebuild_fts_index_idempotent has no assert; relies on "does not raise"</t>
        </is>
      </c>
      <c r="F400" t="b">
        <v>1</v>
      </c>
    </row>
    <row r="401">
      <c r="A401" t="inlineStr">
        <is>
          <t>archon-search</t>
        </is>
      </c>
      <c r="B401" t="inlineStr">
        <is>
          <t>/Users/manczg/Documents/development/archon-search/tests/test_store.py</t>
        </is>
      </c>
      <c r="C401" t="inlineStr">
        <is>
          <t>tests-09</t>
        </is>
      </c>
      <c r="D401" t="n">
        <v>973</v>
      </c>
      <c r="E401" t="inlineStr">
        <is>
          <t>test_migrate_namespace_no_meta_table has no assert; relies on "must be no-op"</t>
        </is>
      </c>
      <c r="F401" t="b">
        <v>1</v>
      </c>
    </row>
    <row r="402">
      <c r="A402" t="inlineStr">
        <is>
          <t>archon-search</t>
        </is>
      </c>
      <c r="B402" t="inlineStr">
        <is>
          <t>/Users/manczg/Documents/development/archon-search/tests/test_store.py</t>
        </is>
      </c>
      <c r="C402" t="inlineStr">
        <is>
          <t>tests-09</t>
        </is>
      </c>
      <c r="D402" t="n">
        <v>1049</v>
      </c>
      <c r="E402" t="inlineStr">
        <is>
          <t>test_migrate_namespace_already_migrated has no assert on migration outcome</t>
        </is>
      </c>
      <c r="F402" t="b">
        <v>1</v>
      </c>
    </row>
    <row r="403">
      <c r="A403" t="inlineStr">
        <is>
          <t>archon-search</t>
        </is>
      </c>
      <c r="B403" t="inlineStr">
        <is>
          <t>/Users/manczg/Documents/development/archon-search/tests/test_store.py</t>
        </is>
      </c>
      <c r="C403" t="inlineStr">
        <is>
          <t>tests-09</t>
        </is>
      </c>
      <c r="D403" t="n">
        <v>1134</v>
      </c>
      <c r="E403" t="inlineStr">
        <is>
          <t>test_migrate_namespace_concurrent_race has no assert on migration outcome</t>
        </is>
      </c>
      <c r="F403" t="b">
        <v>1</v>
      </c>
    </row>
    <row r="404">
      <c r="A404" t="inlineStr">
        <is>
          <t>archon-search</t>
        </is>
      </c>
      <c r="B404" t="inlineStr">
        <is>
          <t>/Users/manczg/Documents/development/archon-search/tests/test_store.py</t>
        </is>
      </c>
      <c r="C404" t="inlineStr">
        <is>
          <t>tests-09</t>
        </is>
      </c>
      <c r="D404" t="n">
        <v>1222</v>
      </c>
      <c r="E404" t="inlineStr">
        <is>
          <t>test_migrate_centroid_sum_no_meta_table_noop has no assert; relies on "must be no-op"</t>
        </is>
      </c>
      <c r="F404" t="b">
        <v>1</v>
      </c>
    </row>
    <row r="405">
      <c r="A405" t="inlineStr">
        <is>
          <t>archon-search</t>
        </is>
      </c>
      <c r="B405" t="inlineStr">
        <is>
          <t>/Users/manczg/Documents/development/archon-search/tests/test_store.py</t>
        </is>
      </c>
      <c r="C405" t="inlineStr">
        <is>
          <t>tests-09</t>
        </is>
      </c>
      <c r="D405" t="n">
        <v>1583</v>
      </c>
      <c r="E405" t="inlineStr">
        <is>
          <t>test_migrate_per_collection_model_no_meta_table_noop has no assert; relies on "no error"</t>
        </is>
      </c>
      <c r="F405" t="b">
        <v>1</v>
      </c>
    </row>
    <row r="406">
      <c r="A406" t="inlineStr">
        <is>
          <t>archon-search</t>
        </is>
      </c>
      <c r="B406" t="inlineStr">
        <is>
          <t>/Users/manczg/Documents/development/archon-search/tests/test_store.py</t>
        </is>
      </c>
      <c r="C406" t="inlineStr">
        <is>
          <t>tests-09</t>
        </is>
      </c>
      <c r="D406" t="n">
        <v>2894</v>
      </c>
      <c r="E406" t="inlineStr">
        <is>
          <t>test_delete_collection_meta_noop_when_table_absent has no assert; comment "must not raise"</t>
        </is>
      </c>
      <c r="F406" t="b">
        <v>1</v>
      </c>
    </row>
    <row r="407">
      <c r="A407" t="inlineStr">
        <is>
          <t>archon-search</t>
        </is>
      </c>
      <c r="B407" t="inlineStr">
        <is>
          <t>/Users/manczg/Documents/development/archon-search/tests/test_store.py</t>
        </is>
      </c>
      <c r="C407" t="inlineStr">
        <is>
          <t>tests-09</t>
        </is>
      </c>
      <c r="D407" t="n">
        <v>2905</v>
      </c>
      <c r="E407" t="inlineStr">
        <is>
          <t>test_delete_collection_meta_noop_when_row_missing has no assert; comment "must not raise"</t>
        </is>
      </c>
      <c r="F407" t="b">
        <v>1</v>
      </c>
    </row>
    <row r="408">
      <c r="A408" t="inlineStr">
        <is>
          <t>archon-search</t>
        </is>
      </c>
      <c r="B408" t="inlineStr">
        <is>
          <t>/Users/manczg/Documents/development/archon-search/tests/test_store.py</t>
        </is>
      </c>
      <c r="C408" t="inlineStr">
        <is>
          <t>tests-09</t>
        </is>
      </c>
      <c r="D408" t="n">
        <v>2947</v>
      </c>
      <c r="E408" t="inlineStr">
        <is>
          <t>test_update_collection_meta_valid_namespace_passes has no assert; comment "must not raise"</t>
        </is>
      </c>
      <c r="F408" t="b">
        <v>1</v>
      </c>
    </row>
    <row r="409">
      <c r="A409" t="inlineStr">
        <is>
          <t>archon-search</t>
        </is>
      </c>
      <c r="B409" t="inlineStr">
        <is>
          <t>/Users/manczg/Documents/development/archon-search/tests/test_store.py</t>
        </is>
      </c>
      <c r="C409" t="inlineStr">
        <is>
          <t>tests-09</t>
        </is>
      </c>
      <c r="D409" t="n">
        <v>4716</v>
      </c>
      <c r="E409" t="inlineStr">
        <is>
          <t>test_migrate_description_embedding_concurrent_calls has no assert; only checks gather does not raise</t>
        </is>
      </c>
      <c r="F409" t="b">
        <v>1</v>
      </c>
    </row>
    <row r="410">
      <c r="A410" t="inlineStr">
        <is>
          <t>archon-search</t>
        </is>
      </c>
      <c r="B410" t="inlineStr">
        <is>
          <t>/Users/manczg/Documents/development/archon-search/tests/test_store.py</t>
        </is>
      </c>
      <c r="C410" t="inlineStr">
        <is>
          <t>tests-09</t>
        </is>
      </c>
      <c r="D410" t="n">
        <v>6142</v>
      </c>
      <c r="E410" t="inlineStr">
        <is>
          <t>test_delete_document_no_full_scan_spy sets up spy lists but never asserts on them</t>
        </is>
      </c>
      <c r="F410" t="b">
        <v>1</v>
      </c>
    </row>
    <row r="411">
      <c r="A411" t="inlineStr">
        <is>
          <t>archon-search</t>
        </is>
      </c>
      <c r="B411" t="inlineStr">
        <is>
          <t>/Users/manczg/Documents/development/archon-search/tests/test_store.py</t>
        </is>
      </c>
      <c r="C411" t="inlineStr">
        <is>
          <t>tests-09</t>
        </is>
      </c>
      <c r="D411" t="n">
        <v>6934</v>
      </c>
      <c r="E411" t="inlineStr">
        <is>
          <t>test_list_chunks_raw_nonexistent_collection_yields_nothing collects results but never asserts they are empty</t>
        </is>
      </c>
      <c r="F411" t="b">
        <v>1</v>
      </c>
    </row>
    <row r="412">
      <c r="A412" t="inlineStr">
        <is>
          <t>archon-search</t>
        </is>
      </c>
      <c r="B412" t="inlineStr">
        <is>
          <t>/Users/manczg/Documents/development/archon-search/tests/test_sync.py</t>
        </is>
      </c>
      <c r="C412" t="inlineStr">
        <is>
          <t>smells-01</t>
        </is>
      </c>
      <c r="D412" t="n">
        <v>1</v>
      </c>
      <c r="E412" t="inlineStr">
        <is>
          <t>file is 5743 lines, far exceeds a reasonable single test-file length</t>
        </is>
      </c>
      <c r="F412" t="b">
        <v>1</v>
      </c>
    </row>
    <row r="413">
      <c r="A413" t="inlineStr">
        <is>
          <t>archon-search</t>
        </is>
      </c>
      <c r="B413" t="inlineStr">
        <is>
          <t>/Users/manczg/Documents/development/archon-search/tests/test_sync.py</t>
        </is>
      </c>
      <c r="C413" t="inlineStr">
        <is>
          <t>clarity-17</t>
        </is>
      </c>
      <c r="D413" t="n">
        <v>4192</v>
      </c>
      <c r="E413" t="inlineStr">
        <is>
          <t>test_sync_mixed_changes runs ~74 lines with 4 distinct setup scenarios in one test</t>
        </is>
      </c>
      <c r="F413" t="b">
        <v>0</v>
      </c>
    </row>
    <row r="414">
      <c r="A414" t="inlineStr">
        <is>
          <t>archon-search</t>
        </is>
      </c>
      <c r="B414" t="inlineStr">
        <is>
          <t>/Users/manczg/Documents/development/archon-search/tests/test_sync.py</t>
        </is>
      </c>
      <c r="C414" t="inlineStr">
        <is>
          <t>clarity-17</t>
        </is>
      </c>
      <c r="D414" t="n">
        <v>5491</v>
      </c>
      <c r="E414" t="inlineStr">
        <is>
          <t>test_sync_ingest_calls_use_per_collection_embedder spans ~66 lines with 3-way branching per parametrize value</t>
        </is>
      </c>
      <c r="F414" t="b">
        <v>0</v>
      </c>
    </row>
    <row r="415">
      <c r="A415" t="inlineStr">
        <is>
          <t>archon-search</t>
        </is>
      </c>
      <c r="B415" t="inlineStr">
        <is>
          <t>/Users/manczg/Documents/development/archon-search/tests/test_sync.py</t>
        </is>
      </c>
      <c r="C415" t="inlineStr">
        <is>
          <t>clarity-17</t>
        </is>
      </c>
      <c r="D415" t="n">
        <v>3115</v>
      </c>
      <c r="E415" t="inlineStr">
        <is>
          <t>test_reset_stale_in_progress_integration is ~69 lines seeding 4 collections and asserting each</t>
        </is>
      </c>
      <c r="F415" t="b">
        <v>0</v>
      </c>
    </row>
    <row r="416">
      <c r="A416" t="inlineStr">
        <is>
          <t>archon-search</t>
        </is>
      </c>
      <c r="B416" t="inlineStr">
        <is>
          <t>/Users/manczg/Documents/development/archon-search/tests/test_sync.py</t>
        </is>
      </c>
      <c r="C416" t="inlineStr">
        <is>
          <t>clarity-17</t>
        </is>
      </c>
      <c r="D416" t="n">
        <v>2781</v>
      </c>
      <c r="E416" t="inlineStr">
        <is>
          <t>test_sync_initial_in_progress_write_contains_resume_paths is ~69 lines mixing patch, capture and multiple asserts</t>
        </is>
      </c>
      <c r="F416" t="b">
        <v>0</v>
      </c>
    </row>
    <row r="417">
      <c r="A417" t="inlineStr">
        <is>
          <t>archon-search</t>
        </is>
      </c>
      <c r="B417" t="inlineStr">
        <is>
          <t>/Users/manczg/Documents/development/archon-search/tests/test_sync.py</t>
        </is>
      </c>
      <c r="C417" t="inlineStr">
        <is>
          <t>clarity-17</t>
        </is>
      </c>
      <c r="D417" t="n">
        <v>2200</v>
      </c>
      <c r="E417" t="inlineStr">
        <is>
          <t>test_sync_new_collection_preseeded_paths_excluded_new_ingested is ~67 lines with an inline fake_ingest</t>
        </is>
      </c>
      <c r="F417" t="b">
        <v>0</v>
      </c>
    </row>
    <row r="418">
      <c r="A418" t="inlineStr">
        <is>
          <t>archon-search</t>
        </is>
      </c>
      <c r="B418" t="inlineStr">
        <is>
          <t>/Users/manczg/Documents/development/archon-search/tests/test_sync.py</t>
        </is>
      </c>
      <c r="C418" t="inlineStr">
        <is>
          <t>clarity-17</t>
        </is>
      </c>
      <c r="D418" t="n">
        <v>4535</v>
      </c>
      <c r="E418" t="inlineStr">
        <is>
          <t>test_sync_apply_changes_stat_oserror_on_changed_file_preserves_old_mtime is ~65 lines</t>
        </is>
      </c>
      <c r="F418" t="b">
        <v>0</v>
      </c>
    </row>
    <row r="419">
      <c r="A419" t="inlineStr">
        <is>
          <t>archon-search</t>
        </is>
      </c>
      <c r="B419" t="inlineStr">
        <is>
          <t>/Users/manczg/Documents/development/archon-search/tests/test_sync.py</t>
        </is>
      </c>
      <c r="C419" t="inlineStr">
        <is>
          <t>clarity-17</t>
        </is>
      </c>
      <c r="D419" t="n">
        <v>3977</v>
      </c>
      <c r="E419" t="inlineStr">
        <is>
          <t>test_sync_apply_changes_failed_midway is ~62 lines covering deletion+2 new files+mid-failure in one test</t>
        </is>
      </c>
      <c r="F419" t="b">
        <v>0</v>
      </c>
    </row>
    <row r="420">
      <c r="A420" t="inlineStr">
        <is>
          <t>archon-search</t>
        </is>
      </c>
      <c r="B420" t="inlineStr">
        <is>
          <t>/Users/manczg/Documents/development/archon-search/tests/test_sync.py</t>
        </is>
      </c>
      <c r="C420" t="inlineStr">
        <is>
          <t>clarity-17</t>
        </is>
      </c>
      <c r="D420" t="n">
        <v>3023</v>
      </c>
      <c r="E420" t="inlineStr">
        <is>
          <t>test_reset_stale_in_progress_noop_when_nothing_in_progress is ~61 lines</t>
        </is>
      </c>
      <c r="F420" t="b">
        <v>0</v>
      </c>
    </row>
    <row r="421">
      <c r="A421" t="inlineStr">
        <is>
          <t>archon-search</t>
        </is>
      </c>
      <c r="B421" t="inlineStr">
        <is>
          <t>/Users/manczg/Documents/development/archon-search/tests/test_sync.py</t>
        </is>
      </c>
      <c r="C421" t="inlineStr">
        <is>
          <t>clarity-17</t>
        </is>
      </c>
      <c r="D421" t="n">
        <v>1843</v>
      </c>
      <c r="E421" t="inlineStr">
        <is>
          <t>test_sync_multiple_collections_mixed_results is ~61 lines with an inline branching fake_ingest</t>
        </is>
      </c>
      <c r="F421" t="b">
        <v>0</v>
      </c>
    </row>
    <row r="422">
      <c r="A422" t="inlineStr">
        <is>
          <t>archon-search</t>
        </is>
      </c>
      <c r="B422" t="inlineStr">
        <is>
          <t>/Users/manczg/Documents/development/archon-search/tests/test_sync.py</t>
        </is>
      </c>
      <c r="C422" t="inlineStr">
        <is>
          <t>clarity-17</t>
        </is>
      </c>
      <c r="D422" t="n">
        <v>1783</v>
      </c>
      <c r="E422" t="inlineStr">
        <is>
          <t>test_sync_done_total_files_resume_plus_new is ~60 lines</t>
        </is>
      </c>
      <c r="F422" t="b">
        <v>0</v>
      </c>
    </row>
    <row r="423">
      <c r="A423" t="inlineStr">
        <is>
          <t>archon-search</t>
        </is>
      </c>
      <c r="B423" t="inlineStr">
        <is>
          <t>/Users/manczg/Documents/development/archon-search/tests/test_sync.py</t>
        </is>
      </c>
      <c r="C423" t="inlineStr">
        <is>
          <t>smells-02</t>
        </is>
      </c>
      <c r="D423" t="n">
        <v>1070</v>
      </c>
      <c r="E423" t="inlineStr">
        <is>
          <t>_make_syncer_with_state takes 6 params (tmp_path, existing_collections, manifest, file_count, ingest_results plus self)</t>
        </is>
      </c>
      <c r="F423" t="b">
        <v>1</v>
      </c>
    </row>
    <row r="424">
      <c r="A424" t="inlineStr">
        <is>
          <t>archon-search</t>
        </is>
      </c>
      <c r="B424" t="inlineStr">
        <is>
          <t>/Users/manczg/Documents/development/archon-search/tests/test_sync.py</t>
        </is>
      </c>
      <c r="C424" t="inlineStr">
        <is>
          <t>smells-03</t>
        </is>
      </c>
      <c r="D424" t="n">
        <v>594</v>
      </c>
      <c r="E424" t="inlineStr">
        <is>
          <t>_make_no_state_syncer takes a bare boolean auto_reindex keyword arg</t>
        </is>
      </c>
      <c r="F424" t="b">
        <v>0</v>
      </c>
    </row>
    <row r="425">
      <c r="A425" t="inlineStr">
        <is>
          <t>archon-search</t>
        </is>
      </c>
      <c r="B425" t="inlineStr">
        <is>
          <t>/Users/manczg/Documents/development/archon-search/tests/test_sync.py</t>
        </is>
      </c>
      <c r="C425" t="inlineStr">
        <is>
          <t>smells-03</t>
        </is>
      </c>
      <c r="D425" t="n">
        <v>3251</v>
      </c>
      <c r="E425" t="inlineStr">
        <is>
          <t>_make_syncer takes a bare boolean auto_reindex=False param</t>
        </is>
      </c>
      <c r="F425" t="b">
        <v>0</v>
      </c>
    </row>
    <row r="426">
      <c r="A426" t="inlineStr">
        <is>
          <t>archon-search</t>
        </is>
      </c>
      <c r="B426" t="inlineStr">
        <is>
          <t>/Users/manczg/Documents/development/archon-search/tests/test_sync.py</t>
        </is>
      </c>
      <c r="C426" t="inlineStr">
        <is>
          <t>smells-03</t>
        </is>
      </c>
      <c r="D426" t="n">
        <v>4818</v>
      </c>
      <c r="E426" t="inlineStr">
        <is>
          <t>_make_syncer takes a bare boolean with_state_store=True param</t>
        </is>
      </c>
      <c r="F426" t="b">
        <v>0</v>
      </c>
    </row>
    <row r="427">
      <c r="A427" t="inlineStr">
        <is>
          <t>archon-search</t>
        </is>
      </c>
      <c r="B427" t="inlineStr">
        <is>
          <t>/Users/manczg/Documents/development/archon-search/tests/test_sync.py</t>
        </is>
      </c>
      <c r="C427" t="inlineStr">
        <is>
          <t>tests-04</t>
        </is>
      </c>
      <c r="D427" t="n">
        <v>940</v>
      </c>
      <c r="E427" t="inlineStr">
        <is>
          <t>asyncio.sleep(0.02) used to assert concurrent-vs-serialized ordering, a timing-dependent assertion</t>
        </is>
      </c>
      <c r="F427" t="b">
        <v>0</v>
      </c>
    </row>
    <row r="428">
      <c r="A428" t="inlineStr">
        <is>
          <t>archon-search</t>
        </is>
      </c>
      <c r="B428" t="inlineStr">
        <is>
          <t>/Users/manczg/Documents/development/archon-search/tests/test_sync.py</t>
        </is>
      </c>
      <c r="C428" t="inlineStr">
        <is>
          <t>tests-04</t>
        </is>
      </c>
      <c r="D428" t="n">
        <v>4957</v>
      </c>
      <c r="E428" t="inlineStr">
        <is>
          <t>asyncio.sleep(0.02) inside slow_apply used to hold a lock for ordering assertions, timing-dependent</t>
        </is>
      </c>
      <c r="F428" t="b">
        <v>0</v>
      </c>
    </row>
    <row r="429">
      <c r="A429" t="inlineStr">
        <is>
          <t>archon-search</t>
        </is>
      </c>
      <c r="B429" t="inlineStr">
        <is>
          <t>/Users/manczg/Documents/development/archon-search/tests/test_sync.py</t>
        </is>
      </c>
      <c r="C429" t="inlineStr">
        <is>
          <t>tests-05</t>
        </is>
      </c>
      <c r="D429" t="n">
        <v>166</v>
      </c>
      <c r="E429" t="inlineStr">
        <is>
          <t>patches private method syncer._check_collection_changes directly</t>
        </is>
      </c>
      <c r="F429" t="b">
        <v>1</v>
      </c>
    </row>
    <row r="430">
      <c r="A430" t="inlineStr">
        <is>
          <t>archon-search</t>
        </is>
      </c>
      <c r="B430" t="inlineStr">
        <is>
          <t>/Users/manczg/Documents/development/archon-search/tests/test_sync.py</t>
        </is>
      </c>
      <c r="C430" t="inlineStr">
        <is>
          <t>tests-05</t>
        </is>
      </c>
      <c r="D430" t="n">
        <v>483</v>
      </c>
      <c r="E430" t="inlineStr">
        <is>
          <t>directly overwrites private method syncer._check_collection_changes with a MagicMock</t>
        </is>
      </c>
      <c r="F430" t="b">
        <v>1</v>
      </c>
    </row>
    <row r="431">
      <c r="A431" t="inlineStr">
        <is>
          <t>archon-search</t>
        </is>
      </c>
      <c r="B431" t="inlineStr">
        <is>
          <t>/Users/manczg/Documents/development/archon-search/tests/test_sync.py</t>
        </is>
      </c>
      <c r="C431" t="inlineStr">
        <is>
          <t>tests-05</t>
        </is>
      </c>
      <c r="D431" t="n">
        <v>487</v>
      </c>
      <c r="E431" t="inlineStr">
        <is>
          <t>directly overwrites private method syncer._apply_collection_changes with an AsyncMock</t>
        </is>
      </c>
      <c r="F431" t="b">
        <v>1</v>
      </c>
    </row>
    <row r="432">
      <c r="A432" t="inlineStr">
        <is>
          <t>archon-search</t>
        </is>
      </c>
      <c r="B432" t="inlineStr">
        <is>
          <t>/Users/manczg/Documents/development/archon-search/tests/test_sync.py</t>
        </is>
      </c>
      <c r="C432" t="inlineStr">
        <is>
          <t>tests-05</t>
        </is>
      </c>
      <c r="D432" t="n">
        <v>635</v>
      </c>
      <c r="E432" t="inlineStr">
        <is>
          <t>asserts on private method syncer._load_file_mtimes as a precondition check</t>
        </is>
      </c>
      <c r="F432" t="b">
        <v>1</v>
      </c>
    </row>
    <row r="433">
      <c r="A433" t="inlineStr">
        <is>
          <t>archon-search</t>
        </is>
      </c>
      <c r="B433" t="inlineStr">
        <is>
          <t>/Users/manczg/Documents/development/archon-search/tests/test_sync.py</t>
        </is>
      </c>
      <c r="C433" t="inlineStr">
        <is>
          <t>tests-05</t>
        </is>
      </c>
      <c r="D433" t="n">
        <v>879</v>
      </c>
      <c r="E433" t="inlineStr">
        <is>
          <t>calls private method syncer._get_lock directly to inspect lock identity</t>
        </is>
      </c>
      <c r="F433" t="b">
        <v>1</v>
      </c>
    </row>
    <row r="434">
      <c r="A434" t="inlineStr">
        <is>
          <t>archon-search</t>
        </is>
      </c>
      <c r="B434" t="inlineStr">
        <is>
          <t>/Users/manczg/Documents/development/archon-search/tests/test_sync.py</t>
        </is>
      </c>
      <c r="C434" t="inlineStr">
        <is>
          <t>tests-05</t>
        </is>
      </c>
      <c r="D434" t="n">
        <v>1017</v>
      </c>
      <c r="E434" t="inlineStr">
        <is>
          <t>calls private method syncer._write_manifest directly</t>
        </is>
      </c>
      <c r="F434" t="b">
        <v>1</v>
      </c>
    </row>
    <row r="435">
      <c r="A435" t="inlineStr">
        <is>
          <t>archon-search</t>
        </is>
      </c>
      <c r="B435" t="inlineStr">
        <is>
          <t>/Users/manczg/Documents/development/archon-search/tests/test_sync.py</t>
        </is>
      </c>
      <c r="C435" t="inlineStr">
        <is>
          <t>tests-05</t>
        </is>
      </c>
      <c r="D435" t="n">
        <v>1030</v>
      </c>
      <c r="E435" t="inlineStr">
        <is>
          <t>calls private method syncer._safe_state_update directly</t>
        </is>
      </c>
      <c r="F435" t="b">
        <v>1</v>
      </c>
    </row>
    <row r="436">
      <c r="A436" t="inlineStr">
        <is>
          <t>archon-search</t>
        </is>
      </c>
      <c r="B436" t="inlineStr">
        <is>
          <t>/Users/manczg/Documents/development/archon-search/tests/test_sync.py</t>
        </is>
      </c>
      <c r="C436" t="inlineStr">
        <is>
          <t>tests-05</t>
        </is>
      </c>
      <c r="D436" t="n">
        <v>2138</v>
      </c>
      <c r="E436" t="inlineStr">
        <is>
          <t>asserts on private method syncer._load_processed_paths return value</t>
        </is>
      </c>
      <c r="F436" t="b">
        <v>1</v>
      </c>
    </row>
    <row r="437">
      <c r="A437" t="inlineStr">
        <is>
          <t>archon-search</t>
        </is>
      </c>
      <c r="B437" t="inlineStr">
        <is>
          <t>/Users/manczg/Documents/development/archon-search/tests/test_sync.py</t>
        </is>
      </c>
      <c r="C437" t="inlineStr">
        <is>
          <t>tests-05</t>
        </is>
      </c>
      <c r="D437" t="n">
        <v>2879</v>
      </c>
      <c r="E437" t="inlineStr">
        <is>
          <t>calls private method syncer._iter_eligible_files directly</t>
        </is>
      </c>
      <c r="F437" t="b">
        <v>1</v>
      </c>
    </row>
    <row r="438">
      <c r="A438" t="inlineStr">
        <is>
          <t>archon-search</t>
        </is>
      </c>
      <c r="B438" t="inlineStr">
        <is>
          <t>/Users/manczg/Documents/development/archon-search/tests/test_sync.py</t>
        </is>
      </c>
      <c r="C438" t="inlineStr">
        <is>
          <t>tests-05</t>
        </is>
      </c>
      <c r="D438" t="n">
        <v>2929</v>
      </c>
      <c r="E438" t="inlineStr">
        <is>
          <t>calls private method syncer._reset_stale_in_progress directly</t>
        </is>
      </c>
      <c r="F438" t="b">
        <v>1</v>
      </c>
    </row>
    <row r="439">
      <c r="A439" t="inlineStr">
        <is>
          <t>archon-search</t>
        </is>
      </c>
      <c r="B439" t="inlineStr">
        <is>
          <t>/Users/manczg/Documents/development/archon-search/tests/test_sync.py</t>
        </is>
      </c>
      <c r="C439" t="inlineStr">
        <is>
          <t>tests-05</t>
        </is>
      </c>
      <c r="D439" t="n">
        <v>3199</v>
      </c>
      <c r="E439" t="inlineStr">
        <is>
          <t>asserts on private method syncer._load_file_mtimes return value</t>
        </is>
      </c>
      <c r="F439" t="b">
        <v>1</v>
      </c>
    </row>
    <row r="440">
      <c r="A440" t="inlineStr">
        <is>
          <t>archon-search</t>
        </is>
      </c>
      <c r="B440" t="inlineStr">
        <is>
          <t>/Users/manczg/Documents/development/archon-search/tests/test_sync.py</t>
        </is>
      </c>
      <c r="C440" t="inlineStr">
        <is>
          <t>tests-05</t>
        </is>
      </c>
      <c r="D440" t="n">
        <v>3273</v>
      </c>
      <c r="E440" t="inlineStr">
        <is>
          <t>calls private method syncer._check_collection_changes directly with internal args</t>
        </is>
      </c>
      <c r="F440" t="b">
        <v>1</v>
      </c>
    </row>
    <row r="441">
      <c r="A441" t="inlineStr">
        <is>
          <t>archon-search</t>
        </is>
      </c>
      <c r="B441" t="inlineStr">
        <is>
          <t>/Users/manczg/Documents/development/archon-search/tests/test_sync.py</t>
        </is>
      </c>
      <c r="C441" t="inlineStr">
        <is>
          <t>tests-05</t>
        </is>
      </c>
      <c r="D441" t="n">
        <v>5407</v>
      </c>
      <c r="E441" t="inlineStr">
        <is>
          <t>calls private method syncer._apply_collection_changes directly with internal kwargs</t>
        </is>
      </c>
      <c r="F441" t="b">
        <v>1</v>
      </c>
    </row>
    <row r="442">
      <c r="A442" t="inlineStr">
        <is>
          <t>archon-search</t>
        </is>
      </c>
      <c r="B442" t="inlineStr">
        <is>
          <t>/Users/manczg/Documents/development/archon-search/tests/test_sync.py</t>
        </is>
      </c>
      <c r="C442" t="inlineStr">
        <is>
          <t>tests-05</t>
        </is>
      </c>
      <c r="D442" t="n">
        <v>5516</v>
      </c>
      <c r="E442" t="inlineStr">
        <is>
          <t>calls private method syncer._ingest_collection directly with internal state classes</t>
        </is>
      </c>
      <c r="F442" t="b">
        <v>1</v>
      </c>
    </row>
    <row r="443">
      <c r="A443" t="inlineStr">
        <is>
          <t>archon-search</t>
        </is>
      </c>
      <c r="B443" t="inlineStr">
        <is>
          <t>/Users/manczg/Documents/development/archon-search/tests/test_sync.py</t>
        </is>
      </c>
      <c r="C443" t="inlineStr">
        <is>
          <t>tests-05</t>
        </is>
      </c>
      <c r="D443" t="n">
        <v>5731</v>
      </c>
      <c r="E443" t="inlineStr">
        <is>
          <t>calls private method syncer._ingest_collection directly with meta=None</t>
        </is>
      </c>
      <c r="F443" t="b">
        <v>1</v>
      </c>
    </row>
    <row r="444">
      <c r="A444" t="inlineStr">
        <is>
          <t>archon-search</t>
        </is>
      </c>
      <c r="B444" t="inlineStr">
        <is>
          <t>/Users/manczg/Documents/development/archon-search/tests/test_sync.py</t>
        </is>
      </c>
      <c r="C444" t="inlineStr">
        <is>
          <t>tests-09</t>
        </is>
      </c>
      <c r="D444" t="n">
        <v>1021</v>
      </c>
      <c r="E444" t="inlineStr">
        <is>
          <t>test_write_manifest_oserror_swallowed_by_safe_state_update has no assert statement</t>
        </is>
      </c>
      <c r="F444" t="b">
        <v>1</v>
      </c>
    </row>
    <row r="445">
      <c r="A445" t="inlineStr">
        <is>
          <t>archon-search</t>
        </is>
      </c>
      <c r="B445" t="inlineStr">
        <is>
          <t>/Users/manczg/Documents/development/archon-search/tests/test_sync.py</t>
        </is>
      </c>
      <c r="C445" t="inlineStr">
        <is>
          <t>tests-09</t>
        </is>
      </c>
      <c r="D445" t="n">
        <v>1045</v>
      </c>
      <c r="E445" t="inlineStr">
        <is>
          <t>test_manifest_remove_entry_noop_if_missing has no assert statement</t>
        </is>
      </c>
      <c r="F445" t="b">
        <v>1</v>
      </c>
    </row>
    <row r="446">
      <c r="A446" t="inlineStr">
        <is>
          <t>archon-search</t>
        </is>
      </c>
      <c r="B446" t="inlineStr">
        <is>
          <t>/Users/manczg/Documents/development/archon-search/tests/test_sync.py</t>
        </is>
      </c>
      <c r="C446" t="inlineStr">
        <is>
          <t>tests-09</t>
        </is>
      </c>
      <c r="D446" t="n">
        <v>1052</v>
      </c>
      <c r="E446" t="inlineStr">
        <is>
          <t>test_manifest_remove_entry_swallows_oserror has no assert statement</t>
        </is>
      </c>
      <c r="F446" t="b">
        <v>1</v>
      </c>
    </row>
    <row r="447">
      <c r="A447" t="inlineStr">
        <is>
          <t>moonset</t>
        </is>
      </c>
      <c r="B447" t="inlineStr">
        <is>
          <t>/Users/manczg/Documents/development/moonset/moonset-app/MoonsetApp/Presentation/ViewModels/SleepTimerViewModel.swift</t>
        </is>
      </c>
      <c r="C447" t="inlineStr">
        <is>
          <t>smells-01</t>
        </is>
      </c>
      <c r="D447" t="n">
        <v>1003</v>
      </c>
      <c r="E447" t="inlineStr">
        <is>
          <t>single file is 1003 lines, mixing timer, picker, and dual audio-setup orchestration</t>
        </is>
      </c>
      <c r="F447" t="b">
        <v>1</v>
      </c>
    </row>
    <row r="448">
      <c r="A448" t="inlineStr">
        <is>
          <t>moonset</t>
        </is>
      </c>
      <c r="B448" t="inlineStr">
        <is>
          <t>/Users/manczg/Documents/development/moonset/moonset-app/MoonsetApp/Presentation/ViewModels/SleepTimerViewModel.swift</t>
        </is>
      </c>
      <c r="C448" t="inlineStr">
        <is>
          <t>smells-02</t>
        </is>
      </c>
      <c r="D448" t="n">
        <v>212</v>
      </c>
      <c r="E448" t="inlineStr">
        <is>
          <t>init takes 7 parameters (timerService, preferenceService, darknessService, timerPublisher, audioService, soundPreferenceService, musicPreferenceService)</t>
        </is>
      </c>
      <c r="F448" t="b">
        <v>1</v>
      </c>
    </row>
    <row r="449">
      <c r="A449" t="inlineStr">
        <is>
          <t>moonset</t>
        </is>
      </c>
      <c r="B449" t="inlineStr">
        <is>
          <t>/Users/manczg/Documents/development/moonset/moonset-app/MoonsetApp/Presentation/ViewModels/SleepTimerViewModel.swift</t>
        </is>
      </c>
      <c r="C449" t="inlineStr">
        <is>
          <t>smells-12</t>
        </is>
      </c>
      <c r="D449" t="n">
        <v>296</v>
      </c>
      <c r="E449" t="inlineStr">
        <is>
          <t>catch block only prints error.localizedDescription, no user-facing recovery</t>
        </is>
      </c>
      <c r="F449" t="b">
        <v>1</v>
      </c>
    </row>
    <row r="450">
      <c r="A450" t="inlineStr">
        <is>
          <t>moonset</t>
        </is>
      </c>
      <c r="B450" t="inlineStr">
        <is>
          <t>/Users/manczg/Documents/development/moonset/moonset-app/MoonsetApp/Presentation/ViewModels/SleepTimerViewModel.swift</t>
        </is>
      </c>
      <c r="C450" t="inlineStr">
        <is>
          <t>smells-12</t>
        </is>
      </c>
      <c r="D450" t="n">
        <v>339</v>
      </c>
      <c r="E450" t="inlineStr">
        <is>
          <t>try? silently discards audioService.play error during confirmAudioSetup</t>
        </is>
      </c>
      <c r="F450" t="b">
        <v>1</v>
      </c>
    </row>
    <row r="451">
      <c r="A451" t="inlineStr">
        <is>
          <t>moonset</t>
        </is>
      </c>
      <c r="B451" t="inlineStr">
        <is>
          <t>/Users/manczg/Documents/development/moonset/moonset-app/MoonsetApp/Presentation/ViewModels/SleepTimerViewModel.swift</t>
        </is>
      </c>
      <c r="C451" t="inlineStr">
        <is>
          <t>smells-12</t>
        </is>
      </c>
      <c r="D451" t="n">
        <v>380</v>
      </c>
      <c r="E451" t="inlineStr">
        <is>
          <t>try? silently discards audioService.play error during preview</t>
        </is>
      </c>
      <c r="F451" t="b">
        <v>1</v>
      </c>
    </row>
    <row r="452">
      <c r="A452" t="inlineStr">
        <is>
          <t>moonset</t>
        </is>
      </c>
      <c r="B452" t="inlineStr">
        <is>
          <t>/Users/manczg/Documents/development/moonset/moonset-app/MoonsetApp/Presentation/ViewModels/SleepTimerViewModel.swift</t>
        </is>
      </c>
      <c r="C452" t="inlineStr">
        <is>
          <t>smells-12</t>
        </is>
      </c>
      <c r="D452" t="n">
        <v>399</v>
      </c>
      <c r="E452" t="inlineStr">
        <is>
          <t>try? silently discards audioService.play error during music preview</t>
        </is>
      </c>
      <c r="F452" t="b">
        <v>1</v>
      </c>
    </row>
    <row r="453">
      <c r="A453" t="inlineStr">
        <is>
          <t>moonset</t>
        </is>
      </c>
      <c r="B453" t="inlineStr">
        <is>
          <t>/Users/manczg/Documents/development/moonset/moonset-app/MoonsetApp/Presentation/ViewModels/SleepTimerViewModel.swift</t>
        </is>
      </c>
      <c r="C453" t="inlineStr">
        <is>
          <t>smells-12</t>
        </is>
      </c>
      <c r="D453" t="n">
        <v>526</v>
      </c>
      <c r="E453" t="inlineStr">
        <is>
          <t>try? silently discards audioService.play error on resume</t>
        </is>
      </c>
      <c r="F453" t="b">
        <v>1</v>
      </c>
    </row>
    <row r="454">
      <c r="A454" t="inlineStr">
        <is>
          <t>moonset</t>
        </is>
      </c>
      <c r="B454" t="inlineStr">
        <is>
          <t>/Users/manczg/Documents/development/moonset/moonset-app/MoonsetApp/Presentation/ViewModels/SleepTimerViewModel.swift</t>
        </is>
      </c>
      <c r="C454" t="inlineStr">
        <is>
          <t>smells-12</t>
        </is>
      </c>
      <c r="D454" t="n">
        <v>590</v>
      </c>
      <c r="E454" t="inlineStr">
        <is>
          <t>try? silently discards audioService.play error on restart</t>
        </is>
      </c>
      <c r="F454" t="b">
        <v>1</v>
      </c>
    </row>
    <row r="455">
      <c r="A455" t="inlineStr">
        <is>
          <t>moonset</t>
        </is>
      </c>
      <c r="B455" t="inlineStr">
        <is>
          <t>/Users/manczg/Documents/development/moonset/moonset-app/MoonsetApp/Presentation/ViewModels/SleepTimerViewModel.swift</t>
        </is>
      </c>
      <c r="C455" t="inlineStr">
        <is>
          <t>smells-12</t>
        </is>
      </c>
      <c r="D455" t="n">
        <v>598</v>
      </c>
      <c r="E455" t="inlineStr">
        <is>
          <t>catch block only prints error, restartTimer failure not surfaced to user</t>
        </is>
      </c>
      <c r="F455" t="b">
        <v>1</v>
      </c>
    </row>
    <row r="456">
      <c r="A456" t="inlineStr">
        <is>
          <t>moonset</t>
        </is>
      </c>
      <c r="B456" t="inlineStr">
        <is>
          <t>/Users/manczg/Documents/development/moonset/moonset-app/MoonsetApp/Presentation/ViewModels/SleepTimerViewModel.swift</t>
        </is>
      </c>
      <c r="C456" t="inlineStr">
        <is>
          <t>smells-12</t>
        </is>
      </c>
      <c r="D456" t="n">
        <v>633</v>
      </c>
      <c r="E456" t="inlineStr">
        <is>
          <t>catch block only prints error, SleepTimer init failure silently dropped</t>
        </is>
      </c>
      <c r="F456" t="b">
        <v>0</v>
      </c>
    </row>
    <row r="457">
      <c r="A457" t="inlineStr">
        <is>
          <t>moonset</t>
        </is>
      </c>
      <c r="B457" t="inlineStr">
        <is>
          <t>/Users/manczg/Documents/development/moonset/moonset-app/MoonsetApp/Presentation/ViewModels/SleepTimerViewModel.swift</t>
        </is>
      </c>
      <c r="C457" t="inlineStr">
        <is>
          <t>smells-12</t>
        </is>
      </c>
      <c r="D457" t="n">
        <v>777</v>
      </c>
      <c r="E457" t="inlineStr">
        <is>
          <t>catch block only prints error inside checkForTimerCompletion Task</t>
        </is>
      </c>
      <c r="F457" t="b">
        <v>1</v>
      </c>
    </row>
    <row r="458">
      <c r="A458" t="inlineStr">
        <is>
          <t>moonset</t>
        </is>
      </c>
      <c r="B458" t="inlineStr">
        <is>
          <t>/Users/manczg/Documents/development/moonset/moonset-app/MoonsetApp/Presentation/ViewModels/SleepTimerViewModel.swift</t>
        </is>
      </c>
      <c r="C458" t="inlineStr">
        <is>
          <t>solid-06</t>
        </is>
      </c>
      <c r="D458" t="n">
        <v>102</v>
      </c>
      <c r="E458" t="inlineStr">
        <is>
          <t>@Published var isPickerPresented is externally mutable with no encapsulation</t>
        </is>
      </c>
      <c r="F458" t="b">
        <v>1</v>
      </c>
    </row>
    <row r="459">
      <c r="A459" t="inlineStr">
        <is>
          <t>moonset</t>
        </is>
      </c>
      <c r="B459" t="inlineStr">
        <is>
          <t>/Users/manczg/Documents/development/moonset/moonset-app/MoonsetApp/Presentation/ViewModels/SleepTimerViewModel.swift</t>
        </is>
      </c>
      <c r="C459" t="inlineStr">
        <is>
          <t>solid-06</t>
        </is>
      </c>
      <c r="D459" t="n">
        <v>105</v>
      </c>
      <c r="E459" t="inlineStr">
        <is>
          <t>@Published var pickerHours is externally mutable with no encapsulation</t>
        </is>
      </c>
      <c r="F459" t="b">
        <v>1</v>
      </c>
    </row>
    <row r="460">
      <c r="A460" t="inlineStr">
        <is>
          <t>moonset</t>
        </is>
      </c>
      <c r="B460" t="inlineStr">
        <is>
          <t>/Users/manczg/Documents/development/moonset/moonset-app/MoonsetApp/Presentation/ViewModels/SleepTimerViewModel.swift</t>
        </is>
      </c>
      <c r="C460" t="inlineStr">
        <is>
          <t>solid-06</t>
        </is>
      </c>
      <c r="D460" t="n">
        <v>108</v>
      </c>
      <c r="E460" t="inlineStr">
        <is>
          <t>@Published var pickerMinutes is externally mutable with no encapsulation</t>
        </is>
      </c>
      <c r="F460" t="b">
        <v>1</v>
      </c>
    </row>
    <row r="461">
      <c r="A461" t="inlineStr">
        <is>
          <t>moonset</t>
        </is>
      </c>
      <c r="B461" t="inlineStr">
        <is>
          <t>/Users/manczg/Documents/development/moonset/moonset-app/MoonsetApp/Presentation/ViewModels/SleepTimerViewModel.swift</t>
        </is>
      </c>
      <c r="C461" t="inlineStr">
        <is>
          <t>solid-06</t>
        </is>
      </c>
      <c r="D461" t="n">
        <v>114</v>
      </c>
      <c r="E461" t="inlineStr">
        <is>
          <t>@Published var selectedTrackIndices is externally mutable with no encapsulation</t>
        </is>
      </c>
      <c r="F461" t="b">
        <v>1</v>
      </c>
    </row>
    <row r="462">
      <c r="A462" t="inlineStr">
        <is>
          <t>moonset</t>
        </is>
      </c>
      <c r="B462" t="inlineStr">
        <is>
          <t>/Users/manczg/Documents/development/moonset/moonset-app/MoonsetApp/Presentation/ViewModels/SleepTimerViewModel.swift</t>
        </is>
      </c>
      <c r="C462" t="inlineStr">
        <is>
          <t>solid-06</t>
        </is>
      </c>
      <c r="D462" t="n">
        <v>121</v>
      </c>
      <c r="E462" t="inlineStr">
        <is>
          <t>@Published var selectedMusicIndex is externally mutable with no encapsulation</t>
        </is>
      </c>
      <c r="F462" t="b">
        <v>1</v>
      </c>
    </row>
    <row r="463">
      <c r="A463" t="inlineStr">
        <is>
          <t>moonset</t>
        </is>
      </c>
      <c r="B463" t="inlineStr">
        <is>
          <t>/Users/manczg/Documents/development/moonset/moonset-app/MoonsetApp/Presentation/ViewModels/SleepTimerViewModel.swift</t>
        </is>
      </c>
      <c r="C463" t="inlineStr">
        <is>
          <t>solid-06</t>
        </is>
      </c>
      <c r="D463" t="n">
        <v>126</v>
      </c>
      <c r="E463" t="inlineStr">
        <is>
          <t>@Published var isAudioSetupPresented is externally mutable with no encapsulation</t>
        </is>
      </c>
      <c r="F463" t="b">
        <v>1</v>
      </c>
    </row>
    <row r="464">
      <c r="A464" t="inlineStr">
        <is>
          <t>moonset</t>
        </is>
      </c>
      <c r="B464" t="inlineStr">
        <is>
          <t>/Users/manczg/Documents/development/moonset/moonset-app/MoonsetApp/Presentation/ViewModels/SleepTimerViewModel.swift</t>
        </is>
      </c>
      <c r="C464" t="inlineStr">
        <is>
          <t>solid-07</t>
        </is>
      </c>
      <c r="D464" t="n">
        <v>105</v>
      </c>
      <c r="E464" t="inlineStr">
        <is>
          <t>pickerHours/pickerMinutes are raw Ints rather than a TimerDuration value object, despite one existing in the domain</t>
        </is>
      </c>
      <c r="F464" t="b">
        <v>0</v>
      </c>
    </row>
    <row r="465">
      <c r="A465" t="inlineStr">
        <is>
          <t>moonset</t>
        </is>
      </c>
      <c r="B465" t="inlineStr">
        <is>
          <t>/Users/manczg/Documents/development/moonset/moonset-app/MoonsetApp/Presentation/ViewModels/SleepTimerViewModel.swift</t>
        </is>
      </c>
      <c r="C465" t="inlineStr">
        <is>
          <t>clarity-17</t>
        </is>
      </c>
      <c r="D465" t="n">
        <v>812</v>
      </c>
      <c r="E465" t="inlineStr">
        <is>
          <t>showPicker() spans 46 lines mixing overlay dismissal, backup capture, pause, and time math</t>
        </is>
      </c>
      <c r="F465" t="b">
        <v>0</v>
      </c>
    </row>
    <row r="466">
      <c r="A466" t="inlineStr">
        <is>
          <t>moonset</t>
        </is>
      </c>
      <c r="B466" t="inlineStr">
        <is>
          <t>/Users/manczg/Documents/development/moonset/moonset-app/MoonsetApp/Presentation/ViewModels/SleepTimerViewModel.swift</t>
        </is>
      </c>
      <c r="C466" t="inlineStr">
        <is>
          <t>safety-03</t>
        </is>
      </c>
      <c r="D466" t="n">
        <v>354</v>
      </c>
      <c r="E466" t="inlineStr">
        <is>
          <t>saveMusicTrackPreference fires an unmanaged Task with try? swallowing the save error, no retry or user feedback</t>
        </is>
      </c>
      <c r="F466" t="b">
        <v>1</v>
      </c>
    </row>
    <row r="467">
      <c r="A467" t="inlineStr">
        <is>
          <t>moonset</t>
        </is>
      </c>
      <c r="B467" t="inlineStr">
        <is>
          <t>/Users/manczg/Documents/development/moonset/moonset-app/MoonsetApp/Presentation/ViewModels/SleepTimerViewModel.swift</t>
        </is>
      </c>
      <c r="C467" t="inlineStr">
        <is>
          <t>safety-03</t>
        </is>
      </c>
      <c r="D467" t="n">
        <v>671</v>
      </c>
      <c r="E467" t="inlineStr">
        <is>
          <t>saveSoundPreference fires an unmanaged Task with try? swallowing the save error, no retry or user feedback</t>
        </is>
      </c>
      <c r="F467" t="b">
        <v>1</v>
      </c>
    </row>
    <row r="468">
      <c r="A468" t="inlineStr">
        <is>
          <t>moonset</t>
        </is>
      </c>
      <c r="B468" t="inlineStr">
        <is>
          <t>/Users/manczg/Documents/development/moonset/moonset-app/MoonsetApp/Presentation/Views/SleepTimerView.swift</t>
        </is>
      </c>
      <c r="C468" t="inlineStr">
        <is>
          <t>clarity-17</t>
        </is>
      </c>
      <c r="D468" t="n">
        <v>147</v>
      </c>
      <c r="E468" t="inlineStr">
        <is>
          <t>body computed property spans ~190 lines combining layered ZStack layout, animation state, and lifecycle wiring</t>
        </is>
      </c>
      <c r="F468" t="b">
        <v>1</v>
      </c>
    </row>
    <row r="469">
      <c r="A469" t="inlineStr">
        <is>
          <t>moonset</t>
        </is>
      </c>
      <c r="B469" t="inlineStr">
        <is>
          <t>/Users/manczg/Documents/development/moonset/moonset-app/MoonsetApp/Presentation/Views/SleepTimerView.swift</t>
        </is>
      </c>
      <c r="C469" t="inlineStr">
        <is>
          <t>safety-11</t>
        </is>
      </c>
      <c r="D469" t="n">
        <v>253</v>
      </c>
      <c r="E469" t="inlineStr">
        <is>
          <t>Date() called directly to start a rotation segment, no injected clock abstraction</t>
        </is>
      </c>
      <c r="F469" t="b">
        <v>1</v>
      </c>
    </row>
    <row r="470">
      <c r="A470" t="inlineStr">
        <is>
          <t>moonset</t>
        </is>
      </c>
      <c r="B470" t="inlineStr">
        <is>
          <t>/Users/manczg/Documents/development/moonset/moonset-app/MoonsetApp/Presentation/Views/SleepTimerView.swift</t>
        </is>
      </c>
      <c r="C470" t="inlineStr">
        <is>
          <t>safety-11</t>
        </is>
      </c>
      <c r="D470" t="n">
        <v>257</v>
      </c>
      <c r="E470" t="inlineStr">
        <is>
          <t>Date() called directly to compute elapsed rotation, no injected clock abstraction</t>
        </is>
      </c>
      <c r="F470" t="b">
        <v>1</v>
      </c>
    </row>
    <row r="471">
      <c r="A471" t="inlineStr">
        <is>
          <t>moonset</t>
        </is>
      </c>
      <c r="B471" t="inlineStr">
        <is>
          <t>/Users/manczg/Documents/development/moonset/moonset-app/MoonsetApp/Presentation/Views/Components/ControlButtonsView.swift</t>
        </is>
      </c>
      <c r="C471" t="inlineStr">
        <is>
          <t>solid-10</t>
        </is>
      </c>
      <c r="D471" t="n">
        <v>85</v>
      </c>
      <c r="E471" t="inlineStr">
        <is>
          <t>UINotificationFeedbackGenerator instantiated directly as a stored property, not injected</t>
        </is>
      </c>
      <c r="F471" t="b">
        <v>1</v>
      </c>
    </row>
    <row r="472">
      <c r="A472" t="inlineStr">
        <is>
          <t>moonset</t>
        </is>
      </c>
      <c r="B472" t="inlineStr">
        <is>
          <t>/Users/manczg/Documents/development/moonset/moonset-app/MoonsetApp/Presentation/Views/Components/ControlButtonsView.swift</t>
        </is>
      </c>
      <c r="C472" t="inlineStr">
        <is>
          <t>solid-10</t>
        </is>
      </c>
      <c r="D472" t="n">
        <v>86</v>
      </c>
      <c r="E472" t="inlineStr">
        <is>
          <t>UIImpactFeedbackGenerator instantiated directly as a stored property, not injected</t>
        </is>
      </c>
      <c r="F472" t="b">
        <v>1</v>
      </c>
    </row>
    <row r="473">
      <c r="A473" t="inlineStr">
        <is>
          <t>moonset</t>
        </is>
      </c>
      <c r="B473" t="inlineStr">
        <is>
          <t>/Users/manczg/Documents/development/moonset/moonset-app/MoonsetApp/Presentation/Views/Components/ControlButtonsView.swift</t>
        </is>
      </c>
      <c r="C473" t="inlineStr">
        <is>
          <t>tests-01</t>
        </is>
      </c>
      <c r="D473" t="n">
        <v>44</v>
      </c>
      <c r="E473" t="inlineStr">
        <is>
          <t>ControlButtonsView has no dedicated test file (confirmed by searching MoonsetAppTests; PickerControlButtonsViewTests covers a different component)</t>
        </is>
      </c>
      <c r="F473" t="b">
        <v>1</v>
      </c>
    </row>
    <row r="474">
      <c r="A474" t="inlineStr">
        <is>
          <t>moonset</t>
        </is>
      </c>
      <c r="B474" t="inlineStr">
        <is>
          <t>/Users/manczg/Documents/development/moonset/moonset-app/MoonsetApp/Infrastructure/Audio/AVFoundationAudioService.swift</t>
        </is>
      </c>
      <c r="C474" t="inlineStr">
        <is>
          <t>clarity-17</t>
        </is>
      </c>
      <c r="D474" t="n">
        <v>62</v>
      </c>
      <c r="E474" t="inlineStr">
        <is>
          <t>play(tracks:) spans 67 lines: player teardown, session activation, player construction, delegate wiring, and fade-in start</t>
        </is>
      </c>
      <c r="F474" t="b">
        <v>0</v>
      </c>
    </row>
    <row r="475">
      <c r="A475" t="inlineStr">
        <is>
          <t>moonset</t>
        </is>
      </c>
      <c r="B475" t="inlineStr">
        <is>
          <t>/Users/manczg/Documents/development/moonset/moonset-app/MoonsetApp/Infrastructure/Audio/AVFoundationAudioService.swift</t>
        </is>
      </c>
      <c r="C475" t="inlineStr">
        <is>
          <t>clarity-16</t>
        </is>
      </c>
      <c r="D475" t="n">
        <v>62</v>
      </c>
      <c r="E475" t="inlineStr">
        <is>
          <t>play(tracks:) has high branching: guard, for-where, do-catch, nested for/if-else, and two more for-loops</t>
        </is>
      </c>
      <c r="F475" t="b">
        <v>1</v>
      </c>
    </row>
    <row r="476">
      <c r="A476" t="inlineStr">
        <is>
          <t>moonset</t>
        </is>
      </c>
      <c r="B476" t="inlineStr">
        <is>
          <t>/Users/manczg/Documents/development/moonset/moonset-app/MoonsetApp/Infrastructure/Audio/AVFoundationAudioService.swift</t>
        </is>
      </c>
      <c r="C476" t="inlineStr">
        <is>
          <t>smells-12</t>
        </is>
      </c>
      <c r="D476" t="n">
        <v>150</v>
      </c>
      <c r="E476" t="inlineStr">
        <is>
          <t>try? silently discards AVAudioSession deactivation error in stop()</t>
        </is>
      </c>
      <c r="F476" t="b">
        <v>1</v>
      </c>
    </row>
    <row r="477">
      <c r="A477" t="inlineStr">
        <is>
          <t>moonset</t>
        </is>
      </c>
      <c r="B477" t="inlineStr">
        <is>
          <t>/Users/manczg/Documents/development/moonset/moonset-app/MoonsetApp/Presentation/Views/Components/TimerDisplayView.swift</t>
        </is>
      </c>
      <c r="C477" t="inlineStr">
        <is>
          <t>tests-01</t>
        </is>
      </c>
      <c r="D477" t="n">
        <v>17</v>
      </c>
      <c r="E477" t="inlineStr">
        <is>
          <t>TimerDisplayView has no dedicated test file (confirmed by searching MoonsetAppTests)</t>
        </is>
      </c>
      <c r="F477" t="b">
        <v>1</v>
      </c>
    </row>
    <row r="478">
      <c r="A478" t="inlineStr">
        <is>
          <t>moonset</t>
        </is>
      </c>
      <c r="B478" t="inlineStr">
        <is>
          <t>/Users/manczg/Documents/development/moonset/moonset-app/MoonsetApp/Presentation/Views/Components/OverlayPanelContainer.swift</t>
        </is>
      </c>
      <c r="C478" t="inlineStr">
        <is>
          <t>tests-01</t>
        </is>
      </c>
      <c r="D478" t="n">
        <v>31</v>
      </c>
      <c r="E478" t="inlineStr">
        <is>
          <t>OverlayPanelContainer has no dedicated test file (confirmed by searching MoonsetAppTests)</t>
        </is>
      </c>
      <c r="F478" t="b">
        <v>1</v>
      </c>
    </row>
    <row r="479">
      <c r="A479" t="inlineStr">
        <is>
          <t>moonset</t>
        </is>
      </c>
      <c r="B479" t="inlineStr">
        <is>
          <t>/Users/manczg/Documents/development/moonset/moonset-app/MoonsetApp/Presentation/Views/Components/StarAnimationView.swift</t>
        </is>
      </c>
      <c r="C479" t="inlineStr">
        <is>
          <t>safety-11</t>
        </is>
      </c>
      <c r="D479" t="n">
        <v>55</v>
      </c>
      <c r="E479" t="inlineStr">
        <is>
          <t>direct Date() call in production onChange handler instead of injected clock abstraction</t>
        </is>
      </c>
      <c r="F479" t="b">
        <v>1</v>
      </c>
    </row>
    <row r="480">
      <c r="A480" t="inlineStr">
        <is>
          <t>moonset</t>
        </is>
      </c>
      <c r="B480" t="inlineStr">
        <is>
          <t>/Users/manczg/Documents/development/moonset/moonset-app/MoonsetApp/Presentation/Views/Components/SymbolButton/SymbolButtonModifiers.swift</t>
        </is>
      </c>
      <c r="C480" t="inlineStr">
        <is>
          <t>smells-03</t>
        </is>
      </c>
      <c r="D480" t="n">
        <v>23</v>
      </c>
      <c r="E480" t="inlineStr">
        <is>
          <t>selected(_ value: Bool) unlabeled boolean param obscures call site</t>
        </is>
      </c>
      <c r="F480" t="b">
        <v>1</v>
      </c>
    </row>
    <row r="481">
      <c r="A481" t="inlineStr">
        <is>
          <t>moonset</t>
        </is>
      </c>
      <c r="B481" t="inlineStr">
        <is>
          <t>/Users/manczg/Documents/development/moonset/moonset-app/MoonsetApp/Presentation/Views/Components/SymbolButton/SymbolButtonModifiers.swift</t>
        </is>
      </c>
      <c r="C481" t="inlineStr">
        <is>
          <t>smells-03</t>
        </is>
      </c>
      <c r="D481" t="n">
        <v>27</v>
      </c>
      <c r="E481" t="inlineStr">
        <is>
          <t>disabled(_ value: Bool) unlabeled boolean param obscures call site</t>
        </is>
      </c>
      <c r="F481" t="b">
        <v>1</v>
      </c>
    </row>
    <row r="482">
      <c r="A482" t="inlineStr">
        <is>
          <t>moonset</t>
        </is>
      </c>
      <c r="B482" t="inlineStr">
        <is>
          <t>/Users/manczg/Documents/development/moonset/moonset-app/MoonsetApp/Presentation/Views/Components/SymbolButton/SymbolButtonModifiers.swift</t>
        </is>
      </c>
      <c r="C482" t="inlineStr">
        <is>
          <t>smells-03</t>
        </is>
      </c>
      <c r="D482" t="n">
        <v>31</v>
      </c>
      <c r="E482" t="inlineStr">
        <is>
          <t>loading(_ value: Bool) unlabeled boolean param obscures call site</t>
        </is>
      </c>
      <c r="F482" t="b">
        <v>1</v>
      </c>
    </row>
    <row r="483">
      <c r="A483" t="inlineStr">
        <is>
          <t>moonset</t>
        </is>
      </c>
      <c r="B483" t="inlineStr">
        <is>
          <t>/Users/manczg/Documents/development/moonset/moonset-app/MoonsetAppTests/Presentation/ViewModels/SleepTimerViewModelMusicSetupTests.swift</t>
        </is>
      </c>
      <c r="C483" t="inlineStr">
        <is>
          <t>smells-01</t>
        </is>
      </c>
      <c r="D483" t="n">
        <v>15</v>
      </c>
      <c r="E483" t="inlineStr">
        <is>
          <t>1086-line test file, well past typical file-length threshold</t>
        </is>
      </c>
      <c r="F483" t="b">
        <v>1</v>
      </c>
    </row>
    <row r="484">
      <c r="A484" t="inlineStr">
        <is>
          <t>moonset</t>
        </is>
      </c>
      <c r="B484" t="inlineStr">
        <is>
          <t>/Users/manczg/Documents/development/moonset/moonset-app/MoonsetAppTests/Presentation/ViewModels/SleepTimerViewModelMusicSetupTests.swift</t>
        </is>
      </c>
      <c r="C484" t="inlineStr">
        <is>
          <t>tests-04</t>
        </is>
      </c>
      <c r="D484" t="n">
        <v>131</v>
      </c>
      <c r="E484" t="inlineStr">
        <is>
          <t>try? Task.sleep(nanoseconds:) used as timing-based synchronization, a flaky-test pattern</t>
        </is>
      </c>
      <c r="F484" t="b">
        <v>1</v>
      </c>
    </row>
    <row r="485">
      <c r="A485" t="inlineStr">
        <is>
          <t>moonset</t>
        </is>
      </c>
      <c r="B485" t="inlineStr">
        <is>
          <t>/Users/manczg/Documents/development/moonset/moonset-app/MoonsetAppTests/Presentation/ViewModels/SleepTimerViewModelMusicSetupTests.swift</t>
        </is>
      </c>
      <c r="C485" t="inlineStr">
        <is>
          <t>tests-04</t>
        </is>
      </c>
      <c r="D485" t="n">
        <v>135</v>
      </c>
      <c r="E485" t="inlineStr">
        <is>
          <t>try? Task.sleep(nanoseconds:) used as timing-based synchronization, a flaky-test pattern</t>
        </is>
      </c>
      <c r="F485" t="b">
        <v>1</v>
      </c>
    </row>
    <row r="486">
      <c r="A486" t="inlineStr">
        <is>
          <t>moonset</t>
        </is>
      </c>
      <c r="B486" t="inlineStr">
        <is>
          <t>/Users/manczg/Documents/development/moonset/moonset-app/MoonsetAppTests/Presentation/ViewModels/SleepTimerViewModelMusicSetupTests.swift</t>
        </is>
      </c>
      <c r="C486" t="inlineStr">
        <is>
          <t>tests-04</t>
        </is>
      </c>
      <c r="D486" t="n">
        <v>146</v>
      </c>
      <c r="E486" t="inlineStr">
        <is>
          <t>try? Task.sleep(nanoseconds:) used as timing-based synchronization, a flaky-test pattern</t>
        </is>
      </c>
      <c r="F486" t="b">
        <v>1</v>
      </c>
    </row>
    <row r="487">
      <c r="A487" t="inlineStr">
        <is>
          <t>moonset</t>
        </is>
      </c>
      <c r="B487" t="inlineStr">
        <is>
          <t>/Users/manczg/Documents/development/moonset/moonset-app/MoonsetAppTests/Presentation/ViewModels/SleepTimerViewModelMusicSetupTests.swift</t>
        </is>
      </c>
      <c r="C487" t="inlineStr">
        <is>
          <t>tests-04</t>
        </is>
      </c>
      <c r="D487" t="n">
        <v>178</v>
      </c>
      <c r="E487" t="inlineStr">
        <is>
          <t>try? Task.sleep(nanoseconds:) used as timing-based synchronization, a flaky-test pattern</t>
        </is>
      </c>
      <c r="F487" t="b">
        <v>1</v>
      </c>
    </row>
    <row r="488">
      <c r="A488" t="inlineStr">
        <is>
          <t>moonset</t>
        </is>
      </c>
      <c r="B488" t="inlineStr">
        <is>
          <t>/Users/manczg/Documents/development/moonset/moonset-app/MoonsetAppTests/Presentation/ViewModels/SleepTimerViewModelMusicSetupTests.swift</t>
        </is>
      </c>
      <c r="C488" t="inlineStr">
        <is>
          <t>tests-04</t>
        </is>
      </c>
      <c r="D488" t="n">
        <v>188</v>
      </c>
      <c r="E488" t="inlineStr">
        <is>
          <t>try? Task.sleep(nanoseconds:) used as timing-based synchronization, a flaky-test pattern</t>
        </is>
      </c>
      <c r="F488" t="b">
        <v>1</v>
      </c>
    </row>
    <row r="489">
      <c r="A489" t="inlineStr">
        <is>
          <t>moonset</t>
        </is>
      </c>
      <c r="B489" t="inlineStr">
        <is>
          <t>/Users/manczg/Documents/development/moonset/moonset-app/MoonsetAppTests/Presentation/ViewModels/SleepTimerViewModelMusicSetupTests.swift</t>
        </is>
      </c>
      <c r="C489" t="inlineStr">
        <is>
          <t>tests-04</t>
        </is>
      </c>
      <c r="D489" t="n">
        <v>191</v>
      </c>
      <c r="E489" t="inlineStr">
        <is>
          <t>try? Task.sleep(nanoseconds:) used as timing-based synchronization, a flaky-test pattern</t>
        </is>
      </c>
      <c r="F489" t="b">
        <v>1</v>
      </c>
    </row>
    <row r="490">
      <c r="A490" t="inlineStr">
        <is>
          <t>moonset</t>
        </is>
      </c>
      <c r="B490" t="inlineStr">
        <is>
          <t>/Users/manczg/Documents/development/moonset/moonset-app/MoonsetAppTests/Presentation/ViewModels/SleepTimerViewModelMusicSetupTests.swift</t>
        </is>
      </c>
      <c r="C490" t="inlineStr">
        <is>
          <t>tests-04</t>
        </is>
      </c>
      <c r="D490" t="n">
        <v>195</v>
      </c>
      <c r="E490" t="inlineStr">
        <is>
          <t>try? Task.sleep(nanoseconds:) used as timing-based synchronization, a flaky-test pattern</t>
        </is>
      </c>
      <c r="F490" t="b">
        <v>1</v>
      </c>
    </row>
    <row r="491">
      <c r="A491" t="inlineStr">
        <is>
          <t>moonset</t>
        </is>
      </c>
      <c r="B491" t="inlineStr">
        <is>
          <t>/Users/manczg/Documents/development/moonset/moonset-app/MoonsetAppTests/Presentation/ViewModels/SleepTimerViewModelMusicSetupTests.swift</t>
        </is>
      </c>
      <c r="C491" t="inlineStr">
        <is>
          <t>tests-04</t>
        </is>
      </c>
      <c r="D491" t="n">
        <v>204</v>
      </c>
      <c r="E491" t="inlineStr">
        <is>
          <t>try? Task.sleep(nanoseconds:) used as timing-based synchronization, a flaky-test pattern</t>
        </is>
      </c>
      <c r="F491" t="b">
        <v>1</v>
      </c>
    </row>
    <row r="492">
      <c r="A492" t="inlineStr">
        <is>
          <t>moonset</t>
        </is>
      </c>
      <c r="B492" t="inlineStr">
        <is>
          <t>/Users/manczg/Documents/development/moonset/moonset-app/MoonsetAppTests/Presentation/ViewModels/SleepTimerViewModelMusicSetupTests.swift</t>
        </is>
      </c>
      <c r="C492" t="inlineStr">
        <is>
          <t>tests-04</t>
        </is>
      </c>
      <c r="D492" t="n">
        <v>207</v>
      </c>
      <c r="E492" t="inlineStr">
        <is>
          <t>try? Task.sleep(nanoseconds:) used as timing-based synchronization, a flaky-test pattern</t>
        </is>
      </c>
      <c r="F492" t="b">
        <v>1</v>
      </c>
    </row>
    <row r="493">
      <c r="A493" t="inlineStr">
        <is>
          <t>moonset</t>
        </is>
      </c>
      <c r="B493" t="inlineStr">
        <is>
          <t>/Users/manczg/Documents/development/moonset/moonset-app/MoonsetAppTests/Presentation/ViewModels/SleepTimerViewModelMusicSetupTests.swift</t>
        </is>
      </c>
      <c r="C493" t="inlineStr">
        <is>
          <t>tests-04</t>
        </is>
      </c>
      <c r="D493" t="n">
        <v>211</v>
      </c>
      <c r="E493" t="inlineStr">
        <is>
          <t>try? Task.sleep(nanoseconds:) used as timing-based synchronization, a flaky-test pattern</t>
        </is>
      </c>
      <c r="F493" t="b">
        <v>1</v>
      </c>
    </row>
    <row r="494">
      <c r="A494" t="inlineStr">
        <is>
          <t>moonset</t>
        </is>
      </c>
      <c r="B494" t="inlineStr">
        <is>
          <t>/Users/manczg/Documents/development/moonset/moonset-app/MoonsetAppTests/Presentation/ViewModels/SleepTimerViewModelMusicSetupTests.swift</t>
        </is>
      </c>
      <c r="C494" t="inlineStr">
        <is>
          <t>tests-04</t>
        </is>
      </c>
      <c r="D494" t="n">
        <v>220</v>
      </c>
      <c r="E494" t="inlineStr">
        <is>
          <t>try? Task.sleep(nanoseconds:) used as timing-based synchronization, a flaky-test pattern</t>
        </is>
      </c>
      <c r="F494" t="b">
        <v>1</v>
      </c>
    </row>
    <row r="495">
      <c r="A495" t="inlineStr">
        <is>
          <t>moonset</t>
        </is>
      </c>
      <c r="B495" t="inlineStr">
        <is>
          <t>/Users/manczg/Documents/development/moonset/moonset-app/MoonsetAppTests/Presentation/ViewModels/SleepTimerViewModelMusicSetupTests.swift</t>
        </is>
      </c>
      <c r="C495" t="inlineStr">
        <is>
          <t>tests-04</t>
        </is>
      </c>
      <c r="D495" t="n">
        <v>222</v>
      </c>
      <c r="E495" t="inlineStr">
        <is>
          <t>try? Task.sleep(nanoseconds:) used as timing-based synchronization, a flaky-test pattern</t>
        </is>
      </c>
      <c r="F495" t="b">
        <v>1</v>
      </c>
    </row>
    <row r="496">
      <c r="A496" t="inlineStr">
        <is>
          <t>moonset</t>
        </is>
      </c>
      <c r="B496" t="inlineStr">
        <is>
          <t>/Users/manczg/Documents/development/moonset/moonset-app/MoonsetAppTests/Presentation/ViewModels/SleepTimerViewModelMusicSetupTests.swift</t>
        </is>
      </c>
      <c r="C496" t="inlineStr">
        <is>
          <t>tests-04</t>
        </is>
      </c>
      <c r="D496" t="n">
        <v>227</v>
      </c>
      <c r="E496" t="inlineStr">
        <is>
          <t>try? Task.sleep(nanoseconds:) used as timing-based synchronization, a flaky-test pattern</t>
        </is>
      </c>
      <c r="F496" t="b">
        <v>1</v>
      </c>
    </row>
    <row r="497">
      <c r="A497" t="inlineStr">
        <is>
          <t>moonset</t>
        </is>
      </c>
      <c r="B497" t="inlineStr">
        <is>
          <t>/Users/manczg/Documents/development/moonset/moonset-app/MoonsetAppTests/Presentation/ViewModels/SleepTimerViewModelMusicSetupTests.swift</t>
        </is>
      </c>
      <c r="C497" t="inlineStr">
        <is>
          <t>tests-04</t>
        </is>
      </c>
      <c r="D497" t="n">
        <v>236</v>
      </c>
      <c r="E497" t="inlineStr">
        <is>
          <t>try? Task.sleep(nanoseconds:) used as timing-based synchronization, a flaky-test pattern</t>
        </is>
      </c>
      <c r="F497" t="b">
        <v>1</v>
      </c>
    </row>
    <row r="498">
      <c r="A498" t="inlineStr">
        <is>
          <t>moonset</t>
        </is>
      </c>
      <c r="B498" t="inlineStr">
        <is>
          <t>/Users/manczg/Documents/development/moonset/moonset-app/MoonsetAppTests/Presentation/ViewModels/SleepTimerViewModelMusicSetupTests.swift</t>
        </is>
      </c>
      <c r="C498" t="inlineStr">
        <is>
          <t>tests-04</t>
        </is>
      </c>
      <c r="D498" t="n">
        <v>238</v>
      </c>
      <c r="E498" t="inlineStr">
        <is>
          <t>try? Task.sleep(nanoseconds:) used as timing-based synchronization, a flaky-test pattern</t>
        </is>
      </c>
      <c r="F498" t="b">
        <v>1</v>
      </c>
    </row>
    <row r="499">
      <c r="A499" t="inlineStr">
        <is>
          <t>moonset</t>
        </is>
      </c>
      <c r="B499" t="inlineStr">
        <is>
          <t>/Users/manczg/Documents/development/moonset/core/Tests/MoonsetCoreTests/Domain/Entities/SleepTimerTests.swift</t>
        </is>
      </c>
      <c r="C499" t="inlineStr">
        <is>
          <t>smells-01</t>
        </is>
      </c>
      <c r="D499" t="n">
        <v>20</v>
      </c>
      <c r="E499" t="inlineStr">
        <is>
          <t>601-line test file, past typical file-length threshold</t>
        </is>
      </c>
      <c r="F499" t="b">
        <v>0</v>
      </c>
    </row>
    <row r="500">
      <c r="A500" t="inlineStr">
        <is>
          <t>moonset</t>
        </is>
      </c>
      <c r="B500" t="inlineStr">
        <is>
          <t>/Users/manczg/Documents/development/moonset/core/Tests/MoonsetCoreTests/Domain/Entities/SleepTimerTests.swift</t>
        </is>
      </c>
      <c r="C500" t="inlineStr">
        <is>
          <t>safety-02</t>
        </is>
      </c>
      <c r="D500" t="n">
        <v>554</v>
      </c>
      <c r="E500" t="inlineStr">
        <is>
          <t>force unwrap timer.lastStartDate! after only XCTAssertNotNil (non-halting), unsafe if nil</t>
        </is>
      </c>
      <c r="F500" t="b">
        <v>1</v>
      </c>
    </row>
    <row r="501">
      <c r="A501" t="inlineStr">
        <is>
          <t>moonset</t>
        </is>
      </c>
      <c r="B501" t="inlineStr">
        <is>
          <t>/Users/manczg/Documents/development/moonset/core/Tests/MoonsetCoreTests/Domain/Entities/SleepTimerTests.swift</t>
        </is>
      </c>
      <c r="C501" t="inlineStr">
        <is>
          <t>safety-02</t>
        </is>
      </c>
      <c r="D501" t="n">
        <v>555</v>
      </c>
      <c r="E501" t="inlineStr">
        <is>
          <t>force unwrap timer.lastStartDate! after only XCTAssertNotNil (non-halting), unsafe if nil</t>
        </is>
      </c>
      <c r="F501" t="b">
        <v>1</v>
      </c>
    </row>
    <row r="502">
      <c r="A502" t="inlineStr">
        <is>
          <t>moonset</t>
        </is>
      </c>
      <c r="B502" t="inlineStr">
        <is>
          <t>/Users/manczg/Documents/development/moonset/core/Tests/MoonsetCoreTests/Domain/Entities/SleepTimerTests.swift</t>
        </is>
      </c>
      <c r="C502" t="inlineStr">
        <is>
          <t>tests-04</t>
        </is>
      </c>
      <c r="D502" t="n">
        <v>201</v>
      </c>
      <c r="E502" t="inlineStr">
        <is>
          <t>Thread.sleep(forTimeInterval:) real-clock wait makes timing assertions flaky</t>
        </is>
      </c>
      <c r="F502" t="b">
        <v>1</v>
      </c>
    </row>
    <row r="503">
      <c r="A503" t="inlineStr">
        <is>
          <t>moonset</t>
        </is>
      </c>
      <c r="B503" t="inlineStr">
        <is>
          <t>/Users/manczg/Documents/development/moonset/core/Tests/MoonsetCoreTests/Domain/Entities/SleepTimerTests.swift</t>
        </is>
      </c>
      <c r="C503" t="inlineStr">
        <is>
          <t>tests-04</t>
        </is>
      </c>
      <c r="D503" t="n">
        <v>260</v>
      </c>
      <c r="E503" t="inlineStr">
        <is>
          <t>Thread.sleep(forTimeInterval:) real-clock wait makes timing assertions flaky</t>
        </is>
      </c>
      <c r="F503" t="b">
        <v>1</v>
      </c>
    </row>
    <row r="504">
      <c r="A504" t="inlineStr">
        <is>
          <t>moonset</t>
        </is>
      </c>
      <c r="B504" t="inlineStr">
        <is>
          <t>/Users/manczg/Documents/development/moonset/core/Tests/MoonsetCoreTests/Domain/Entities/SleepTimerTests.swift</t>
        </is>
      </c>
      <c r="C504" t="inlineStr">
        <is>
          <t>tests-04</t>
        </is>
      </c>
      <c r="D504" t="n">
        <v>326</v>
      </c>
      <c r="E504" t="inlineStr">
        <is>
          <t>Thread.sleep(forTimeInterval:) real-clock wait makes timing assertions flaky</t>
        </is>
      </c>
      <c r="F504" t="b">
        <v>1</v>
      </c>
    </row>
    <row r="505">
      <c r="A505" t="inlineStr">
        <is>
          <t>moonset</t>
        </is>
      </c>
      <c r="B505" t="inlineStr">
        <is>
          <t>/Users/manczg/Documents/development/moonset/core/Tests/MoonsetCoreTests/Domain/Entities/SleepTimerTests.swift</t>
        </is>
      </c>
      <c r="C505" t="inlineStr">
        <is>
          <t>tests-04</t>
        </is>
      </c>
      <c r="D505" t="n">
        <v>338</v>
      </c>
      <c r="E505" t="inlineStr">
        <is>
          <t>Thread.sleep(forTimeInterval:) real-clock wait makes timing assertions flaky</t>
        </is>
      </c>
      <c r="F505" t="b">
        <v>1</v>
      </c>
    </row>
    <row r="506">
      <c r="A506" t="inlineStr">
        <is>
          <t>moonset</t>
        </is>
      </c>
      <c r="B506" t="inlineStr">
        <is>
          <t>/Users/manczg/Documents/development/moonset/core/Tests/MoonsetCoreTests/Domain/Entities/SleepTimerTests.swift</t>
        </is>
      </c>
      <c r="C506" t="inlineStr">
        <is>
          <t>tests-04</t>
        </is>
      </c>
      <c r="D506" t="n">
        <v>343</v>
      </c>
      <c r="E506" t="inlineStr">
        <is>
          <t>Thread.sleep(forTimeInterval:) real-clock wait makes timing assertions flaky</t>
        </is>
      </c>
      <c r="F506" t="b">
        <v>1</v>
      </c>
    </row>
    <row r="507">
      <c r="A507" t="inlineStr">
        <is>
          <t>moonset</t>
        </is>
      </c>
      <c r="B507" t="inlineStr">
        <is>
          <t>/Users/manczg/Documents/development/moonset/core/Tests/MoonsetCoreTests/Domain/Entities/SleepTimerTests.swift</t>
        </is>
      </c>
      <c r="C507" t="inlineStr">
        <is>
          <t>tests-04</t>
        </is>
      </c>
      <c r="D507" t="n">
        <v>368</v>
      </c>
      <c r="E507" t="inlineStr">
        <is>
          <t>Thread.sleep(forTimeInterval:) real-clock wait makes timing assertions flaky</t>
        </is>
      </c>
      <c r="F507" t="b">
        <v>1</v>
      </c>
    </row>
    <row r="508">
      <c r="A508" t="inlineStr">
        <is>
          <t>moonset</t>
        </is>
      </c>
      <c r="B508" t="inlineStr">
        <is>
          <t>/Users/manczg/Documents/development/moonset/core/Tests/MoonsetCoreTests/Domain/Entities/SleepTimerTests.swift</t>
        </is>
      </c>
      <c r="C508" t="inlineStr">
        <is>
          <t>tests-04</t>
        </is>
      </c>
      <c r="D508" t="n">
        <v>394</v>
      </c>
      <c r="E508" t="inlineStr">
        <is>
          <t>Thread.sleep(forTimeInterval:) real-clock wait makes timing assertions flaky</t>
        </is>
      </c>
      <c r="F508" t="b">
        <v>1</v>
      </c>
    </row>
    <row r="509">
      <c r="A509" t="inlineStr">
        <is>
          <t>moonset</t>
        </is>
      </c>
      <c r="B509" t="inlineStr">
        <is>
          <t>/Users/manczg/Documents/development/moonset/core/Tests/MoonsetCoreTests/Domain/Entities/SleepTimerTests.swift</t>
        </is>
      </c>
      <c r="C509" t="inlineStr">
        <is>
          <t>tests-04</t>
        </is>
      </c>
      <c r="D509" t="n">
        <v>405</v>
      </c>
      <c r="E509" t="inlineStr">
        <is>
          <t>Thread.sleep(forTimeInterval:) real-clock wait makes timing assertions flaky</t>
        </is>
      </c>
      <c r="F509" t="b">
        <v>1</v>
      </c>
    </row>
    <row r="510">
      <c r="A510" t="inlineStr">
        <is>
          <t>moonset</t>
        </is>
      </c>
      <c r="B510" t="inlineStr">
        <is>
          <t>/Users/manczg/Documents/development/moonset/core/Tests/MoonsetCoreTests/Domain/Entities/SleepTimerTests.swift</t>
        </is>
      </c>
      <c r="C510" t="inlineStr">
        <is>
          <t>tests-04</t>
        </is>
      </c>
      <c r="D510" t="n">
        <v>455</v>
      </c>
      <c r="E510" t="inlineStr">
        <is>
          <t>Thread.sleep(forTimeInterval:) real-clock wait makes timing assertions flaky</t>
        </is>
      </c>
      <c r="F510" t="b">
        <v>1</v>
      </c>
    </row>
    <row r="511">
      <c r="A511" t="inlineStr">
        <is>
          <t>moonset</t>
        </is>
      </c>
      <c r="B511" t="inlineStr">
        <is>
          <t>/Users/manczg/Documents/development/moonset/core/Tests/MoonsetCoreTests/Domain/Entities/SleepTimerTests.swift</t>
        </is>
      </c>
      <c r="C511" t="inlineStr">
        <is>
          <t>tests-04</t>
        </is>
      </c>
      <c r="D511" t="n">
        <v>460</v>
      </c>
      <c r="E511" t="inlineStr">
        <is>
          <t>Thread.sleep(forTimeInterval:) real-clock wait makes timing assertions flaky</t>
        </is>
      </c>
      <c r="F511" t="b">
        <v>1</v>
      </c>
    </row>
    <row r="512">
      <c r="A512" t="inlineStr">
        <is>
          <t>moonset</t>
        </is>
      </c>
      <c r="B512" t="inlineStr">
        <is>
          <t>/Users/manczg/Documents/development/moonset/core/Tests/MoonsetCoreTests/Domain/Entities/SleepTimerTests.swift</t>
        </is>
      </c>
      <c r="C512" t="inlineStr">
        <is>
          <t>tests-04</t>
        </is>
      </c>
      <c r="D512" t="n">
        <v>477</v>
      </c>
      <c r="E512" t="inlineStr">
        <is>
          <t>Thread.sleep(forTimeInterval:) real-clock wait makes timing assertions flaky</t>
        </is>
      </c>
      <c r="F512" t="b">
        <v>1</v>
      </c>
    </row>
    <row r="513">
      <c r="A513" t="inlineStr">
        <is>
          <t>moonset</t>
        </is>
      </c>
      <c r="B513" t="inlineStr">
        <is>
          <t>/Users/manczg/Documents/development/moonset/core/Tests/MoonsetCoreTests/Domain/Entities/SleepTimerTests.swift</t>
        </is>
      </c>
      <c r="C513" t="inlineStr">
        <is>
          <t>tests-04</t>
        </is>
      </c>
      <c r="D513" t="n">
        <v>481</v>
      </c>
      <c r="E513" t="inlineStr">
        <is>
          <t>Thread.sleep(forTimeInterval:) real-clock wait makes timing assertions flaky</t>
        </is>
      </c>
      <c r="F513" t="b">
        <v>1</v>
      </c>
    </row>
    <row r="514">
      <c r="A514" t="inlineStr">
        <is>
          <t>moonset</t>
        </is>
      </c>
      <c r="B514" t="inlineStr">
        <is>
          <t>/Users/manczg/Documents/development/moonset/core/Tests/MoonsetCoreTests/Domain/Entities/SleepTimerTests.swift</t>
        </is>
      </c>
      <c r="C514" t="inlineStr">
        <is>
          <t>tests-04</t>
        </is>
      </c>
      <c r="D514" t="n">
        <v>485</v>
      </c>
      <c r="E514" t="inlineStr">
        <is>
          <t>Thread.sleep(forTimeInterval:) real-clock wait makes timing assertions flaky</t>
        </is>
      </c>
      <c r="F514" t="b">
        <v>1</v>
      </c>
    </row>
    <row r="515">
      <c r="A515" t="inlineStr">
        <is>
          <t>moonset</t>
        </is>
      </c>
      <c r="B515" t="inlineStr">
        <is>
          <t>/Users/manczg/Documents/development/moonset/core/Tests/MoonsetCoreTests/Domain/Entities/SleepTimerTests.swift</t>
        </is>
      </c>
      <c r="C515" t="inlineStr">
        <is>
          <t>tests-04</t>
        </is>
      </c>
      <c r="D515" t="n">
        <v>591</v>
      </c>
      <c r="E515" t="inlineStr">
        <is>
          <t>Thread.sleep(forTimeInterval:) real-clock wait makes timing assertions flaky</t>
        </is>
      </c>
      <c r="F515" t="b">
        <v>1</v>
      </c>
    </row>
    <row r="516">
      <c r="A516" t="inlineStr">
        <is>
          <t>moonset</t>
        </is>
      </c>
      <c r="B516" t="inlineStr">
        <is>
          <t>/Users/manczg/Documents/development/moonset/core/Tests/MoonsetCoreTests/Domain/Entities/SleepTimerTests.swift</t>
        </is>
      </c>
      <c r="C516" t="inlineStr">
        <is>
          <t>tests-04</t>
        </is>
      </c>
      <c r="D516" t="n">
        <v>598</v>
      </c>
      <c r="E516" t="inlineStr">
        <is>
          <t>Thread.sleep(forTimeInterval:) real-clock wait makes timing assertions flaky</t>
        </is>
      </c>
      <c r="F516" t="b">
        <v>1</v>
      </c>
    </row>
    <row r="517">
      <c r="A517" t="inlineStr">
        <is>
          <t>financialwell</t>
        </is>
      </c>
      <c r="B517" t="inlineStr">
        <is>
          <t>/Users/manczg/Documents/development/financialwell/FinancialWell/Views/AddTransactionViewController.swift</t>
        </is>
      </c>
      <c r="C517" t="inlineStr">
        <is>
          <t>clarity-06</t>
        </is>
      </c>
      <c r="D517" t="n">
        <v>16</v>
      </c>
      <c r="E517" t="inlineStr">
        <is>
          <t>generic noise-word outlet name "theView"</t>
        </is>
      </c>
      <c r="F517" t="b">
        <v>0</v>
      </c>
    </row>
    <row r="518">
      <c r="A518" t="inlineStr">
        <is>
          <t>financialwell</t>
        </is>
      </c>
      <c r="B518" t="inlineStr">
        <is>
          <t>/Users/manczg/Documents/development/financialwell/FinancialWell/Views/AddTransactionViewController.swift</t>
        </is>
      </c>
      <c r="C518" t="inlineStr">
        <is>
          <t>clarity-16</t>
        </is>
      </c>
      <c r="D518" t="n">
        <v>547</v>
      </c>
      <c r="E518" t="inlineStr">
        <is>
          <t>prepare(for:sender:) has ~9 sequential if-branches on segue.identifier</t>
        </is>
      </c>
      <c r="F518" t="b">
        <v>0</v>
      </c>
    </row>
    <row r="519">
      <c r="A519" t="inlineStr">
        <is>
          <t>financialwell</t>
        </is>
      </c>
      <c r="B519" t="inlineStr">
        <is>
          <t>/Users/manczg/Documents/development/financialwell/FinancialWell/Views/AddTransactionViewController.swift</t>
        </is>
      </c>
      <c r="C519" t="inlineStr">
        <is>
          <t>clarity-17</t>
        </is>
      </c>
      <c r="D519" t="n">
        <v>75</v>
      </c>
      <c r="E519" t="inlineStr">
        <is>
          <t>viewDidLoad is ~70 lines long</t>
        </is>
      </c>
      <c r="F519" t="b">
        <v>0</v>
      </c>
    </row>
    <row r="520">
      <c r="A520" t="inlineStr">
        <is>
          <t>financialwell</t>
        </is>
      </c>
      <c r="B520" t="inlineStr">
        <is>
          <t>/Users/manczg/Documents/development/financialwell/FinancialWell/Views/AddTransactionViewController.swift</t>
        </is>
      </c>
      <c r="C520" t="inlineStr">
        <is>
          <t>clarity-17</t>
        </is>
      </c>
      <c r="D520" t="n">
        <v>547</v>
      </c>
      <c r="E520" t="inlineStr">
        <is>
          <t>prepare(for:sender:) is ~57 lines long</t>
        </is>
      </c>
      <c r="F520" t="b">
        <v>0</v>
      </c>
    </row>
    <row r="521">
      <c r="A521" t="inlineStr">
        <is>
          <t>financialwell</t>
        </is>
      </c>
      <c r="B521" t="inlineStr">
        <is>
          <t>/Users/manczg/Documents/development/financialwell/FinancialWell/Views/AddTransactionViewController.swift</t>
        </is>
      </c>
      <c r="C521" t="inlineStr">
        <is>
          <t>smells-01</t>
        </is>
      </c>
      <c r="D521" t="n">
        <v>1</v>
      </c>
      <c r="E521" t="inlineStr">
        <is>
          <t>file is 619 lines long</t>
        </is>
      </c>
      <c r="F521" t="b">
        <v>0</v>
      </c>
    </row>
    <row r="522">
      <c r="A522" t="inlineStr">
        <is>
          <t>financialwell</t>
        </is>
      </c>
      <c r="B522" t="inlineStr">
        <is>
          <t>/Users/manczg/Documents/development/financialwell/FinancialWell/Views/AddTransactionViewController.swift</t>
        </is>
      </c>
      <c r="C522" t="inlineStr">
        <is>
          <t>smells-06</t>
        </is>
      </c>
      <c r="D522" t="n">
        <v>131</v>
      </c>
      <c r="E522" t="inlineStr">
        <is>
          <t>commented-out TagButton.setTitleColor call left in place</t>
        </is>
      </c>
      <c r="F522" t="b">
        <v>1</v>
      </c>
    </row>
    <row r="523">
      <c r="A523" t="inlineStr">
        <is>
          <t>financialwell</t>
        </is>
      </c>
      <c r="B523" t="inlineStr">
        <is>
          <t>/Users/manczg/Documents/development/financialwell/FinancialWell/Views/AddTransactionViewController.swift</t>
        </is>
      </c>
      <c r="C523" t="inlineStr">
        <is>
          <t>smells-10</t>
        </is>
      </c>
      <c r="D523" t="n">
        <v>182</v>
      </c>
      <c r="E523" t="inlineStr">
        <is>
          <t>4-level chain cell.ResultsCollectionView.collectionViewLayout.collectionViewContentSize.height</t>
        </is>
      </c>
      <c r="F523" t="b">
        <v>1</v>
      </c>
    </row>
    <row r="524">
      <c r="A524" t="inlineStr">
        <is>
          <t>financialwell</t>
        </is>
      </c>
      <c r="B524" t="inlineStr">
        <is>
          <t>/Users/manczg/Documents/development/financialwell/FinancialWell/Views/AddTransactionViewController.swift</t>
        </is>
      </c>
      <c r="C524" t="inlineStr">
        <is>
          <t>smells-21</t>
        </is>
      </c>
      <c r="D524" t="n">
        <v>528</v>
      </c>
      <c r="E524" t="inlineStr">
        <is>
          <t>force cast as! UINavigationController</t>
        </is>
      </c>
      <c r="F524" t="b">
        <v>0</v>
      </c>
    </row>
    <row r="525">
      <c r="A525" t="inlineStr">
        <is>
          <t>financialwell</t>
        </is>
      </c>
      <c r="B525" t="inlineStr">
        <is>
          <t>/Users/manczg/Documents/development/financialwell/FinancialWell/Views/AddTransactionViewController.swift</t>
        </is>
      </c>
      <c r="C525" t="inlineStr">
        <is>
          <t>smells-21</t>
        </is>
      </c>
      <c r="D525" t="n">
        <v>549</v>
      </c>
      <c r="E525" t="inlineStr">
        <is>
          <t>force cast as! MissingContainerViewController</t>
        </is>
      </c>
      <c r="F525" t="b">
        <v>0</v>
      </c>
    </row>
    <row r="526">
      <c r="A526" t="inlineStr">
        <is>
          <t>financialwell</t>
        </is>
      </c>
      <c r="B526" t="inlineStr">
        <is>
          <t>/Users/manczg/Documents/development/financialwell/FinancialWell/Views/AddTransactionViewController.swift</t>
        </is>
      </c>
      <c r="C526" t="inlineStr">
        <is>
          <t>smells-21</t>
        </is>
      </c>
      <c r="D526" t="n">
        <v>559</v>
      </c>
      <c r="E526" t="inlineStr">
        <is>
          <t>force cast as! CurrencyViewController</t>
        </is>
      </c>
      <c r="F526" t="b">
        <v>0</v>
      </c>
    </row>
    <row r="527">
      <c r="A527" t="inlineStr">
        <is>
          <t>financialwell</t>
        </is>
      </c>
      <c r="B527" t="inlineStr">
        <is>
          <t>/Users/manczg/Documents/development/financialwell/FinancialWell/Views/AddTransactionViewController.swift</t>
        </is>
      </c>
      <c r="C527" t="inlineStr">
        <is>
          <t>smells-21</t>
        </is>
      </c>
      <c r="D527" t="n">
        <v>565</v>
      </c>
      <c r="E527" t="inlineStr">
        <is>
          <t>force cast as! DateViewController</t>
        </is>
      </c>
      <c r="F527" t="b">
        <v>0</v>
      </c>
    </row>
    <row r="528">
      <c r="A528" t="inlineStr">
        <is>
          <t>financialwell</t>
        </is>
      </c>
      <c r="B528" t="inlineStr">
        <is>
          <t>/Users/manczg/Documents/development/financialwell/FinancialWell/Views/AddTransactionViewController.swift</t>
        </is>
      </c>
      <c r="C528" t="inlineStr">
        <is>
          <t>smells-21</t>
        </is>
      </c>
      <c r="D528" t="n">
        <v>571</v>
      </c>
      <c r="E528" t="inlineStr">
        <is>
          <t>force cast as! TagViewController</t>
        </is>
      </c>
      <c r="F528" t="b">
        <v>0</v>
      </c>
    </row>
    <row r="529">
      <c r="A529" t="inlineStr">
        <is>
          <t>financialwell</t>
        </is>
      </c>
      <c r="B529" t="inlineStr">
        <is>
          <t>/Users/manczg/Documents/development/financialwell/FinancialWell/Views/AddTransactionViewController.swift</t>
        </is>
      </c>
      <c r="C529" t="inlineStr">
        <is>
          <t>smells-21</t>
        </is>
      </c>
      <c r="D529" t="n">
        <v>582</v>
      </c>
      <c r="E529" t="inlineStr">
        <is>
          <t>force cast as! PlaceViewController</t>
        </is>
      </c>
      <c r="F529" t="b">
        <v>0</v>
      </c>
    </row>
    <row r="530">
      <c r="A530" t="inlineStr">
        <is>
          <t>financialwell</t>
        </is>
      </c>
      <c r="B530" t="inlineStr">
        <is>
          <t>/Users/manczg/Documents/development/financialwell/FinancialWell/Views/AddTransactionViewController.swift</t>
        </is>
      </c>
      <c r="C530" t="inlineStr">
        <is>
          <t>smells-21</t>
        </is>
      </c>
      <c r="D530" t="n">
        <v>587</v>
      </c>
      <c r="E530" t="inlineStr">
        <is>
          <t>force cast as! AccountTableViewController</t>
        </is>
      </c>
      <c r="F530" t="b">
        <v>0</v>
      </c>
    </row>
    <row r="531">
      <c r="A531" t="inlineStr">
        <is>
          <t>financialwell</t>
        </is>
      </c>
      <c r="B531" t="inlineStr">
        <is>
          <t>/Users/manczg/Documents/development/financialwell/FinancialWell/Views/AddTransactionViewController.swift</t>
        </is>
      </c>
      <c r="C531" t="inlineStr">
        <is>
          <t>smells-21</t>
        </is>
      </c>
      <c r="D531" t="n">
        <v>593</v>
      </c>
      <c r="E531" t="inlineStr">
        <is>
          <t>force cast as! CategoryViewController</t>
        </is>
      </c>
      <c r="F531" t="b">
        <v>0</v>
      </c>
    </row>
    <row r="532">
      <c r="A532" t="inlineStr">
        <is>
          <t>financialwell</t>
        </is>
      </c>
      <c r="B532" t="inlineStr">
        <is>
          <t>/Users/manczg/Documents/development/financialwell/FinancialWell/Views/AddTransactionViewController.swift</t>
        </is>
      </c>
      <c r="C532" t="inlineStr">
        <is>
          <t>smells-21</t>
        </is>
      </c>
      <c r="D532" t="n">
        <v>599</v>
      </c>
      <c r="E532" t="inlineStr">
        <is>
          <t>force cast as! SelectRecurrencyTableViewController</t>
        </is>
      </c>
      <c r="F532" t="b">
        <v>0</v>
      </c>
    </row>
    <row r="533">
      <c r="A533" t="inlineStr">
        <is>
          <t>financialwell</t>
        </is>
      </c>
      <c r="B533" t="inlineStr">
        <is>
          <t>/Users/manczg/Documents/development/financialwell/FinancialWell/Views/AddTransactionViewController.swift</t>
        </is>
      </c>
      <c r="C533" t="inlineStr">
        <is>
          <t>solid-06</t>
        </is>
      </c>
      <c r="D533" t="n">
        <v>61</v>
      </c>
      <c r="E533" t="inlineStr">
        <is>
          <t>internal mutable var previousDate exposed without encapsulation</t>
        </is>
      </c>
      <c r="F533" t="b">
        <v>1</v>
      </c>
    </row>
    <row r="534">
      <c r="A534" t="inlineStr">
        <is>
          <t>financialwell</t>
        </is>
      </c>
      <c r="B534" t="inlineStr">
        <is>
          <t>/Users/manczg/Documents/development/financialwell/FinancialWell/Views/AddTransactionViewController.swift</t>
        </is>
      </c>
      <c r="C534" t="inlineStr">
        <is>
          <t>solid-06</t>
        </is>
      </c>
      <c r="D534" t="n">
        <v>66</v>
      </c>
      <c r="E534" t="inlineStr">
        <is>
          <t>internal mutable var dateString exposed without encapsulation</t>
        </is>
      </c>
      <c r="F534" t="b">
        <v>1</v>
      </c>
    </row>
    <row r="535">
      <c r="A535" t="inlineStr">
        <is>
          <t>financialwell</t>
        </is>
      </c>
      <c r="B535" t="inlineStr">
        <is>
          <t>/Users/manczg/Documents/development/financialwell/FinancialWell/Views/AddTransactionViewController.swift</t>
        </is>
      </c>
      <c r="C535" t="inlineStr">
        <is>
          <t>solid-06</t>
        </is>
      </c>
      <c r="D535" t="n">
        <v>68</v>
      </c>
      <c r="E535" t="inlineStr">
        <is>
          <t>internal mutable var places exposed without encapsulation</t>
        </is>
      </c>
      <c r="F535" t="b">
        <v>1</v>
      </c>
    </row>
    <row r="536">
      <c r="A536" t="inlineStr">
        <is>
          <t>financialwell</t>
        </is>
      </c>
      <c r="B536" t="inlineStr">
        <is>
          <t>/Users/manczg/Documents/development/financialwell/FinancialWell/Views/AddTransactionViewController.swift</t>
        </is>
      </c>
      <c r="C536" t="inlineStr">
        <is>
          <t>solid-06</t>
        </is>
      </c>
      <c r="D536" t="n">
        <v>69</v>
      </c>
      <c r="E536" t="inlineStr">
        <is>
          <t>internal mutable var location exposed without encapsulation</t>
        </is>
      </c>
      <c r="F536" t="b">
        <v>1</v>
      </c>
    </row>
    <row r="537">
      <c r="A537" t="inlineStr">
        <is>
          <t>financialwell</t>
        </is>
      </c>
      <c r="B537" t="inlineStr">
        <is>
          <t>/Users/manczg/Documents/development/financialwell/FinancialWell/Views/AddTransactionViewController.swift</t>
        </is>
      </c>
      <c r="C537" t="inlineStr">
        <is>
          <t>solid-06</t>
        </is>
      </c>
      <c r="D537" t="n">
        <v>73</v>
      </c>
      <c r="E537" t="inlineStr">
        <is>
          <t>internal mutable var viewmodel exposed without encapsulation</t>
        </is>
      </c>
      <c r="F537" t="b">
        <v>1</v>
      </c>
    </row>
    <row r="538">
      <c r="A538" t="inlineStr">
        <is>
          <t>financialwell</t>
        </is>
      </c>
      <c r="B538" t="inlineStr">
        <is>
          <t>/Users/manczg/Documents/development/financialwell/FinancialWell/Views/AddTransactionViewController.swift</t>
        </is>
      </c>
      <c r="C538" t="inlineStr">
        <is>
          <t>solid-09</t>
        </is>
      </c>
      <c r="D538" t="n">
        <v>72</v>
      </c>
      <c r="E538" t="inlineStr">
        <is>
          <t>static var calculatorViewModel is global mutable state shared across instances</t>
        </is>
      </c>
      <c r="F538" t="b">
        <v>1</v>
      </c>
    </row>
    <row r="539">
      <c r="A539" t="inlineStr">
        <is>
          <t>financialwell</t>
        </is>
      </c>
      <c r="B539" t="inlineStr">
        <is>
          <t>/Users/manczg/Documents/development/financialwell/FinancialWell/Views/AddTransactionViewController.swift</t>
        </is>
      </c>
      <c r="C539" t="inlineStr">
        <is>
          <t>solid-10</t>
        </is>
      </c>
      <c r="D539" t="n">
        <v>59</v>
      </c>
      <c r="E539" t="inlineStr">
        <is>
          <t>hardcoded instantiation MissingContainerViewController()</t>
        </is>
      </c>
      <c r="F539" t="b">
        <v>1</v>
      </c>
    </row>
    <row r="540">
      <c r="A540" t="inlineStr">
        <is>
          <t>financialwell</t>
        </is>
      </c>
      <c r="B540" t="inlineStr">
        <is>
          <t>/Users/manczg/Documents/development/financialwell/FinancialWell/Views/AddTransactionViewController.swift</t>
        </is>
      </c>
      <c r="C540" t="inlineStr">
        <is>
          <t>solid-10</t>
        </is>
      </c>
      <c r="D540" t="n">
        <v>68</v>
      </c>
      <c r="E540" t="inlineStr">
        <is>
          <t>hardcoded instantiation Places()</t>
        </is>
      </c>
      <c r="F540" t="b">
        <v>0</v>
      </c>
    </row>
    <row r="541">
      <c r="A541" t="inlineStr">
        <is>
          <t>financialwell</t>
        </is>
      </c>
      <c r="B541" t="inlineStr">
        <is>
          <t>/Users/manczg/Documents/development/financialwell/FinancialWell/Views/AddTransactionViewController.swift</t>
        </is>
      </c>
      <c r="C541" t="inlineStr">
        <is>
          <t>solid-10</t>
        </is>
      </c>
      <c r="D541" t="n">
        <v>72</v>
      </c>
      <c r="E541" t="inlineStr">
        <is>
          <t>hardcoded instantiation CalculatorViewModel()</t>
        </is>
      </c>
      <c r="F541" t="b">
        <v>1</v>
      </c>
    </row>
    <row r="542">
      <c r="A542" t="inlineStr">
        <is>
          <t>financialwell</t>
        </is>
      </c>
      <c r="B542" t="inlineStr">
        <is>
          <t>/Users/manczg/Documents/development/financialwell/FinancialWell/Views/AddTransactionViewController.swift</t>
        </is>
      </c>
      <c r="C542" t="inlineStr">
        <is>
          <t>solid-10</t>
        </is>
      </c>
      <c r="D542" t="n">
        <v>73</v>
      </c>
      <c r="E542" t="inlineStr">
        <is>
          <t>hardcoded instantiation TransactionViewModel()</t>
        </is>
      </c>
      <c r="F542" t="b">
        <v>1</v>
      </c>
    </row>
    <row r="543">
      <c r="A543" t="inlineStr">
        <is>
          <t>financialwell</t>
        </is>
      </c>
      <c r="B543" t="inlineStr">
        <is>
          <t>/Users/manczg/Documents/development/financialwell/FinancialWell/Views/AddTransactionViewController.swift</t>
        </is>
      </c>
      <c r="C543" t="inlineStr">
        <is>
          <t>solid-10</t>
        </is>
      </c>
      <c r="D543" t="n">
        <v>534</v>
      </c>
      <c r="E543" t="inlineStr">
        <is>
          <t>hardcoded instantiation TransactionsViewControllerHistoryStrategy()</t>
        </is>
      </c>
      <c r="F543" t="b">
        <v>1</v>
      </c>
    </row>
    <row r="544">
      <c r="A544" t="inlineStr">
        <is>
          <t>financialwell</t>
        </is>
      </c>
      <c r="B544" t="inlineStr">
        <is>
          <t>/Users/manczg/Documents/development/financialwell/FinancialWell/Views/AddTransactionViewController.swift</t>
        </is>
      </c>
      <c r="C544" t="inlineStr">
        <is>
          <t>solid-10</t>
        </is>
      </c>
      <c r="D544" t="n">
        <v>535</v>
      </c>
      <c r="E544" t="inlineStr">
        <is>
          <t>hardcoded instantiation TransactionsViewModel()</t>
        </is>
      </c>
      <c r="F544" t="b">
        <v>1</v>
      </c>
    </row>
    <row r="545">
      <c r="A545" t="inlineStr">
        <is>
          <t>financialwell</t>
        </is>
      </c>
      <c r="B545" t="inlineStr">
        <is>
          <t>/Users/manczg/Documents/development/financialwell/FinancialWell/Views/AddTransactionViewController.swift</t>
        </is>
      </c>
      <c r="C545" t="inlineStr">
        <is>
          <t>solid-15</t>
        </is>
      </c>
      <c r="D545" t="n">
        <v>548</v>
      </c>
      <c r="E545" t="inlineStr">
        <is>
          <t>if-else chain on segue.identifier force-casts a different concrete type per branch</t>
        </is>
      </c>
      <c r="F545" t="b">
        <v>0</v>
      </c>
    </row>
    <row r="546">
      <c r="A546" t="inlineStr">
        <is>
          <t>financialwell</t>
        </is>
      </c>
      <c r="B546" t="inlineStr">
        <is>
          <t>/Users/manczg/Documents/development/financialwell/FinancialWell/Views/AddTransactionViewController.swift</t>
        </is>
      </c>
      <c r="C546" t="inlineStr">
        <is>
          <t>safety-02</t>
        </is>
      </c>
      <c r="D546" t="n">
        <v>243</v>
      </c>
      <c r="E546" t="inlineStr">
        <is>
          <t>force unwrap InputValue.text!</t>
        </is>
      </c>
      <c r="F546" t="b">
        <v>1</v>
      </c>
    </row>
    <row r="547">
      <c r="A547" t="inlineStr">
        <is>
          <t>financialwell</t>
        </is>
      </c>
      <c r="B547" t="inlineStr">
        <is>
          <t>/Users/manczg/Documents/development/financialwell/FinancialWell/Views/AddTransactionViewController.swift</t>
        </is>
      </c>
      <c r="C547" t="inlineStr">
        <is>
          <t>safety-02</t>
        </is>
      </c>
      <c r="D547" t="n">
        <v>417</v>
      </c>
      <c r="E547" t="inlineStr">
        <is>
          <t>force unwrap InputValue.text!</t>
        </is>
      </c>
      <c r="F547" t="b">
        <v>1</v>
      </c>
    </row>
    <row r="548">
      <c r="A548" t="inlineStr">
        <is>
          <t>financialwell</t>
        </is>
      </c>
      <c r="B548" t="inlineStr">
        <is>
          <t>/Users/manczg/Documents/development/financialwell/FinancialWell/Views/AddTransactionViewController.swift</t>
        </is>
      </c>
      <c r="C548" t="inlineStr">
        <is>
          <t>safety-02</t>
        </is>
      </c>
      <c r="D548" t="n">
        <v>420</v>
      </c>
      <c r="E548" t="inlineStr">
        <is>
          <t>force unwrap InputValue.text!</t>
        </is>
      </c>
      <c r="F548" t="b">
        <v>1</v>
      </c>
    </row>
    <row r="549">
      <c r="A549" t="inlineStr">
        <is>
          <t>financialwell</t>
        </is>
      </c>
      <c r="B549" t="inlineStr">
        <is>
          <t>/Users/manczg/Documents/development/financialwell/FinancialWell/Views/AddTransactionViewController.swift</t>
        </is>
      </c>
      <c r="C549" t="inlineStr">
        <is>
          <t>safety-02</t>
        </is>
      </c>
      <c r="D549" t="n">
        <v>528</v>
      </c>
      <c r="E549" t="inlineStr">
        <is>
          <t>force unwrap viewControllers![3]</t>
        </is>
      </c>
      <c r="F549" t="b">
        <v>1</v>
      </c>
    </row>
    <row r="550">
      <c r="A550" t="inlineStr">
        <is>
          <t>financialwell</t>
        </is>
      </c>
      <c r="B550" t="inlineStr">
        <is>
          <t>/Users/manczg/Documents/development/financialwell/FinancialWell/Views/AddTransactionViewController.swift</t>
        </is>
      </c>
      <c r="C550" t="inlineStr">
        <is>
          <t>safety-13</t>
        </is>
      </c>
      <c r="D550" t="n">
        <v>174</v>
      </c>
      <c r="E550" t="inlineStr">
        <is>
          <t>AppLog.assertion(false) used as production guard instead of real error handling</t>
        </is>
      </c>
      <c r="F550" t="b">
        <v>0</v>
      </c>
    </row>
    <row r="551">
      <c r="A551" t="inlineStr">
        <is>
          <t>financialwell</t>
        </is>
      </c>
      <c r="B551" t="inlineStr">
        <is>
          <t>/Users/manczg/Documents/development/financialwell/FinancialWell/Views/AddTransactionViewController.swift</t>
        </is>
      </c>
      <c r="C551" t="inlineStr">
        <is>
          <t>safety-13</t>
        </is>
      </c>
      <c r="D551" t="n">
        <v>229</v>
      </c>
      <c r="E551" t="inlineStr">
        <is>
          <t>AppLog.assertion(false) used as production guard instead of real error handling</t>
        </is>
      </c>
      <c r="F551" t="b">
        <v>0</v>
      </c>
    </row>
    <row r="552">
      <c r="A552" t="inlineStr">
        <is>
          <t>financialwell</t>
        </is>
      </c>
      <c r="B552" t="inlineStr">
        <is>
          <t>/Users/manczg/Documents/development/financialwell/FinancialWell/Home/HomeViewController.swift</t>
        </is>
      </c>
      <c r="C552" t="inlineStr">
        <is>
          <t>clarity-16</t>
        </is>
      </c>
      <c r="D552" t="n">
        <v>309</v>
      </c>
      <c r="E552" t="inlineStr">
        <is>
          <t>tableView(_:cellForRowAt:) nested switch on section+rowType, high cyclomatic complexity</t>
        </is>
      </c>
      <c r="F552" t="b">
        <v>1</v>
      </c>
    </row>
    <row r="553">
      <c r="A553" t="inlineStr">
        <is>
          <t>financialwell</t>
        </is>
      </c>
      <c r="B553" t="inlineStr">
        <is>
          <t>/Users/manczg/Documents/development/financialwell/FinancialWell/Home/HomeViewController.swift</t>
        </is>
      </c>
      <c r="C553" t="inlineStr">
        <is>
          <t>clarity-16</t>
        </is>
      </c>
      <c r="D553" t="n">
        <v>366</v>
      </c>
      <c r="E553" t="inlineStr">
        <is>
          <t>tableView(_:heightForRowAt:) nested switch on section+rowType, high cyclomatic complexity</t>
        </is>
      </c>
      <c r="F553" t="b">
        <v>1</v>
      </c>
    </row>
    <row r="554">
      <c r="A554" t="inlineStr">
        <is>
          <t>financialwell</t>
        </is>
      </c>
      <c r="B554" t="inlineStr">
        <is>
          <t>/Users/manczg/Documents/development/financialwell/FinancialWell/Home/HomeViewController.swift</t>
        </is>
      </c>
      <c r="C554" t="inlineStr">
        <is>
          <t>clarity-16</t>
        </is>
      </c>
      <c r="D554" t="n">
        <v>488</v>
      </c>
      <c r="E554" t="inlineStr">
        <is>
          <t>handleMoreLessEvent switch with 9 cases, high cyclomatic complexity</t>
        </is>
      </c>
      <c r="F554" t="b">
        <v>1</v>
      </c>
    </row>
    <row r="555">
      <c r="A555" t="inlineStr">
        <is>
          <t>financialwell</t>
        </is>
      </c>
      <c r="B555" t="inlineStr">
        <is>
          <t>/Users/manczg/Documents/development/financialwell/FinancialWell/Home/HomeViewController.swift</t>
        </is>
      </c>
      <c r="C555" t="inlineStr">
        <is>
          <t>clarity-17</t>
        </is>
      </c>
      <c r="D555" t="n">
        <v>309</v>
      </c>
      <c r="E555" t="inlineStr">
        <is>
          <t>tableView(_:cellForRowAt:) is ~56 lines long</t>
        </is>
      </c>
      <c r="F555" t="b">
        <v>0</v>
      </c>
    </row>
    <row r="556">
      <c r="A556" t="inlineStr">
        <is>
          <t>financialwell</t>
        </is>
      </c>
      <c r="B556" t="inlineStr">
        <is>
          <t>/Users/manczg/Documents/development/financialwell/FinancialWell/Home/HomeViewController.swift</t>
        </is>
      </c>
      <c r="C556" t="inlineStr">
        <is>
          <t>clarity-17</t>
        </is>
      </c>
      <c r="D556" t="n">
        <v>366</v>
      </c>
      <c r="E556" t="inlineStr">
        <is>
          <t>tableView(_:heightForRowAt:) is ~57 lines long</t>
        </is>
      </c>
      <c r="F556" t="b">
        <v>0</v>
      </c>
    </row>
    <row r="557">
      <c r="A557" t="inlineStr">
        <is>
          <t>financialwell</t>
        </is>
      </c>
      <c r="B557" t="inlineStr">
        <is>
          <t>/Users/manczg/Documents/development/financialwell/FinancialWell/Home/HomeViewController.swift</t>
        </is>
      </c>
      <c r="C557" t="inlineStr">
        <is>
          <t>smells-01</t>
        </is>
      </c>
      <c r="D557" t="n">
        <v>1</v>
      </c>
      <c r="E557" t="inlineStr">
        <is>
          <t>file is 561 lines long</t>
        </is>
      </c>
      <c r="F557" t="b">
        <v>0</v>
      </c>
    </row>
    <row r="558">
      <c r="A558" t="inlineStr">
        <is>
          <t>financialwell</t>
        </is>
      </c>
      <c r="B558" t="inlineStr">
        <is>
          <t>/Users/manczg/Documents/development/financialwell/FinancialWell/Home/HomeViewController.swift</t>
        </is>
      </c>
      <c r="C558" t="inlineStr">
        <is>
          <t>smells-21</t>
        </is>
      </c>
      <c r="D558" t="n">
        <v>95</v>
      </c>
      <c r="E558" t="inlineStr">
        <is>
          <t>force cast as! AddTransactionViewController</t>
        </is>
      </c>
      <c r="F558" t="b">
        <v>0</v>
      </c>
    </row>
    <row r="559">
      <c r="A559" t="inlineStr">
        <is>
          <t>financialwell</t>
        </is>
      </c>
      <c r="B559" t="inlineStr">
        <is>
          <t>/Users/manczg/Documents/development/financialwell/FinancialWell/Home/HomeViewController.swift</t>
        </is>
      </c>
      <c r="C559" t="inlineStr">
        <is>
          <t>smells-21</t>
        </is>
      </c>
      <c r="D559" t="n">
        <v>154</v>
      </c>
      <c r="E559" t="inlineStr">
        <is>
          <t>force cast as! AddTransactionViewController</t>
        </is>
      </c>
      <c r="F559" t="b">
        <v>0</v>
      </c>
    </row>
    <row r="560">
      <c r="A560" t="inlineStr">
        <is>
          <t>financialwell</t>
        </is>
      </c>
      <c r="B560" t="inlineStr">
        <is>
          <t>/Users/manczg/Documents/development/financialwell/FinancialWell/Home/HomeViewController.swift</t>
        </is>
      </c>
      <c r="C560" t="inlineStr">
        <is>
          <t>smells-21</t>
        </is>
      </c>
      <c r="D560" t="n">
        <v>455</v>
      </c>
      <c r="E560" t="inlineStr">
        <is>
          <t>force cast as! AddTransactionViewController</t>
        </is>
      </c>
      <c r="F560" t="b">
        <v>0</v>
      </c>
    </row>
    <row r="561">
      <c r="A561" t="inlineStr">
        <is>
          <t>financialwell</t>
        </is>
      </c>
      <c r="B561" t="inlineStr">
        <is>
          <t>/Users/manczg/Documents/development/financialwell/FinancialWell/Home/HomeViewController.swift</t>
        </is>
      </c>
      <c r="C561" t="inlineStr">
        <is>
          <t>smells-21</t>
        </is>
      </c>
      <c r="D561" t="n">
        <v>479</v>
      </c>
      <c r="E561" t="inlineStr">
        <is>
          <t>force cast as! AddTransactionViewController</t>
        </is>
      </c>
      <c r="F561" t="b">
        <v>0</v>
      </c>
    </row>
    <row r="562">
      <c r="A562" t="inlineStr">
        <is>
          <t>financialwell</t>
        </is>
      </c>
      <c r="B562" t="inlineStr">
        <is>
          <t>/Users/manczg/Documents/development/financialwell/FinancialWell/Home/HomeViewController.swift</t>
        </is>
      </c>
      <c r="C562" t="inlineStr">
        <is>
          <t>solid-06</t>
        </is>
      </c>
      <c r="D562" t="n">
        <v>14</v>
      </c>
      <c r="E562" t="inlineStr">
        <is>
          <t>internal mutable var transactionModel exposed without encapsulation</t>
        </is>
      </c>
      <c r="F562" t="b">
        <v>1</v>
      </c>
    </row>
    <row r="563">
      <c r="A563" t="inlineStr">
        <is>
          <t>financialwell</t>
        </is>
      </c>
      <c r="B563" t="inlineStr">
        <is>
          <t>/Users/manczg/Documents/development/financialwell/FinancialWell/Home/HomeViewController.swift</t>
        </is>
      </c>
      <c r="C563" t="inlineStr">
        <is>
          <t>solid-06</t>
        </is>
      </c>
      <c r="D563" t="n">
        <v>15</v>
      </c>
      <c r="E563" t="inlineStr">
        <is>
          <t>internal mutable var viewmodel exposed without encapsulation</t>
        </is>
      </c>
      <c r="F563" t="b">
        <v>1</v>
      </c>
    </row>
    <row r="564">
      <c r="A564" t="inlineStr">
        <is>
          <t>financialwell</t>
        </is>
      </c>
      <c r="B564" t="inlineStr">
        <is>
          <t>/Users/manczg/Documents/development/financialwell/FinancialWell/Home/HomeViewController.swift</t>
        </is>
      </c>
      <c r="C564" t="inlineStr">
        <is>
          <t>solid-06</t>
        </is>
      </c>
      <c r="D564" t="n">
        <v>16</v>
      </c>
      <c r="E564" t="inlineStr">
        <is>
          <t>internal mutable var applogViewModel exposed without encapsulation</t>
        </is>
      </c>
      <c r="F564" t="b">
        <v>1</v>
      </c>
    </row>
    <row r="565">
      <c r="A565" t="inlineStr">
        <is>
          <t>financialwell</t>
        </is>
      </c>
      <c r="B565" t="inlineStr">
        <is>
          <t>/Users/manczg/Documents/development/financialwell/FinancialWell/Home/HomeViewController.swift</t>
        </is>
      </c>
      <c r="C565" t="inlineStr">
        <is>
          <t>solid-06</t>
        </is>
      </c>
      <c r="D565" t="n">
        <v>17</v>
      </c>
      <c r="E565" t="inlineStr">
        <is>
          <t>internal mutable var emailComposer exposed without encapsulation</t>
        </is>
      </c>
      <c r="F565" t="b">
        <v>1</v>
      </c>
    </row>
    <row r="566">
      <c r="A566" t="inlineStr">
        <is>
          <t>financialwell</t>
        </is>
      </c>
      <c r="B566" t="inlineStr">
        <is>
          <t>/Users/manczg/Documents/development/financialwell/FinancialWell/Home/HomeViewController.swift</t>
        </is>
      </c>
      <c r="C566" t="inlineStr">
        <is>
          <t>solid-10</t>
        </is>
      </c>
      <c r="D566" t="n">
        <v>14</v>
      </c>
      <c r="E566" t="inlineStr">
        <is>
          <t>hardcoded instantiation TransactionModel()</t>
        </is>
      </c>
      <c r="F566" t="b">
        <v>1</v>
      </c>
    </row>
    <row r="567">
      <c r="A567" t="inlineStr">
        <is>
          <t>financialwell</t>
        </is>
      </c>
      <c r="B567" t="inlineStr">
        <is>
          <t>/Users/manczg/Documents/development/financialwell/FinancialWell/Home/HomeViewController.swift</t>
        </is>
      </c>
      <c r="C567" t="inlineStr">
        <is>
          <t>solid-10</t>
        </is>
      </c>
      <c r="D567" t="n">
        <v>15</v>
      </c>
      <c r="E567" t="inlineStr">
        <is>
          <t>hardcoded instantiation HomeViewModel()</t>
        </is>
      </c>
      <c r="F567" t="b">
        <v>1</v>
      </c>
    </row>
    <row r="568">
      <c r="A568" t="inlineStr">
        <is>
          <t>financialwell</t>
        </is>
      </c>
      <c r="B568" t="inlineStr">
        <is>
          <t>/Users/manczg/Documents/development/financialwell/FinancialWell/Home/HomeViewController.swift</t>
        </is>
      </c>
      <c r="C568" t="inlineStr">
        <is>
          <t>solid-10</t>
        </is>
      </c>
      <c r="D568" t="n">
        <v>16</v>
      </c>
      <c r="E568" t="inlineStr">
        <is>
          <t>hardcoded instantiation AppLogViewModel()</t>
        </is>
      </c>
      <c r="F568" t="b">
        <v>1</v>
      </c>
    </row>
    <row r="569">
      <c r="A569" t="inlineStr">
        <is>
          <t>financialwell</t>
        </is>
      </c>
      <c r="B569" t="inlineStr">
        <is>
          <t>/Users/manczg/Documents/development/financialwell/FinancialWell/Home/HomeViewController.swift</t>
        </is>
      </c>
      <c r="C569" t="inlineStr">
        <is>
          <t>solid-10</t>
        </is>
      </c>
      <c r="D569" t="n">
        <v>17</v>
      </c>
      <c r="E569" t="inlineStr">
        <is>
          <t>hardcoded instantiation MailComposer()</t>
        </is>
      </c>
      <c r="F569" t="b">
        <v>1</v>
      </c>
    </row>
    <row r="570">
      <c r="A570" t="inlineStr">
        <is>
          <t>financialwell</t>
        </is>
      </c>
      <c r="B570" t="inlineStr">
        <is>
          <t>/Users/manczg/Documents/development/financialwell/FinancialWell/Home/HomeViewController.swift</t>
        </is>
      </c>
      <c r="C570" t="inlineStr">
        <is>
          <t>solid-10</t>
        </is>
      </c>
      <c r="D570" t="n">
        <v>154</v>
      </c>
      <c r="E570" t="inlineStr">
        <is>
          <t>hardcoded UIStoryboard+instantiateViewController instead of an injected factory</t>
        </is>
      </c>
      <c r="F570" t="b">
        <v>0</v>
      </c>
    </row>
    <row r="571">
      <c r="A571" t="inlineStr">
        <is>
          <t>financialwell</t>
        </is>
      </c>
      <c r="B571" t="inlineStr">
        <is>
          <t>/Users/manczg/Documents/development/financialwell/FinancialWell/Home/HomeViewController.swift</t>
        </is>
      </c>
      <c r="C571" t="inlineStr">
        <is>
          <t>solid-10</t>
        </is>
      </c>
      <c r="D571" t="n">
        <v>161</v>
      </c>
      <c r="E571" t="inlineStr">
        <is>
          <t>hardcoded UIStoryboard(name: "Settings", bundle: nil) instead of an injected factory</t>
        </is>
      </c>
      <c r="F571" t="b">
        <v>0</v>
      </c>
    </row>
    <row r="572">
      <c r="A572" t="inlineStr">
        <is>
          <t>financialwell</t>
        </is>
      </c>
      <c r="B572" t="inlineStr">
        <is>
          <t>/Users/manczg/Documents/development/financialwell/FinancialWell/Home/HomeViewController.swift</t>
        </is>
      </c>
      <c r="C572" t="inlineStr">
        <is>
          <t>solid-10</t>
        </is>
      </c>
      <c r="D572" t="n">
        <v>235</v>
      </c>
      <c r="E572" t="inlineStr">
        <is>
          <t>hardcoded instantiation chain MonthlySpendingDaysChartView/DatePriceDataViewModel</t>
        </is>
      </c>
      <c r="F572" t="b">
        <v>1</v>
      </c>
    </row>
    <row r="573">
      <c r="A573" t="inlineStr">
        <is>
          <t>financialwell</t>
        </is>
      </c>
      <c r="B573" t="inlineStr">
        <is>
          <t>/Users/manczg/Documents/development/financialwell/FinancialWell/Home/HomeViewController.swift</t>
        </is>
      </c>
      <c r="C573" t="inlineStr">
        <is>
          <t>solid-10</t>
        </is>
      </c>
      <c r="D573" t="n">
        <v>455</v>
      </c>
      <c r="E573" t="inlineStr">
        <is>
          <t>hardcoded UIStoryboard+instantiateViewController instead of an injected factory</t>
        </is>
      </c>
      <c r="F573" t="b">
        <v>0</v>
      </c>
    </row>
    <row r="574">
      <c r="A574" t="inlineStr">
        <is>
          <t>financialwell</t>
        </is>
      </c>
      <c r="B574" t="inlineStr">
        <is>
          <t>/Users/manczg/Documents/development/financialwell/FinancialWell/Home/HomeViewController.swift</t>
        </is>
      </c>
      <c r="C574" t="inlineStr">
        <is>
          <t>solid-10</t>
        </is>
      </c>
      <c r="D574" t="n">
        <v>479</v>
      </c>
      <c r="E574" t="inlineStr">
        <is>
          <t>hardcoded UIStoryboard+instantiateViewController instead of an injected factory</t>
        </is>
      </c>
      <c r="F574" t="b">
        <v>0</v>
      </c>
    </row>
    <row r="575">
      <c r="A575" t="inlineStr">
        <is>
          <t>financialwell</t>
        </is>
      </c>
      <c r="B575" t="inlineStr">
        <is>
          <t>/Users/manczg/Documents/development/financialwell/FinancialWell/Home/HomeViewController.swift</t>
        </is>
      </c>
      <c r="C575" t="inlineStr">
        <is>
          <t>safety-02</t>
        </is>
      </c>
      <c r="D575" t="n">
        <v>91</v>
      </c>
      <c r="E575" t="inlineStr">
        <is>
          <t>force unwrap tableView.indexPathForSelectedRow!.row</t>
        </is>
      </c>
      <c r="F575" t="b">
        <v>0</v>
      </c>
    </row>
    <row r="576">
      <c r="A576" t="inlineStr">
        <is>
          <t>financialwell</t>
        </is>
      </c>
      <c r="B576" t="inlineStr">
        <is>
          <t>/Users/manczg/Documents/development/financialwell/FinancialWell/Home/HomeViewController.swift</t>
        </is>
      </c>
      <c r="C576" t="inlineStr">
        <is>
          <t>safety-02</t>
        </is>
      </c>
      <c r="D576" t="n">
        <v>519</v>
      </c>
      <c r="E576" t="inlineStr">
        <is>
          <t>force unwrap section.index!</t>
        </is>
      </c>
      <c r="F576" t="b">
        <v>1</v>
      </c>
    </row>
    <row r="577">
      <c r="A577" t="inlineStr">
        <is>
          <t>financialwell</t>
        </is>
      </c>
      <c r="B577" t="inlineStr">
        <is>
          <t>/Users/manczg/Documents/development/financialwell/FinancialWell/Home/HomeViewController.swift</t>
        </is>
      </c>
      <c r="C577" t="inlineStr">
        <is>
          <t>safety-02</t>
        </is>
      </c>
      <c r="D577" t="n">
        <v>527</v>
      </c>
      <c r="E577" t="inlineStr">
        <is>
          <t>force unwrap (sender.section?.index)!</t>
        </is>
      </c>
      <c r="F577" t="b">
        <v>1</v>
      </c>
    </row>
    <row r="578">
      <c r="A578" t="inlineStr">
        <is>
          <t>financialwell</t>
        </is>
      </c>
      <c r="B578" t="inlineStr">
        <is>
          <t>/Users/manczg/Documents/development/financialwell/FinancialWell/Home/HomeViewController.swift</t>
        </is>
      </c>
      <c r="C578" t="inlineStr">
        <is>
          <t>safety-13</t>
        </is>
      </c>
      <c r="D578" t="n">
        <v>92</v>
      </c>
      <c r="E578" t="inlineStr">
        <is>
          <t>AppLog.assertion(false) used as production guard instead of real error handling</t>
        </is>
      </c>
      <c r="F578" t="b">
        <v>0</v>
      </c>
    </row>
    <row r="579">
      <c r="A579" t="inlineStr">
        <is>
          <t>financialwell</t>
        </is>
      </c>
      <c r="B579" t="inlineStr">
        <is>
          <t>/Users/manczg/Documents/development/financialwell/FinancialWell/ViewModels/FilterViewModel.swift</t>
        </is>
      </c>
      <c r="C579" t="inlineStr">
        <is>
          <t>clarity-16</t>
        </is>
      </c>
      <c r="D579" t="n">
        <v>168</v>
      </c>
      <c r="E579" t="inlineStr">
        <is>
          <t>toggleDatePicker has ~8 nested if/guard branches on selectedDatePicker/selection</t>
        </is>
      </c>
      <c r="F579" t="b">
        <v>0</v>
      </c>
    </row>
    <row r="580">
      <c r="A580" t="inlineStr">
        <is>
          <t>financialwell</t>
        </is>
      </c>
      <c r="B580" t="inlineStr">
        <is>
          <t>/Users/manczg/Documents/development/financialwell/FinancialWell/ViewModels/FilterViewModel.swift</t>
        </is>
      </c>
      <c r="C580" t="inlineStr">
        <is>
          <t>clarity-16</t>
        </is>
      </c>
      <c r="D580" t="n">
        <v>259</v>
      </c>
      <c r="E580" t="inlineStr">
        <is>
          <t>getRowHeight switches on 10 Row cases plus default fallback, high branch count</t>
        </is>
      </c>
      <c r="F580" t="b">
        <v>1</v>
      </c>
    </row>
    <row r="581">
      <c r="A581" t="inlineStr">
        <is>
          <t>financialwell</t>
        </is>
      </c>
      <c r="B581" t="inlineStr">
        <is>
          <t>/Users/manczg/Documents/development/financialwell/FinancialWell/ViewModels/FilterViewModel.swift</t>
        </is>
      </c>
      <c r="C581" t="inlineStr">
        <is>
          <t>smells-01</t>
        </is>
      </c>
      <c r="D581" t="n">
        <v>12</v>
      </c>
      <c r="E581" t="inlineStr">
        <is>
          <t>class FilterViewModel spans 560 lines (12-560), single file doing filter model, date-picker, and attributed-string formatting</t>
        </is>
      </c>
      <c r="F581" t="b">
        <v>0</v>
      </c>
    </row>
    <row r="582">
      <c r="A582" t="inlineStr">
        <is>
          <t>financialwell</t>
        </is>
      </c>
      <c r="B582" t="inlineStr">
        <is>
          <t>/Users/manczg/Documents/development/financialwell/FinancialWell/ViewModels/FilterViewModel.swift</t>
        </is>
      </c>
      <c r="C582" t="inlineStr">
        <is>
          <t>smells-06</t>
        </is>
      </c>
      <c r="D582" t="n">
        <v>269</v>
      </c>
      <c r="E582" t="inlineStr">
        <is>
          <t>trailing `// 380` looks like a leftover commented-out value for the row height</t>
        </is>
      </c>
      <c r="F582" t="b">
        <v>0</v>
      </c>
    </row>
    <row r="583">
      <c r="A583" t="inlineStr">
        <is>
          <t>financialwell</t>
        </is>
      </c>
      <c r="B583" t="inlineStr">
        <is>
          <t>/Users/manczg/Documents/development/financialwell/FinancialWell/ViewModels/FilterViewModel.swift</t>
        </is>
      </c>
      <c r="C583" t="inlineStr">
        <is>
          <t>smells-07</t>
        </is>
      </c>
      <c r="D583" t="n">
        <v>287</v>
      </c>
      <c r="E583" t="inlineStr">
        <is>
          <t>TODO comment left in getRowHeight: "should calculate the proper height; MaG"</t>
        </is>
      </c>
      <c r="F583" t="b">
        <v>1</v>
      </c>
    </row>
    <row r="584">
      <c r="A584" t="inlineStr">
        <is>
          <t>financialwell</t>
        </is>
      </c>
      <c r="B584" t="inlineStr">
        <is>
          <t>/Users/manczg/Documents/development/financialwell/FinancialWell/ViewModels/FilterViewModel.swift</t>
        </is>
      </c>
      <c r="C584" t="inlineStr">
        <is>
          <t>smells-10</t>
        </is>
      </c>
      <c r="D584" t="n">
        <v>62</v>
      </c>
      <c r="E584" t="inlineStr">
        <is>
          <t>ModelManager.shared.categories.categoriesArray is a 3-hop chain</t>
        </is>
      </c>
      <c r="F584" t="b">
        <v>1</v>
      </c>
    </row>
    <row r="585">
      <c r="A585" t="inlineStr">
        <is>
          <t>financialwell</t>
        </is>
      </c>
      <c r="B585" t="inlineStr">
        <is>
          <t>/Users/manczg/Documents/development/financialwell/FinancialWell/ViewModels/FilterViewModel.swift</t>
        </is>
      </c>
      <c r="C585" t="inlineStr">
        <is>
          <t>smells-10</t>
        </is>
      </c>
      <c r="D585" t="n">
        <v>66</v>
      </c>
      <c r="E585" t="inlineStr">
        <is>
          <t>ModelManager.shared.categories.getUIImage(for:) chain</t>
        </is>
      </c>
      <c r="F585" t="b">
        <v>1</v>
      </c>
    </row>
    <row r="586">
      <c r="A586" t="inlineStr">
        <is>
          <t>financialwell</t>
        </is>
      </c>
      <c r="B586" t="inlineStr">
        <is>
          <t>/Users/manczg/Documents/development/financialwell/FinancialWell/ViewModels/FilterViewModel.swift</t>
        </is>
      </c>
      <c r="C586" t="inlineStr">
        <is>
          <t>smells-10</t>
        </is>
      </c>
      <c r="D586" t="n">
        <v>75</v>
      </c>
      <c r="E586" t="inlineStr">
        <is>
          <t>ModelManager.shared.categories.showArchivedCategories chain</t>
        </is>
      </c>
      <c r="F586" t="b">
        <v>1</v>
      </c>
    </row>
    <row r="587">
      <c r="A587" t="inlineStr">
        <is>
          <t>financialwell</t>
        </is>
      </c>
      <c r="B587" t="inlineStr">
        <is>
          <t>/Users/manczg/Documents/development/financialwell/FinancialWell/ViewModels/FilterViewModel.swift</t>
        </is>
      </c>
      <c r="C587" t="inlineStr">
        <is>
          <t>smells-10</t>
        </is>
      </c>
      <c r="D587" t="n">
        <v>78</v>
      </c>
      <c r="E587" t="inlineStr">
        <is>
          <t>ModelManager.shared.categories.get(by:) chain inside closure</t>
        </is>
      </c>
      <c r="F587" t="b">
        <v>1</v>
      </c>
    </row>
    <row r="588">
      <c r="A588" t="inlineStr">
        <is>
          <t>financialwell</t>
        </is>
      </c>
      <c r="B588" t="inlineStr">
        <is>
          <t>/Users/manczg/Documents/development/financialwell/FinancialWell/ViewModels/FilterViewModel.swift</t>
        </is>
      </c>
      <c r="C588" t="inlineStr">
        <is>
          <t>smells-10</t>
        </is>
      </c>
      <c r="D588" t="n">
        <v>86</v>
      </c>
      <c r="E588" t="inlineStr">
        <is>
          <t>ModelManager.shared.accounts.accountsArray chain</t>
        </is>
      </c>
      <c r="F588" t="b">
        <v>1</v>
      </c>
    </row>
    <row r="589">
      <c r="A589" t="inlineStr">
        <is>
          <t>financialwell</t>
        </is>
      </c>
      <c r="B589" t="inlineStr">
        <is>
          <t>/Users/manczg/Documents/development/financialwell/FinancialWell/ViewModels/FilterViewModel.swift</t>
        </is>
      </c>
      <c r="C589" t="inlineStr">
        <is>
          <t>smells-10</t>
        </is>
      </c>
      <c r="D589" t="n">
        <v>91</v>
      </c>
      <c r="E589" t="inlineStr">
        <is>
          <t>ModelManager.shared.accounts.getUIImage(for:) chain</t>
        </is>
      </c>
      <c r="F589" t="b">
        <v>1</v>
      </c>
    </row>
    <row r="590">
      <c r="A590" t="inlineStr">
        <is>
          <t>financialwell</t>
        </is>
      </c>
      <c r="B590" t="inlineStr">
        <is>
          <t>/Users/manczg/Documents/development/financialwell/FinancialWell/ViewModels/FilterViewModel.swift</t>
        </is>
      </c>
      <c r="C590" t="inlineStr">
        <is>
          <t>smells-10</t>
        </is>
      </c>
      <c r="D590" t="n">
        <v>100</v>
      </c>
      <c r="E590" t="inlineStr">
        <is>
          <t>ModelManager.shared.accounts.showArchivedAccounts chain</t>
        </is>
      </c>
      <c r="F590" t="b">
        <v>1</v>
      </c>
    </row>
    <row r="591">
      <c r="A591" t="inlineStr">
        <is>
          <t>financialwell</t>
        </is>
      </c>
      <c r="B591" t="inlineStr">
        <is>
          <t>/Users/manczg/Documents/development/financialwell/FinancialWell/ViewModels/FilterViewModel.swift</t>
        </is>
      </c>
      <c r="C591" t="inlineStr">
        <is>
          <t>smells-10</t>
        </is>
      </c>
      <c r="D591" t="n">
        <v>105</v>
      </c>
      <c r="E591" t="inlineStr">
        <is>
          <t>ModelManager.shared.tags.getTagsCopy(by:) chain</t>
        </is>
      </c>
      <c r="F591" t="b">
        <v>1</v>
      </c>
    </row>
    <row r="592">
      <c r="A592" t="inlineStr">
        <is>
          <t>financialwell</t>
        </is>
      </c>
      <c r="B592" t="inlineStr">
        <is>
          <t>/Users/manczg/Documents/development/financialwell/FinancialWell/ViewModels/FilterViewModel.swift</t>
        </is>
      </c>
      <c r="C592" t="inlineStr">
        <is>
          <t>solid-06</t>
        </is>
      </c>
      <c r="D592" t="n">
        <v>37</v>
      </c>
      <c r="E592" t="inlineStr">
        <is>
          <t>model is a var stored property, no encapsulation/private(set)</t>
        </is>
      </c>
      <c r="F592" t="b">
        <v>1</v>
      </c>
    </row>
    <row r="593">
      <c r="A593" t="inlineStr">
        <is>
          <t>financialwell</t>
        </is>
      </c>
      <c r="B593" t="inlineStr">
        <is>
          <t>/Users/manczg/Documents/development/financialwell/FinancialWell/ViewModels/FilterViewModel.swift</t>
        </is>
      </c>
      <c r="C593" t="inlineStr">
        <is>
          <t>solid-06</t>
        </is>
      </c>
      <c r="D593" t="n">
        <v>38</v>
      </c>
      <c r="E593" t="inlineStr">
        <is>
          <t>filterCurrencyViewModel is a public mutable var field</t>
        </is>
      </c>
      <c r="F593" t="b">
        <v>1</v>
      </c>
    </row>
    <row r="594">
      <c r="A594" t="inlineStr">
        <is>
          <t>financialwell</t>
        </is>
      </c>
      <c r="B594" t="inlineStr">
        <is>
          <t>/Users/manczg/Documents/development/financialwell/FinancialWell/ViewModels/FilterViewModel.swift</t>
        </is>
      </c>
      <c r="C594" t="inlineStr">
        <is>
          <t>solid-06</t>
        </is>
      </c>
      <c r="D594" t="n">
        <v>39</v>
      </c>
      <c r="E594" t="inlineStr">
        <is>
          <t>filterCategoryViewModel is a public mutable var field</t>
        </is>
      </c>
      <c r="F594" t="b">
        <v>1</v>
      </c>
    </row>
    <row r="595">
      <c r="A595" t="inlineStr">
        <is>
          <t>financialwell</t>
        </is>
      </c>
      <c r="B595" t="inlineStr">
        <is>
          <t>/Users/manczg/Documents/development/financialwell/FinancialWell/ViewModels/FilterViewModel.swift</t>
        </is>
      </c>
      <c r="C595" t="inlineStr">
        <is>
          <t>solid-06</t>
        </is>
      </c>
      <c r="D595" t="n">
        <v>40</v>
      </c>
      <c r="E595" t="inlineStr">
        <is>
          <t>filterAccountViewModel is a public mutable var field</t>
        </is>
      </c>
      <c r="F595" t="b">
        <v>1</v>
      </c>
    </row>
    <row r="596">
      <c r="A596" t="inlineStr">
        <is>
          <t>financialwell</t>
        </is>
      </c>
      <c r="B596" t="inlineStr">
        <is>
          <t>/Users/manczg/Documents/development/financialwell/FinancialWell/ViewModels/FilterViewModel.swift</t>
        </is>
      </c>
      <c r="C596" t="inlineStr">
        <is>
          <t>solid-06</t>
        </is>
      </c>
      <c r="D596" t="n">
        <v>41</v>
      </c>
      <c r="E596" t="inlineStr">
        <is>
          <t>filterTagViewModel is a public mutable var field</t>
        </is>
      </c>
      <c r="F596" t="b">
        <v>1</v>
      </c>
    </row>
    <row r="597">
      <c r="A597" t="inlineStr">
        <is>
          <t>financialwell</t>
        </is>
      </c>
      <c r="B597" t="inlineStr">
        <is>
          <t>/Users/manczg/Documents/development/financialwell/FinancialWell/ViewModels/FilterViewModel.swift</t>
        </is>
      </c>
      <c r="C597" t="inlineStr">
        <is>
          <t>solid-06</t>
        </is>
      </c>
      <c r="D597" t="n">
        <v>42</v>
      </c>
      <c r="E597" t="inlineStr">
        <is>
          <t>selectedDatePicker is a public mutable var field, freely settable by callers</t>
        </is>
      </c>
      <c r="F597" t="b">
        <v>1</v>
      </c>
    </row>
    <row r="598">
      <c r="A598" t="inlineStr">
        <is>
          <t>financialwell</t>
        </is>
      </c>
      <c r="B598" t="inlineStr">
        <is>
          <t>/Users/manczg/Documents/development/financialwell/FinancialWell/ViewModels/FilterViewModel.swift</t>
        </is>
      </c>
      <c r="C598" t="inlineStr">
        <is>
          <t>solid-10</t>
        </is>
      </c>
      <c r="D598" t="n">
        <v>37</v>
      </c>
      <c r="E598" t="inlineStr">
        <is>
          <t>FilterModel() instantiated directly in property initializer instead of injected</t>
        </is>
      </c>
      <c r="F598" t="b">
        <v>1</v>
      </c>
    </row>
    <row r="599">
      <c r="A599" t="inlineStr">
        <is>
          <t>financialwell</t>
        </is>
      </c>
      <c r="B599" t="inlineStr">
        <is>
          <t>/Users/manczg/Documents/development/financialwell/FinancialWell/ViewModels/FilterViewModel.swift</t>
        </is>
      </c>
      <c r="C599" t="inlineStr">
        <is>
          <t>solid-10</t>
        </is>
      </c>
      <c r="D599" t="n">
        <v>38</v>
      </c>
      <c r="E599" t="inlineStr">
        <is>
          <t>FilterCurrencyViewModel() hardcoded instantiation, not injected</t>
        </is>
      </c>
      <c r="F599" t="b">
        <v>1</v>
      </c>
    </row>
    <row r="600">
      <c r="A600" t="inlineStr">
        <is>
          <t>financialwell</t>
        </is>
      </c>
      <c r="B600" t="inlineStr">
        <is>
          <t>/Users/manczg/Documents/development/financialwell/FinancialWell/ViewModels/FilterViewModel.swift</t>
        </is>
      </c>
      <c r="C600" t="inlineStr">
        <is>
          <t>solid-10</t>
        </is>
      </c>
      <c r="D600" t="n">
        <v>39</v>
      </c>
      <c r="E600" t="inlineStr">
        <is>
          <t>FilterTypeSelectViewModel() hardcoded instantiation, not injected</t>
        </is>
      </c>
      <c r="F600" t="b">
        <v>1</v>
      </c>
    </row>
    <row r="601">
      <c r="A601" t="inlineStr">
        <is>
          <t>financialwell</t>
        </is>
      </c>
      <c r="B601" t="inlineStr">
        <is>
          <t>/Users/manczg/Documents/development/financialwell/FinancialWell/ViewModels/FilterViewModel.swift</t>
        </is>
      </c>
      <c r="C601" t="inlineStr">
        <is>
          <t>solid-10</t>
        </is>
      </c>
      <c r="D601" t="n">
        <v>40</v>
      </c>
      <c r="E601" t="inlineStr">
        <is>
          <t>FilterTypeSelectViewModel() hardcoded instantiation, not injected</t>
        </is>
      </c>
      <c r="F601" t="b">
        <v>1</v>
      </c>
    </row>
    <row r="602">
      <c r="A602" t="inlineStr">
        <is>
          <t>financialwell</t>
        </is>
      </c>
      <c r="B602" t="inlineStr">
        <is>
          <t>/Users/manczg/Documents/development/financialwell/FinancialWell/ViewModels/FilterViewModel.swift</t>
        </is>
      </c>
      <c r="C602" t="inlineStr">
        <is>
          <t>solid-10</t>
        </is>
      </c>
      <c r="D602" t="n">
        <v>41</v>
      </c>
      <c r="E602" t="inlineStr">
        <is>
          <t>FilterTagSelectViewModel() hardcoded instantiation, not injected</t>
        </is>
      </c>
      <c r="F602" t="b">
        <v>1</v>
      </c>
    </row>
    <row r="603">
      <c r="A603" t="inlineStr">
        <is>
          <t>financialwell</t>
        </is>
      </c>
      <c r="B603" t="inlineStr">
        <is>
          <t>/Users/manczg/Documents/development/financialwell/FinancialWell/ViewModels/FilterViewModel.swift</t>
        </is>
      </c>
      <c r="C603" t="inlineStr">
        <is>
          <t>arch-02</t>
        </is>
      </c>
      <c r="D603" t="n">
        <v>10</v>
      </c>
      <c r="E603" t="inlineStr">
        <is>
          <t>ViewModel imports UIKit directly instead of depending on an abstraction</t>
        </is>
      </c>
      <c r="F603" t="b">
        <v>0</v>
      </c>
    </row>
    <row r="604">
      <c r="A604" t="inlineStr">
        <is>
          <t>financialwell</t>
        </is>
      </c>
      <c r="B604" t="inlineStr">
        <is>
          <t>/Users/manczg/Documents/development/financialwell/FinancialWell/ViewModels/FilterViewModel.swift</t>
        </is>
      </c>
      <c r="C604" t="inlineStr">
        <is>
          <t>arch-02</t>
        </is>
      </c>
      <c r="D604" t="n">
        <v>161</v>
      </c>
      <c r="E604" t="inlineStr">
        <is>
          <t>getFilterButtonImage returns UIImage, leaking UIKit type from the view model</t>
        </is>
      </c>
      <c r="F604" t="b">
        <v>0</v>
      </c>
    </row>
    <row r="605">
      <c r="A605" t="inlineStr">
        <is>
          <t>financialwell</t>
        </is>
      </c>
      <c r="B605" t="inlineStr">
        <is>
          <t>/Users/manczg/Documents/development/financialwell/FinancialWell/ViewModels/FilterViewModel.swift</t>
        </is>
      </c>
      <c r="C605" t="inlineStr">
        <is>
          <t>arch-02</t>
        </is>
      </c>
      <c r="D605" t="n">
        <v>163</v>
      </c>
      <c r="E605" t="inlineStr">
        <is>
          <t>UIImage(named:) constructed directly inside application logic</t>
        </is>
      </c>
      <c r="F605" t="b">
        <v>0</v>
      </c>
    </row>
    <row r="606">
      <c r="A606" t="inlineStr">
        <is>
          <t>financialwell</t>
        </is>
      </c>
      <c r="B606" t="inlineStr">
        <is>
          <t>/Users/manczg/Documents/development/financialwell/FinancialWell/ViewModels/FilterViewModel.swift</t>
        </is>
      </c>
      <c r="C606" t="inlineStr">
        <is>
          <t>arch-02</t>
        </is>
      </c>
      <c r="D606" t="n">
        <v>259</v>
      </c>
      <c r="E606" t="inlineStr">
        <is>
          <t>getRowHeight returns CGFloat, a UIKit/CoreGraphics framework type</t>
        </is>
      </c>
      <c r="F606" t="b">
        <v>0</v>
      </c>
    </row>
    <row r="607">
      <c r="A607" t="inlineStr">
        <is>
          <t>financialwell</t>
        </is>
      </c>
      <c r="B607" t="inlineStr">
        <is>
          <t>/Users/manczg/Documents/development/financialwell/FinancialWell/ViewModels/FilterViewModel.swift</t>
        </is>
      </c>
      <c r="C607" t="inlineStr">
        <is>
          <t>arch-02</t>
        </is>
      </c>
      <c r="D607" t="n">
        <v>465</v>
      </c>
      <c r="E607" t="inlineStr">
        <is>
          <t>NSMutableAttributedString built inside the view model instead of the view layer</t>
        </is>
      </c>
      <c r="F607" t="b">
        <v>0</v>
      </c>
    </row>
    <row r="608">
      <c r="A608" t="inlineStr">
        <is>
          <t>financialwell</t>
        </is>
      </c>
      <c r="B608" t="inlineStr">
        <is>
          <t>/Users/manczg/Documents/development/financialwell/FinancialWell/ViewModels/FilterViewModel.swift</t>
        </is>
      </c>
      <c r="C608" t="inlineStr">
        <is>
          <t>arch-02</t>
        </is>
      </c>
      <c r="D608" t="n">
        <v>474</v>
      </c>
      <c r="E608" t="inlineStr">
        <is>
          <t>UIFont.preferredFont used directly in view model formatting logic</t>
        </is>
      </c>
      <c r="F608" t="b">
        <v>0</v>
      </c>
    </row>
    <row r="609">
      <c r="A609" t="inlineStr">
        <is>
          <t>financialwell</t>
        </is>
      </c>
      <c r="B609" t="inlineStr">
        <is>
          <t>/Users/manczg/Documents/development/financialwell/FinancialWell/ViewModels/FilterViewModel.swift</t>
        </is>
      </c>
      <c r="C609" t="inlineStr">
        <is>
          <t>arch-08</t>
        </is>
      </c>
      <c r="D609" t="n">
        <v>62</v>
      </c>
      <c r="E609" t="inlineStr">
        <is>
          <t>ModelManager.shared accessed as a service locator instead of injected dependency</t>
        </is>
      </c>
      <c r="F609" t="b">
        <v>1</v>
      </c>
    </row>
    <row r="610">
      <c r="A610" t="inlineStr">
        <is>
          <t>financialwell</t>
        </is>
      </c>
      <c r="B610" t="inlineStr">
        <is>
          <t>/Users/manczg/Documents/development/financialwell/FinancialWell/ViewModels/FilterViewModel.swift</t>
        </is>
      </c>
      <c r="C610" t="inlineStr">
        <is>
          <t>arch-08</t>
        </is>
      </c>
      <c r="D610" t="n">
        <v>66</v>
      </c>
      <c r="E610" t="inlineStr">
        <is>
          <t>ModelManager.shared accessed as a service locator</t>
        </is>
      </c>
      <c r="F610" t="b">
        <v>1</v>
      </c>
    </row>
    <row r="611">
      <c r="A611" t="inlineStr">
        <is>
          <t>financialwell</t>
        </is>
      </c>
      <c r="B611" t="inlineStr">
        <is>
          <t>/Users/manczg/Documents/development/financialwell/FinancialWell/ViewModels/FilterViewModel.swift</t>
        </is>
      </c>
      <c r="C611" t="inlineStr">
        <is>
          <t>arch-08</t>
        </is>
      </c>
      <c r="D611" t="n">
        <v>75</v>
      </c>
      <c r="E611" t="inlineStr">
        <is>
          <t>ModelManager.shared accessed as a service locator</t>
        </is>
      </c>
      <c r="F611" t="b">
        <v>1</v>
      </c>
    </row>
    <row r="612">
      <c r="A612" t="inlineStr">
        <is>
          <t>financialwell</t>
        </is>
      </c>
      <c r="B612" t="inlineStr">
        <is>
          <t>/Users/manczg/Documents/development/financialwell/FinancialWell/ViewModels/FilterViewModel.swift</t>
        </is>
      </c>
      <c r="C612" t="inlineStr">
        <is>
          <t>arch-08</t>
        </is>
      </c>
      <c r="D612" t="n">
        <v>78</v>
      </c>
      <c r="E612" t="inlineStr">
        <is>
          <t>ModelManager.shared accessed as a service locator inside closure</t>
        </is>
      </c>
      <c r="F612" t="b">
        <v>1</v>
      </c>
    </row>
    <row r="613">
      <c r="A613" t="inlineStr">
        <is>
          <t>financialwell</t>
        </is>
      </c>
      <c r="B613" t="inlineStr">
        <is>
          <t>/Users/manczg/Documents/development/financialwell/FinancialWell/ViewModels/FilterViewModel.swift</t>
        </is>
      </c>
      <c r="C613" t="inlineStr">
        <is>
          <t>arch-08</t>
        </is>
      </c>
      <c r="D613" t="n">
        <v>86</v>
      </c>
      <c r="E613" t="inlineStr">
        <is>
          <t>ModelManager.shared accessed as a service locator</t>
        </is>
      </c>
      <c r="F613" t="b">
        <v>1</v>
      </c>
    </row>
    <row r="614">
      <c r="A614" t="inlineStr">
        <is>
          <t>financialwell</t>
        </is>
      </c>
      <c r="B614" t="inlineStr">
        <is>
          <t>/Users/manczg/Documents/development/financialwell/FinancialWell/ViewModels/FilterViewModel.swift</t>
        </is>
      </c>
      <c r="C614" t="inlineStr">
        <is>
          <t>arch-08</t>
        </is>
      </c>
      <c r="D614" t="n">
        <v>91</v>
      </c>
      <c r="E614" t="inlineStr">
        <is>
          <t>ModelManager.shared accessed as a service locator</t>
        </is>
      </c>
      <c r="F614" t="b">
        <v>1</v>
      </c>
    </row>
    <row r="615">
      <c r="A615" t="inlineStr">
        <is>
          <t>financialwell</t>
        </is>
      </c>
      <c r="B615" t="inlineStr">
        <is>
          <t>/Users/manczg/Documents/development/financialwell/FinancialWell/ViewModels/FilterViewModel.swift</t>
        </is>
      </c>
      <c r="C615" t="inlineStr">
        <is>
          <t>arch-08</t>
        </is>
      </c>
      <c r="D615" t="n">
        <v>100</v>
      </c>
      <c r="E615" t="inlineStr">
        <is>
          <t>ModelManager.shared accessed as a service locator</t>
        </is>
      </c>
      <c r="F615" t="b">
        <v>1</v>
      </c>
    </row>
    <row r="616">
      <c r="A616" t="inlineStr">
        <is>
          <t>financialwell</t>
        </is>
      </c>
      <c r="B616" t="inlineStr">
        <is>
          <t>/Users/manczg/Documents/development/financialwell/FinancialWell/ViewModels/FilterViewModel.swift</t>
        </is>
      </c>
      <c r="C616" t="inlineStr">
        <is>
          <t>arch-08</t>
        </is>
      </c>
      <c r="D616" t="n">
        <v>105</v>
      </c>
      <c r="E616" t="inlineStr">
        <is>
          <t>ModelManager.shared accessed as a service locator</t>
        </is>
      </c>
      <c r="F616" t="b">
        <v>1</v>
      </c>
    </row>
    <row r="617">
      <c r="A617" t="inlineStr">
        <is>
          <t>financialwell</t>
        </is>
      </c>
      <c r="B617" t="inlineStr">
        <is>
          <t>/Users/manczg/Documents/development/financialwell/FinancialWell/ViewModels/FilterViewModel.swift</t>
        </is>
      </c>
      <c r="C617" t="inlineStr">
        <is>
          <t>tests-01</t>
        </is>
      </c>
      <c r="D617" t="n">
        <v>12</v>
      </c>
      <c r="E617" t="inlineStr">
        <is>
          <t>No test file found for FilterViewModel (verified: only UnitTests/UITests dirs exist project-wide, none targeting this class) despite non-trivial branching logic like toggleDatePicker and getRowHeight</t>
        </is>
      </c>
      <c r="F617" t="b">
        <v>1</v>
      </c>
    </row>
    <row r="618">
      <c r="A618" t="inlineStr">
        <is>
          <t>financialwell</t>
        </is>
      </c>
      <c r="B618" t="inlineStr">
        <is>
          <t>/Users/manczg/Documents/development/financialwell/FinancialWell/ViewModels/FilterViewModel.swift</t>
        </is>
      </c>
      <c r="C618" t="inlineStr">
        <is>
          <t>safety-02</t>
        </is>
      </c>
      <c r="D618" t="n">
        <v>163</v>
      </c>
      <c r="E618" t="inlineStr">
        <is>
          <t>Force-unwrapped UIImage(named:) crashes if the asset is missing</t>
        </is>
      </c>
      <c r="F618" t="b">
        <v>1</v>
      </c>
    </row>
    <row r="619">
      <c r="A619" t="inlineStr">
        <is>
          <t>financialwell</t>
        </is>
      </c>
      <c r="B619" t="inlineStr">
        <is>
          <t>/Users/manczg/Documents/development/financialwell/FinancialWell/ViewModels/FilterViewModel.swift</t>
        </is>
      </c>
      <c r="C619" t="inlineStr">
        <is>
          <t>safety-02</t>
        </is>
      </c>
      <c r="D619" t="n">
        <v>165</v>
      </c>
      <c r="E619" t="inlineStr">
        <is>
          <t>Force-unwrapped UIImage(named:) crashes if the asset is missing</t>
        </is>
      </c>
      <c r="F619" t="b">
        <v>1</v>
      </c>
    </row>
    <row r="620">
      <c r="A620" t="inlineStr">
        <is>
          <t>financialwell</t>
        </is>
      </c>
      <c r="B620" t="inlineStr">
        <is>
          <t>/Users/manczg/Documents/development/financialwell/FinancialWell/ViewModels/FilterViewModel.swift</t>
        </is>
      </c>
      <c r="C620" t="inlineStr">
        <is>
          <t>safety-02</t>
        </is>
      </c>
      <c r="D620" t="n">
        <v>334</v>
      </c>
      <c r="E620" t="inlineStr">
        <is>
          <t>model.fromDate! force unwrap after a separate nil check on the previous line</t>
        </is>
      </c>
      <c r="F620" t="b">
        <v>0</v>
      </c>
    </row>
    <row r="621">
      <c r="A621" t="inlineStr">
        <is>
          <t>financialwell</t>
        </is>
      </c>
      <c r="B621" t="inlineStr">
        <is>
          <t>/Users/manczg/Documents/development/financialwell/FinancialWell/ViewModels/FilterViewModel.swift</t>
        </is>
      </c>
      <c r="C621" t="inlineStr">
        <is>
          <t>safety-02</t>
        </is>
      </c>
      <c r="D621" t="n">
        <v>361</v>
      </c>
      <c r="E621" t="inlineStr">
        <is>
          <t>model.toDate! force unwrap after a separate nil check on the previous line</t>
        </is>
      </c>
      <c r="F621" t="b">
        <v>0</v>
      </c>
    </row>
    <row r="622">
      <c r="A622" t="inlineStr">
        <is>
          <t>financialwell</t>
        </is>
      </c>
      <c r="B622" t="inlineStr">
        <is>
          <t>/Users/manczg/Documents/development/financialwell/FinancialWell/ViewModels/FilterViewModel.swift</t>
        </is>
      </c>
      <c r="C622" t="inlineStr">
        <is>
          <t>safety-02</t>
        </is>
      </c>
      <c r="D622" t="n">
        <v>368</v>
      </c>
      <c r="E622" t="inlineStr">
        <is>
          <t>value! force unwrap after a separate `guard value != nil` check instead of guard-let binding</t>
        </is>
      </c>
      <c r="F622" t="b">
        <v>1</v>
      </c>
    </row>
    <row r="623">
      <c r="A623" t="inlineStr">
        <is>
          <t>financialwell</t>
        </is>
      </c>
      <c r="B623" t="inlineStr">
        <is>
          <t>/Users/manczg/Documents/development/financialwell/FinancialWell/ViewModels/FilterViewModel.swift</t>
        </is>
      </c>
      <c r="C623" t="inlineStr">
        <is>
          <t>safety-13</t>
        </is>
      </c>
      <c r="D623" t="n">
        <v>67</v>
      </c>
      <c r="E623" t="inlineStr">
        <is>
          <t>AppLog.assertion(item.image != nil) used to validate data instead of proper error handling; execution continues regardless</t>
        </is>
      </c>
      <c r="F623" t="b">
        <v>0</v>
      </c>
    </row>
    <row r="624">
      <c r="A624" t="inlineStr">
        <is>
          <t>financialwell</t>
        </is>
      </c>
      <c r="B624" t="inlineStr">
        <is>
          <t>/Users/manczg/Documents/development/financialwell/FinancialWell/ViewModels/FilterViewModel.swift</t>
        </is>
      </c>
      <c r="C624" t="inlineStr">
        <is>
          <t>safety-13</t>
        </is>
      </c>
      <c r="D624" t="n">
        <v>92</v>
      </c>
      <c r="E624" t="inlineStr">
        <is>
          <t>AppLog.assertion(item.image != nil) used to validate data instead of proper error handling</t>
        </is>
      </c>
      <c r="F624" t="b">
        <v>0</v>
      </c>
    </row>
    <row r="625">
      <c r="A625" t="inlineStr">
        <is>
          <t>financialwell</t>
        </is>
      </c>
      <c r="B625" t="inlineStr">
        <is>
          <t>/Users/manczg/Documents/development/financialwell/FinancialWell/ViewModels/FilterViewModel.swift</t>
        </is>
      </c>
      <c r="C625" t="inlineStr">
        <is>
          <t>safety-13</t>
        </is>
      </c>
      <c r="D625" t="n">
        <v>197</v>
      </c>
      <c r="E625" t="inlineStr">
        <is>
          <t>AppLog.assertion(false) used to guard an "impossible" state, silently falling back to .None in production</t>
        </is>
      </c>
      <c r="F625" t="b">
        <v>0</v>
      </c>
    </row>
    <row r="626">
      <c r="A626" t="inlineStr">
        <is>
          <t>financialwell</t>
        </is>
      </c>
      <c r="B626" t="inlineStr">
        <is>
          <t>/Users/manczg/Documents/development/financialwell/FinancialWell/ViewModels/FilterViewModel.swift</t>
        </is>
      </c>
      <c r="C626" t="inlineStr">
        <is>
          <t>safety-13</t>
        </is>
      </c>
      <c r="D626" t="n">
        <v>261</v>
      </c>
      <c r="E626" t="inlineStr">
        <is>
          <t>AppLog.assertion(false) used as validation for an invalid indexPath.row instead of throwing/handling the error</t>
        </is>
      </c>
      <c r="F626" t="b">
        <v>0</v>
      </c>
    </row>
    <row r="627">
      <c r="A627" t="inlineStr">
        <is>
          <t>financialwell</t>
        </is>
      </c>
      <c r="B627" t="inlineStr">
        <is>
          <t>/Users/manczg/Documents/development/financialwell/FinancialWell/ViewModels/FilterViewModel.swift</t>
        </is>
      </c>
      <c r="C627" t="inlineStr">
        <is>
          <t>safety-13</t>
        </is>
      </c>
      <c r="D627" t="n">
        <v>289</v>
      </c>
      <c r="E627" t="inlineStr">
        <is>
          <t>AppLog.assertion(false) used as validation in switch default, silently returning fallback height</t>
        </is>
      </c>
      <c r="F627" t="b">
        <v>0</v>
      </c>
    </row>
    <row r="628">
      <c r="A628" t="inlineStr">
        <is>
          <t>financialwell</t>
        </is>
      </c>
      <c r="B628" t="inlineStr">
        <is>
          <t>/Users/manczg/Documents/development/financialwell/FinancialWell/ViewModels/FilterViewModel.swift</t>
        </is>
      </c>
      <c r="C628" t="inlineStr">
        <is>
          <t>safety-13</t>
        </is>
      </c>
      <c r="D628" t="n">
        <v>296</v>
      </c>
      <c r="E628" t="inlineStr">
        <is>
          <t>AppLog.assertion(false) used as validation for an invalid indexPath.row</t>
        </is>
      </c>
      <c r="F628" t="b">
        <v>0</v>
      </c>
    </row>
    <row r="629">
      <c r="A629" t="inlineStr">
        <is>
          <t>financialwell</t>
        </is>
      </c>
      <c r="B629" t="inlineStr">
        <is>
          <t>/Users/manczg/Documents/development/financialwell/FinancialWell/ViewModels/FilterViewModel.swift</t>
        </is>
      </c>
      <c r="C629" t="inlineStr">
        <is>
          <t>safety-13</t>
        </is>
      </c>
      <c r="D629" t="n">
        <v>300</v>
      </c>
      <c r="E629" t="inlineStr">
        <is>
          <t>AppLog.assertion(false) used as validation for the sentinel .NumberOfElements case</t>
        </is>
      </c>
      <c r="F629" t="b">
        <v>0</v>
      </c>
    </row>
    <row r="630">
      <c r="A630" t="inlineStr">
        <is>
          <t>financialwell</t>
        </is>
      </c>
      <c r="B630" t="inlineStr">
        <is>
          <t>/Users/manczg/Documents/development/financialwell/FinancialWell/ViewModels/FilterViewModel.swift</t>
        </is>
      </c>
      <c r="C630" t="inlineStr">
        <is>
          <t>safety-16</t>
        </is>
      </c>
      <c r="D630" t="n">
        <v>364</v>
      </c>
      <c r="E630" t="inlineStr">
        <is>
          <t>getPriceString(value: Double?) represents money as binary floating-point</t>
        </is>
      </c>
      <c r="F630" t="b">
        <v>1</v>
      </c>
    </row>
    <row r="631">
      <c r="A631" t="inlineStr">
        <is>
          <t>financialwell</t>
        </is>
      </c>
      <c r="B631" t="inlineStr">
        <is>
          <t>/Users/manczg/Documents/development/financialwell/FinancialWell/ViewModels/FilterViewModel.swift</t>
        </is>
      </c>
      <c r="C631" t="inlineStr">
        <is>
          <t>safety-16</t>
        </is>
      </c>
      <c r="D631" t="n">
        <v>383</v>
      </c>
      <c r="E631" t="inlineStr">
        <is>
          <t>model.minPrice assigned from Double parsed via text.toNumber()</t>
        </is>
      </c>
      <c r="F631" t="b">
        <v>0</v>
      </c>
    </row>
    <row r="632">
      <c r="A632" t="inlineStr">
        <is>
          <t>financialwell</t>
        </is>
      </c>
      <c r="B632" t="inlineStr">
        <is>
          <t>/Users/manczg/Documents/development/financialwell/FinancialWell/ViewModels/FilterViewModel.swift</t>
        </is>
      </c>
      <c r="C632" t="inlineStr">
        <is>
          <t>safety-16</t>
        </is>
      </c>
      <c r="D632" t="n">
        <v>387</v>
      </c>
      <c r="E632" t="inlineStr">
        <is>
          <t>model.minPrice = doubleValue stores price as Double</t>
        </is>
      </c>
      <c r="F632" t="b">
        <v>0</v>
      </c>
    </row>
    <row r="633">
      <c r="A633" t="inlineStr">
        <is>
          <t>financialwell</t>
        </is>
      </c>
      <c r="B633" t="inlineStr">
        <is>
          <t>/Users/manczg/Documents/development/financialwell/FinancialWell/ViewModels/FilterViewModel.swift</t>
        </is>
      </c>
      <c r="C633" t="inlineStr">
        <is>
          <t>safety-16</t>
        </is>
      </c>
      <c r="D633" t="n">
        <v>399</v>
      </c>
      <c r="E633" t="inlineStr">
        <is>
          <t>model.maxPrice assigned from Double parsed via text.toNumber()</t>
        </is>
      </c>
      <c r="F633" t="b">
        <v>0</v>
      </c>
    </row>
    <row r="634">
      <c r="A634" t="inlineStr">
        <is>
          <t>financialwell</t>
        </is>
      </c>
      <c r="B634" t="inlineStr">
        <is>
          <t>/Users/manczg/Documents/development/financialwell/FinancialWell/ViewModels/FilterViewModel.swift</t>
        </is>
      </c>
      <c r="C634" t="inlineStr">
        <is>
          <t>safety-16</t>
        </is>
      </c>
      <c r="D634" t="n">
        <v>403</v>
      </c>
      <c r="E634" t="inlineStr">
        <is>
          <t>model.maxPrice = doubleValue stores price as Double</t>
        </is>
      </c>
      <c r="F634" t="b">
        <v>0</v>
      </c>
    </row>
    <row r="635">
      <c r="A635" t="inlineStr">
        <is>
          <t>financialwell</t>
        </is>
      </c>
      <c r="B635" t="inlineStr">
        <is>
          <t>/Users/manczg/Documents/development/financialwell/FinancialWell/ViewModels/FilterViewModel.swift</t>
        </is>
      </c>
      <c r="C635" t="inlineStr">
        <is>
          <t>ddd-01</t>
        </is>
      </c>
      <c r="D635" t="n">
        <v>64</v>
      </c>
      <c r="E635" t="inlineStr">
        <is>
          <t>item.id mutated field-by-field on a shared FilterTypeItemSelection instance</t>
        </is>
      </c>
      <c r="F635" t="b">
        <v>0</v>
      </c>
    </row>
    <row r="636">
      <c r="A636" t="inlineStr">
        <is>
          <t>financialwell</t>
        </is>
      </c>
      <c r="B636" t="inlineStr">
        <is>
          <t>/Users/manczg/Documents/development/financialwell/FinancialWell/ViewModels/FilterViewModel.swift</t>
        </is>
      </c>
      <c r="C636" t="inlineStr">
        <is>
          <t>ddd-01</t>
        </is>
      </c>
      <c r="D636" t="n">
        <v>65</v>
      </c>
      <c r="E636" t="inlineStr">
        <is>
          <t>item.name mutated field-by-field instead of constructed immutably</t>
        </is>
      </c>
      <c r="F636" t="b">
        <v>0</v>
      </c>
    </row>
    <row r="637">
      <c r="A637" t="inlineStr">
        <is>
          <t>financialwell</t>
        </is>
      </c>
      <c r="B637" t="inlineStr">
        <is>
          <t>/Users/manczg/Documents/development/financialwell/FinancialWell/ViewModels/FilterViewModel.swift</t>
        </is>
      </c>
      <c r="C637" t="inlineStr">
        <is>
          <t>ddd-01</t>
        </is>
      </c>
      <c r="D637" t="n">
        <v>68</v>
      </c>
      <c r="E637" t="inlineStr">
        <is>
          <t>item.isArchived mutated after construction</t>
        </is>
      </c>
      <c r="F637" t="b">
        <v>0</v>
      </c>
    </row>
    <row r="638">
      <c r="A638" t="inlineStr">
        <is>
          <t>financialwell</t>
        </is>
      </c>
      <c r="B638" t="inlineStr">
        <is>
          <t>/Users/manczg/Documents/development/financialwell/FinancialWell/ViewModels/FilterViewModel.swift</t>
        </is>
      </c>
      <c r="C638" t="inlineStr">
        <is>
          <t>ddd-01</t>
        </is>
      </c>
      <c r="D638" t="n">
        <v>69</v>
      </c>
      <c r="E638" t="inlineStr">
        <is>
          <t>item.state mutated after construction</t>
        </is>
      </c>
      <c r="F638" t="b">
        <v>0</v>
      </c>
    </row>
    <row r="639">
      <c r="A639" t="inlineStr">
        <is>
          <t>financialwell</t>
        </is>
      </c>
      <c r="B639" t="inlineStr">
        <is>
          <t>/Users/manczg/Documents/development/financialwell/FinancialWell/ViewModels/FilterViewModel.swift</t>
        </is>
      </c>
      <c r="C639" t="inlineStr">
        <is>
          <t>ddd-01</t>
        </is>
      </c>
      <c r="D639" t="n">
        <v>89</v>
      </c>
      <c r="E639" t="inlineStr">
        <is>
          <t>item.id mutated field-by-field on a shared FilterTypeItemSelection instance</t>
        </is>
      </c>
      <c r="F639" t="b">
        <v>0</v>
      </c>
    </row>
    <row r="640">
      <c r="A640" t="inlineStr">
        <is>
          <t>financialwell</t>
        </is>
      </c>
      <c r="B640" t="inlineStr">
        <is>
          <t>/Users/manczg/Documents/development/financialwell/FinancialWell/ViewModels/FilterViewModel.swift</t>
        </is>
      </c>
      <c r="C640" t="inlineStr">
        <is>
          <t>ddd-01</t>
        </is>
      </c>
      <c r="D640" t="n">
        <v>90</v>
      </c>
      <c r="E640" t="inlineStr">
        <is>
          <t>item.name mutated field-by-field instead of constructed immutably</t>
        </is>
      </c>
      <c r="F640" t="b">
        <v>0</v>
      </c>
    </row>
    <row r="641">
      <c r="A641" t="inlineStr">
        <is>
          <t>financialwell</t>
        </is>
      </c>
      <c r="B641" t="inlineStr">
        <is>
          <t>/Users/manczg/Documents/development/financialwell/FinancialWell/ViewModels/FilterViewModel.swift</t>
        </is>
      </c>
      <c r="C641" t="inlineStr">
        <is>
          <t>ddd-01</t>
        </is>
      </c>
      <c r="D641" t="n">
        <v>107</v>
      </c>
      <c r="E641" t="inlineStr">
        <is>
          <t>item.name mutated field-by-field on FilterTagItem after construction</t>
        </is>
      </c>
      <c r="F641" t="b">
        <v>0</v>
      </c>
    </row>
    <row r="642">
      <c r="A642" t="inlineStr">
        <is>
          <t>financialwell</t>
        </is>
      </c>
      <c r="B642" t="inlineStr">
        <is>
          <t>/Users/manczg/Documents/development/financialwell/FinancialWell/ViewModels/FilterViewModel.swift</t>
        </is>
      </c>
      <c r="C642" t="inlineStr">
        <is>
          <t>ddd-01</t>
        </is>
      </c>
      <c r="D642" t="n">
        <v>108</v>
      </c>
      <c r="E642" t="inlineStr">
        <is>
          <t>item.state mutated field-by-field on FilterTagItem after construction</t>
        </is>
      </c>
      <c r="F642" t="b">
        <v>0</v>
      </c>
    </row>
    <row r="643">
      <c r="A643" t="inlineStr">
        <is>
          <t>financialwell</t>
        </is>
      </c>
      <c r="B643" t="inlineStr">
        <is>
          <t>/Users/manczg/Documents/development/financialwell/FinancialWell/ViewModels/FilterViewModel.swift</t>
        </is>
      </c>
      <c r="C643" t="inlineStr">
        <is>
          <t>ddd-06</t>
        </is>
      </c>
      <c r="D643" t="n">
        <v>62</v>
      </c>
      <c r="E643" t="inlineStr">
        <is>
          <t>FilterViewModel directly pulls from the categories aggregate via ModelManager</t>
        </is>
      </c>
      <c r="F643" t="b">
        <v>0</v>
      </c>
    </row>
    <row r="644">
      <c r="A644" t="inlineStr">
        <is>
          <t>financialwell</t>
        </is>
      </c>
      <c r="B644" t="inlineStr">
        <is>
          <t>/Users/manczg/Documents/development/financialwell/FinancialWell/ViewModels/FilterViewModel.swift</t>
        </is>
      </c>
      <c r="C644" t="inlineStr">
        <is>
          <t>ddd-06</t>
        </is>
      </c>
      <c r="D644" t="n">
        <v>86</v>
      </c>
      <c r="E644" t="inlineStr">
        <is>
          <t>FilterViewModel directly pulls from the accounts aggregate via ModelManager</t>
        </is>
      </c>
      <c r="F644" t="b">
        <v>0</v>
      </c>
    </row>
    <row r="645">
      <c r="A645" t="inlineStr">
        <is>
          <t>financialwell</t>
        </is>
      </c>
      <c r="B645" t="inlineStr">
        <is>
          <t>/Users/manczg/Documents/development/financialwell/FinancialWell/ViewModels/FilterViewModel.swift</t>
        </is>
      </c>
      <c r="C645" t="inlineStr">
        <is>
          <t>ddd-06</t>
        </is>
      </c>
      <c r="D645" t="n">
        <v>105</v>
      </c>
      <c r="E645" t="inlineStr">
        <is>
          <t>FilterViewModel directly pulls from the tags aggregate via ModelManager</t>
        </is>
      </c>
      <c r="F645" t="b">
        <v>0</v>
      </c>
    </row>
    <row r="646">
      <c r="A646" t="inlineStr">
        <is>
          <t>financialwell</t>
        </is>
      </c>
      <c r="B646" t="inlineStr">
        <is>
          <t>/Users/manczg/Documents/development/financialwell/FinancialWell/Models/ModelCurrencies.swift</t>
        </is>
      </c>
      <c r="C646" t="inlineStr">
        <is>
          <t>clarity-09</t>
        </is>
      </c>
      <c r="D646" t="n">
        <v>29</v>
      </c>
      <c r="E646" t="inlineStr">
        <is>
          <t>3-clause boolean returned directly, not named</t>
        </is>
      </c>
      <c r="F646" t="b">
        <v>0</v>
      </c>
    </row>
    <row r="647">
      <c r="A647" t="inlineStr">
        <is>
          <t>financialwell</t>
        </is>
      </c>
      <c r="B647" t="inlineStr">
        <is>
          <t>/Users/manczg/Documents/development/financialwell/FinancialWell/Models/ModelCurrencies.swift</t>
        </is>
      </c>
      <c r="C647" t="inlineStr">
        <is>
          <t>clarity-09</t>
        </is>
      </c>
      <c r="D647" t="n">
        <v>72</v>
      </c>
      <c r="E647" t="inlineStr">
        <is>
          <t>4-clause guard condition not extracted</t>
        </is>
      </c>
      <c r="F647" t="b">
        <v>1</v>
      </c>
    </row>
    <row r="648">
      <c r="A648" t="inlineStr">
        <is>
          <t>financialwell</t>
        </is>
      </c>
      <c r="B648" t="inlineStr">
        <is>
          <t>/Users/manczg/Documents/development/financialwell/FinancialWell/Models/ModelCurrencies.swift</t>
        </is>
      </c>
      <c r="C648" t="inlineStr">
        <is>
          <t>clarity-09</t>
        </is>
      </c>
      <c r="D648" t="n">
        <v>100</v>
      </c>
      <c r="E648" t="inlineStr">
        <is>
          <t>compound inequality condition inline</t>
        </is>
      </c>
      <c r="F648" t="b">
        <v>0</v>
      </c>
    </row>
    <row r="649">
      <c r="A649" t="inlineStr">
        <is>
          <t>financialwell</t>
        </is>
      </c>
      <c r="B649" t="inlineStr">
        <is>
          <t>/Users/manczg/Documents/development/financialwell/FinancialWell/Models/ModelCurrencies.swift</t>
        </is>
      </c>
      <c r="C649" t="inlineStr">
        <is>
          <t>clarity-09</t>
        </is>
      </c>
      <c r="D649" t="n">
        <v>124</v>
      </c>
      <c r="E649" t="inlineStr">
        <is>
          <t>compound inequality condition inline</t>
        </is>
      </c>
      <c r="F649" t="b">
        <v>0</v>
      </c>
    </row>
    <row r="650">
      <c r="A650" t="inlineStr">
        <is>
          <t>financialwell</t>
        </is>
      </c>
      <c r="B650" t="inlineStr">
        <is>
          <t>/Users/manczg/Documents/development/financialwell/FinancialWell/Models/ModelCurrencies.swift</t>
        </is>
      </c>
      <c r="C650" t="inlineStr">
        <is>
          <t>clarity-09</t>
        </is>
      </c>
      <c r="D650" t="n">
        <v>134</v>
      </c>
      <c r="E650" t="inlineStr">
        <is>
          <t>compound inequality condition inline</t>
        </is>
      </c>
      <c r="F650" t="b">
        <v>0</v>
      </c>
    </row>
    <row r="651">
      <c r="A651" t="inlineStr">
        <is>
          <t>financialwell</t>
        </is>
      </c>
      <c r="B651" t="inlineStr">
        <is>
          <t>/Users/manczg/Documents/development/financialwell/FinancialWell/Models/ModelCurrencies.swift</t>
        </is>
      </c>
      <c r="C651" t="inlineStr">
        <is>
          <t>clarity-09</t>
        </is>
      </c>
      <c r="D651" t="n">
        <v>150</v>
      </c>
      <c r="E651" t="inlineStr">
        <is>
          <t>compound inequality condition inline</t>
        </is>
      </c>
      <c r="F651" t="b">
        <v>0</v>
      </c>
    </row>
    <row r="652">
      <c r="A652" t="inlineStr">
        <is>
          <t>financialwell</t>
        </is>
      </c>
      <c r="B652" t="inlineStr">
        <is>
          <t>/Users/manczg/Documents/development/financialwell/FinancialWell/Models/ModelCurrencies.swift</t>
        </is>
      </c>
      <c r="C652" t="inlineStr">
        <is>
          <t>clarity-09</t>
        </is>
      </c>
      <c r="D652" t="n">
        <v>214</v>
      </c>
      <c r="E652" t="inlineStr">
        <is>
          <t>3-clause OR condition not extracted</t>
        </is>
      </c>
      <c r="F652" t="b">
        <v>1</v>
      </c>
    </row>
    <row r="653">
      <c r="A653" t="inlineStr">
        <is>
          <t>financialwell</t>
        </is>
      </c>
      <c r="B653" t="inlineStr">
        <is>
          <t>/Users/manczg/Documents/development/financialwell/FinancialWell/Models/ModelCurrencies.swift</t>
        </is>
      </c>
      <c r="C653" t="inlineStr">
        <is>
          <t>clarity-09</t>
        </is>
      </c>
      <c r="D653" t="n">
        <v>276</v>
      </c>
      <c r="E653" t="inlineStr">
        <is>
          <t>3-clause OR condition duplicated from line 214</t>
        </is>
      </c>
      <c r="F653" t="b">
        <v>1</v>
      </c>
    </row>
    <row r="654">
      <c r="A654" t="inlineStr">
        <is>
          <t>financialwell</t>
        </is>
      </c>
      <c r="B654" t="inlineStr">
        <is>
          <t>/Users/manczg/Documents/development/financialwell/FinancialWell/Models/ModelCurrencies.swift</t>
        </is>
      </c>
      <c r="C654" t="inlineStr">
        <is>
          <t>clarity-09</t>
        </is>
      </c>
      <c r="D654" t="n">
        <v>489</v>
      </c>
      <c r="E654" t="inlineStr">
        <is>
          <t>compound guard condition inline</t>
        </is>
      </c>
      <c r="F654" t="b">
        <v>0</v>
      </c>
    </row>
    <row r="655">
      <c r="A655" t="inlineStr">
        <is>
          <t>financialwell</t>
        </is>
      </c>
      <c r="B655" t="inlineStr">
        <is>
          <t>/Users/manczg/Documents/development/financialwell/FinancialWell/Models/ModelCurrencies.swift</t>
        </is>
      </c>
      <c r="C655" t="inlineStr">
        <is>
          <t>clarity-16</t>
        </is>
      </c>
      <c r="D655" t="n">
        <v>78</v>
      </c>
      <c r="E655" t="inlineStr">
        <is>
          <t>exchange() has ~20 branches across nested ifs and guards</t>
        </is>
      </c>
      <c r="F655" t="b">
        <v>1</v>
      </c>
    </row>
    <row r="656">
      <c r="A656" t="inlineStr">
        <is>
          <t>financialwell</t>
        </is>
      </c>
      <c r="B656" t="inlineStr">
        <is>
          <t>/Users/manczg/Documents/development/financialwell/FinancialWell/Models/ModelCurrencies.swift</t>
        </is>
      </c>
      <c r="C656" t="inlineStr">
        <is>
          <t>clarity-16</t>
        </is>
      </c>
      <c r="D656" t="n">
        <v>439</v>
      </c>
      <c r="E656" t="inlineStr">
        <is>
          <t>updateBaseCurrency deeply nested if/for/if with multiple exits</t>
        </is>
      </c>
      <c r="F656" t="b">
        <v>0</v>
      </c>
    </row>
    <row r="657">
      <c r="A657" t="inlineStr">
        <is>
          <t>financialwell</t>
        </is>
      </c>
      <c r="B657" t="inlineStr">
        <is>
          <t>/Users/manczg/Documents/development/financialwell/FinancialWell/Models/ModelCurrencies.swift</t>
        </is>
      </c>
      <c r="C657" t="inlineStr">
        <is>
          <t>clarity-16</t>
        </is>
      </c>
      <c r="D657" t="n">
        <v>287</v>
      </c>
      <c r="E657" t="inlineStr">
        <is>
          <t>serialize() nested loop with multiple conditionals</t>
        </is>
      </c>
      <c r="F657" t="b">
        <v>0</v>
      </c>
    </row>
    <row r="658">
      <c r="A658" t="inlineStr">
        <is>
          <t>financialwell</t>
        </is>
      </c>
      <c r="B658" t="inlineStr">
        <is>
          <t>/Users/manczg/Documents/development/financialwell/FinancialWell/Models/ModelCurrencies.swift</t>
        </is>
      </c>
      <c r="C658" t="inlineStr">
        <is>
          <t>clarity-16</t>
        </is>
      </c>
      <c r="D658" t="n">
        <v>192</v>
      </c>
      <c r="E658" t="inlineStr">
        <is>
          <t>loadAllCurrencies loop with many continue branches</t>
        </is>
      </c>
      <c r="F658" t="b">
        <v>0</v>
      </c>
    </row>
    <row r="659">
      <c r="A659" t="inlineStr">
        <is>
          <t>financialwell</t>
        </is>
      </c>
      <c r="B659" t="inlineStr">
        <is>
          <t>/Users/manczg/Documents/development/financialwell/FinancialWell/Models/ModelCurrencies.swift</t>
        </is>
      </c>
      <c r="C659" t="inlineStr">
        <is>
          <t>clarity-17</t>
        </is>
      </c>
      <c r="D659" t="n">
        <v>78</v>
      </c>
      <c r="E659" t="inlineStr">
        <is>
          <t>exchange() spans lines 78-161, ~84 lines</t>
        </is>
      </c>
      <c r="F659" t="b">
        <v>0</v>
      </c>
    </row>
    <row r="660">
      <c r="A660" t="inlineStr">
        <is>
          <t>financialwell</t>
        </is>
      </c>
      <c r="B660" t="inlineStr">
        <is>
          <t>/Users/manczg/Documents/development/financialwell/FinancialWell/Models/ModelCurrencies.swift</t>
        </is>
      </c>
      <c r="C660" t="inlineStr">
        <is>
          <t>clarity-17</t>
        </is>
      </c>
      <c r="D660" t="n">
        <v>368</v>
      </c>
      <c r="E660" t="inlineStr">
        <is>
          <t>fetch() spans lines 368-428, ~61 lines</t>
        </is>
      </c>
      <c r="F660" t="b">
        <v>0</v>
      </c>
    </row>
    <row r="661">
      <c r="A661" t="inlineStr">
        <is>
          <t>financialwell</t>
        </is>
      </c>
      <c r="B661" t="inlineStr">
        <is>
          <t>/Users/manczg/Documents/development/financialwell/FinancialWell/Models/ModelCurrencies.swift</t>
        </is>
      </c>
      <c r="C661" t="inlineStr">
        <is>
          <t>clarity-17</t>
        </is>
      </c>
      <c r="D661" t="n">
        <v>439</v>
      </c>
      <c r="E661" t="inlineStr">
        <is>
          <t>updateBaseCurrency spans lines 439-482, ~44 lines</t>
        </is>
      </c>
      <c r="F661" t="b">
        <v>0</v>
      </c>
    </row>
    <row r="662">
      <c r="A662" t="inlineStr">
        <is>
          <t>financialwell</t>
        </is>
      </c>
      <c r="B662" t="inlineStr">
        <is>
          <t>/Users/manczg/Documents/development/financialwell/FinancialWell/Models/ModelCurrencies.swift</t>
        </is>
      </c>
      <c r="C662" t="inlineStr">
        <is>
          <t>clarity-17</t>
        </is>
      </c>
      <c r="D662" t="n">
        <v>192</v>
      </c>
      <c r="E662" t="inlineStr">
        <is>
          <t>loadAllCurrencies spans lines 192-235, ~44 lines</t>
        </is>
      </c>
      <c r="F662" t="b">
        <v>0</v>
      </c>
    </row>
    <row r="663">
      <c r="A663" t="inlineStr">
        <is>
          <t>financialwell</t>
        </is>
      </c>
      <c r="B663" t="inlineStr">
        <is>
          <t>/Users/manczg/Documents/development/financialwell/FinancialWell/Models/ModelCurrencies.swift</t>
        </is>
      </c>
      <c r="C663" t="inlineStr">
        <is>
          <t>clarity-17</t>
        </is>
      </c>
      <c r="D663" t="n">
        <v>245</v>
      </c>
      <c r="E663" t="inlineStr">
        <is>
          <t>reloadCurrencyNames spans lines 245-285, ~41 lines</t>
        </is>
      </c>
      <c r="F663" t="b">
        <v>0</v>
      </c>
    </row>
    <row r="664">
      <c r="A664" t="inlineStr">
        <is>
          <t>financialwell</t>
        </is>
      </c>
      <c r="B664" t="inlineStr">
        <is>
          <t>/Users/manczg/Documents/development/financialwell/FinancialWell/Models/ModelCurrencies.swift</t>
        </is>
      </c>
      <c r="C664" t="inlineStr">
        <is>
          <t>clarity-17</t>
        </is>
      </c>
      <c r="D664" t="n">
        <v>287</v>
      </c>
      <c r="E664" t="inlineStr">
        <is>
          <t>serialize spans lines 287-326, ~40 lines</t>
        </is>
      </c>
      <c r="F664" t="b">
        <v>0</v>
      </c>
    </row>
    <row r="665">
      <c r="A665" t="inlineStr">
        <is>
          <t>financialwell</t>
        </is>
      </c>
      <c r="B665" t="inlineStr">
        <is>
          <t>/Users/manczg/Documents/development/financialwell/FinancialWell/Models/ModelCurrencies.swift</t>
        </is>
      </c>
      <c r="C665" t="inlineStr">
        <is>
          <t>clarity-17</t>
        </is>
      </c>
      <c r="D665" t="n">
        <v>328</v>
      </c>
      <c r="E665" t="inlineStr">
        <is>
          <t>localFetch spans lines 328-366, ~39 lines</t>
        </is>
      </c>
      <c r="F665" t="b">
        <v>0</v>
      </c>
    </row>
    <row r="666">
      <c r="A666" t="inlineStr">
        <is>
          <t>financialwell</t>
        </is>
      </c>
      <c r="B666" t="inlineStr">
        <is>
          <t>/Users/manczg/Documents/development/financialwell/FinancialWell/Models/ModelCurrencies.swift</t>
        </is>
      </c>
      <c r="C666" t="inlineStr">
        <is>
          <t>smells-01</t>
        </is>
      </c>
      <c r="D666" t="n">
        <v>1</v>
      </c>
      <c r="E666" t="inlineStr">
        <is>
          <t>file is 543 lines</t>
        </is>
      </c>
      <c r="F666" t="b">
        <v>0</v>
      </c>
    </row>
    <row r="667">
      <c r="A667" t="inlineStr">
        <is>
          <t>financialwell</t>
        </is>
      </c>
      <c r="B667" t="inlineStr">
        <is>
          <t>/Users/manczg/Documents/development/financialwell/FinancialWell/Models/ModelCurrencies.swift</t>
        </is>
      </c>
      <c r="C667" t="inlineStr">
        <is>
          <t>smells-02</t>
        </is>
      </c>
      <c r="D667" t="n">
        <v>69</v>
      </c>
      <c r="E667" t="inlineStr">
        <is>
          <t>exchange(from:value:toCurrencyCode:exchangePrice:) has 4 params</t>
        </is>
      </c>
      <c r="F667" t="b">
        <v>1</v>
      </c>
    </row>
    <row r="668">
      <c r="A668" t="inlineStr">
        <is>
          <t>financialwell</t>
        </is>
      </c>
      <c r="B668" t="inlineStr">
        <is>
          <t>/Users/manczg/Documents/development/financialwell/FinancialWell/Models/ModelCurrencies.swift</t>
        </is>
      </c>
      <c r="C668" t="inlineStr">
        <is>
          <t>smells-02</t>
        </is>
      </c>
      <c r="D668" t="n">
        <v>78</v>
      </c>
      <c r="E668" t="inlineStr">
        <is>
          <t>exchange(from:value:toCurrency:exchangePrice:) has 4 params</t>
        </is>
      </c>
      <c r="F668" t="b">
        <v>1</v>
      </c>
    </row>
    <row r="669">
      <c r="A669" t="inlineStr">
        <is>
          <t>financialwell</t>
        </is>
      </c>
      <c r="B669" t="inlineStr">
        <is>
          <t>/Users/manczg/Documents/development/financialwell/FinancialWell/Models/ModelCurrencies.swift</t>
        </is>
      </c>
      <c r="C669" t="inlineStr">
        <is>
          <t>smells-06</t>
        </is>
      </c>
      <c r="D669" t="n">
        <v>16</v>
      </c>
      <c r="E669" t="inlineStr">
        <is>
          <t>commented-out alternate fixer.io URL in trailing comment</t>
        </is>
      </c>
      <c r="F669" t="b">
        <v>0</v>
      </c>
    </row>
    <row r="670">
      <c r="A670" t="inlineStr">
        <is>
          <t>financialwell</t>
        </is>
      </c>
      <c r="B670" t="inlineStr">
        <is>
          <t>/Users/manczg/Documents/development/financialwell/FinancialWell/Models/ModelCurrencies.swift</t>
        </is>
      </c>
      <c r="C670" t="inlineStr">
        <is>
          <t>smells-06</t>
        </is>
      </c>
      <c r="D670" t="n">
        <v>18</v>
      </c>
      <c r="E670" t="inlineStr">
        <is>
          <t>commented-out alternate key "rates"</t>
        </is>
      </c>
      <c r="F670" t="b">
        <v>0</v>
      </c>
    </row>
    <row r="671">
      <c r="A671" t="inlineStr">
        <is>
          <t>financialwell</t>
        </is>
      </c>
      <c r="B671" t="inlineStr">
        <is>
          <t>/Users/manczg/Documents/development/financialwell/FinancialWell/Models/ModelCurrencies.swift</t>
        </is>
      </c>
      <c r="C671" t="inlineStr">
        <is>
          <t>smells-06</t>
        </is>
      </c>
      <c r="D671" t="n">
        <v>19</v>
      </c>
      <c r="E671" t="inlineStr">
        <is>
          <t>commented-out alternate key "base"</t>
        </is>
      </c>
      <c r="F671" t="b">
        <v>0</v>
      </c>
    </row>
    <row r="672">
      <c r="A672" t="inlineStr">
        <is>
          <t>financialwell</t>
        </is>
      </c>
      <c r="B672" t="inlineStr">
        <is>
          <t>/Users/manczg/Documents/development/financialwell/FinancialWell/Models/ModelCurrencies.swift</t>
        </is>
      </c>
      <c r="C672" t="inlineStr">
        <is>
          <t>smells-06</t>
        </is>
      </c>
      <c r="D672" t="n">
        <v>34</v>
      </c>
      <c r="E672" t="inlineStr">
        <is>
          <t>block of commented-out for loops with print debugging</t>
        </is>
      </c>
      <c r="F672" t="b">
        <v>1</v>
      </c>
    </row>
    <row r="673">
      <c r="A673" t="inlineStr">
        <is>
          <t>financialwell</t>
        </is>
      </c>
      <c r="B673" t="inlineStr">
        <is>
          <t>/Users/manczg/Documents/development/financialwell/FinancialWell/Models/ModelCurrencies.swift</t>
        </is>
      </c>
      <c r="C673" t="inlineStr">
        <is>
          <t>smells-06</t>
        </is>
      </c>
      <c r="D673" t="n">
        <v>225</v>
      </c>
      <c r="E673" t="inlineStr">
        <is>
          <t>commented-out debug print statement</t>
        </is>
      </c>
      <c r="F673" t="b">
        <v>1</v>
      </c>
    </row>
    <row r="674">
      <c r="A674" t="inlineStr">
        <is>
          <t>financialwell</t>
        </is>
      </c>
      <c r="B674" t="inlineStr">
        <is>
          <t>/Users/manczg/Documents/development/financialwell/FinancialWell/Models/ModelCurrencies.swift</t>
        </is>
      </c>
      <c r="C674" t="inlineStr">
        <is>
          <t>smells-06</t>
        </is>
      </c>
      <c r="D674" t="n">
        <v>230</v>
      </c>
      <c r="E674" t="inlineStr">
        <is>
          <t>commented-out debug print statement</t>
        </is>
      </c>
      <c r="F674" t="b">
        <v>1</v>
      </c>
    </row>
    <row r="675">
      <c r="A675" t="inlineStr">
        <is>
          <t>financialwell</t>
        </is>
      </c>
      <c r="B675" t="inlineStr">
        <is>
          <t>/Users/manczg/Documents/development/financialwell/FinancialWell/Models/ModelCurrencies.swift</t>
        </is>
      </c>
      <c r="C675" t="inlineStr">
        <is>
          <t>smells-06</t>
        </is>
      </c>
      <c r="D675" t="n">
        <v>293</v>
      </c>
      <c r="E675" t="inlineStr">
        <is>
          <t>commented-out debug print statement</t>
        </is>
      </c>
      <c r="F675" t="b">
        <v>1</v>
      </c>
    </row>
    <row r="676">
      <c r="A676" t="inlineStr">
        <is>
          <t>financialwell</t>
        </is>
      </c>
      <c r="B676" t="inlineStr">
        <is>
          <t>/Users/manczg/Documents/development/financialwell/FinancialWell/Models/ModelCurrencies.swift</t>
        </is>
      </c>
      <c r="C676" t="inlineStr">
        <is>
          <t>smells-08</t>
        </is>
      </c>
      <c r="D676" t="n">
        <v>69</v>
      </c>
      <c r="E676" t="inlineStr">
        <is>
          <t>returns Double? nil instead of throwing/typed error</t>
        </is>
      </c>
      <c r="F676" t="b">
        <v>0</v>
      </c>
    </row>
    <row r="677">
      <c r="A677" t="inlineStr">
        <is>
          <t>financialwell</t>
        </is>
      </c>
      <c r="B677" t="inlineStr">
        <is>
          <t>/Users/manczg/Documents/development/financialwell/FinancialWell/Models/ModelCurrencies.swift</t>
        </is>
      </c>
      <c r="C677" t="inlineStr">
        <is>
          <t>smells-08</t>
        </is>
      </c>
      <c r="D677" t="n">
        <v>78</v>
      </c>
      <c r="E677" t="inlineStr">
        <is>
          <t>returns Double? nil on multiple invalid-state paths</t>
        </is>
      </c>
      <c r="F677" t="b">
        <v>1</v>
      </c>
    </row>
    <row r="678">
      <c r="A678" t="inlineStr">
        <is>
          <t>financialwell</t>
        </is>
      </c>
      <c r="B678" t="inlineStr">
        <is>
          <t>/Users/manczg/Documents/development/financialwell/FinancialWell/Models/ModelCurrencies.swift</t>
        </is>
      </c>
      <c r="C678" t="inlineStr">
        <is>
          <t>smells-08</t>
        </is>
      </c>
      <c r="D678" t="n">
        <v>509</v>
      </c>
      <c r="E678" t="inlineStr">
        <is>
          <t>getCurrency returns Currency? nil forcing caller null-checks</t>
        </is>
      </c>
      <c r="F678" t="b">
        <v>1</v>
      </c>
    </row>
    <row r="679">
      <c r="A679" t="inlineStr">
        <is>
          <t>financialwell</t>
        </is>
      </c>
      <c r="B679" t="inlineStr">
        <is>
          <t>/Users/manczg/Documents/development/financialwell/FinancialWell/Models/ModelCurrencies.swift</t>
        </is>
      </c>
      <c r="C679" t="inlineStr">
        <is>
          <t>smells-10</t>
        </is>
      </c>
      <c r="D679" t="n">
        <v>197</v>
      </c>
      <c r="E679" t="inlineStr">
        <is>
          <t>LanguageManager.shared.effectiveLanguageCode chain</t>
        </is>
      </c>
      <c r="F679" t="b">
        <v>0</v>
      </c>
    </row>
    <row r="680">
      <c r="A680" t="inlineStr">
        <is>
          <t>financialwell</t>
        </is>
      </c>
      <c r="B680" t="inlineStr">
        <is>
          <t>/Users/manczg/Documents/development/financialwell/FinancialWell/Models/ModelCurrencies.swift</t>
        </is>
      </c>
      <c r="C680" t="inlineStr">
        <is>
          <t>smells-10</t>
        </is>
      </c>
      <c r="D680" t="n">
        <v>246</v>
      </c>
      <c r="E680" t="inlineStr">
        <is>
          <t>LanguageManager.shared.effectiveLanguageCode chain</t>
        </is>
      </c>
      <c r="F680" t="b">
        <v>0</v>
      </c>
    </row>
    <row r="681">
      <c r="A681" t="inlineStr">
        <is>
          <t>financialwell</t>
        </is>
      </c>
      <c r="B681" t="inlineStr">
        <is>
          <t>/Users/manczg/Documents/development/financialwell/FinancialWell/Models/ModelCurrencies.swift</t>
        </is>
      </c>
      <c r="C681" t="inlineStr">
        <is>
          <t>smells-10</t>
        </is>
      </c>
      <c r="D681" t="n">
        <v>538</v>
      </c>
      <c r="E681" t="inlineStr">
        <is>
          <t>ModelManager.shared.currencies.getCurrency(ModelManager.shared.locationService.getCountry()) reaches through multiple objects</t>
        </is>
      </c>
      <c r="F681" t="b">
        <v>1</v>
      </c>
    </row>
    <row r="682">
      <c r="A682" t="inlineStr">
        <is>
          <t>financialwell</t>
        </is>
      </c>
      <c r="B682" t="inlineStr">
        <is>
          <t>/Users/manczg/Documents/development/financialwell/FinancialWell/Models/ModelCurrencies.swift</t>
        </is>
      </c>
      <c r="C682" t="inlineStr">
        <is>
          <t>smells-12</t>
        </is>
      </c>
      <c r="D682" t="n">
        <v>343</v>
      </c>
      <c r="E682" t="inlineStr">
        <is>
          <t>empty catch {} swallows file-copy error silently</t>
        </is>
      </c>
      <c r="F682" t="b">
        <v>1</v>
      </c>
    </row>
    <row r="683">
      <c r="A683" t="inlineStr">
        <is>
          <t>financialwell</t>
        </is>
      </c>
      <c r="B683" t="inlineStr">
        <is>
          <t>/Users/manczg/Documents/development/financialwell/FinancialWell/Models/ModelCurrencies.swift</t>
        </is>
      </c>
      <c r="C683" t="inlineStr">
        <is>
          <t>smells-21</t>
        </is>
      </c>
      <c r="D683" t="n">
        <v>289</v>
      </c>
      <c r="E683" t="inlineStr">
        <is>
          <t>loose AnyObject typing for parsed JSON instead of a concrete model</t>
        </is>
      </c>
      <c r="F683" t="b">
        <v>0</v>
      </c>
    </row>
    <row r="684">
      <c r="A684" t="inlineStr">
        <is>
          <t>financialwell</t>
        </is>
      </c>
      <c r="B684" t="inlineStr">
        <is>
          <t>/Users/manczg/Documents/development/financialwell/FinancialWell/Models/ModelCurrencies.swift</t>
        </is>
      </c>
      <c r="C684" t="inlineStr">
        <is>
          <t>smells-21</t>
        </is>
      </c>
      <c r="D684" t="n">
        <v>306</v>
      </c>
      <c r="E684" t="inlineStr">
        <is>
          <t>force cast `as! Double` on untrusted JSON value</t>
        </is>
      </c>
      <c r="F684" t="b">
        <v>0</v>
      </c>
    </row>
    <row r="685">
      <c r="A685" t="inlineStr">
        <is>
          <t>financialwell</t>
        </is>
      </c>
      <c r="B685" t="inlineStr">
        <is>
          <t>/Users/manczg/Documents/development/financialwell/FinancialWell/Models/ModelCurrencies.swift</t>
        </is>
      </c>
      <c r="C685" t="inlineStr">
        <is>
          <t>solid-06</t>
        </is>
      </c>
      <c r="D685" t="n">
        <v>13</v>
      </c>
      <c r="E685" t="inlineStr">
        <is>
          <t>var base is internal-scope mutable field, no encapsulation</t>
        </is>
      </c>
      <c r="F685" t="b">
        <v>1</v>
      </c>
    </row>
    <row r="686">
      <c r="A686" t="inlineStr">
        <is>
          <t>financialwell</t>
        </is>
      </c>
      <c r="B686" t="inlineStr">
        <is>
          <t>/Users/manczg/Documents/development/financialwell/FinancialWell/Models/ModelCurrencies.swift</t>
        </is>
      </c>
      <c r="C686" t="inlineStr">
        <is>
          <t>solid-06</t>
        </is>
      </c>
      <c r="D686" t="n">
        <v>14</v>
      </c>
      <c r="E686" t="inlineStr">
        <is>
          <t>var baseNumberFormatter directly mutable</t>
        </is>
      </c>
      <c r="F686" t="b">
        <v>1</v>
      </c>
    </row>
    <row r="687">
      <c r="A687" t="inlineStr">
        <is>
          <t>financialwell</t>
        </is>
      </c>
      <c r="B687" t="inlineStr">
        <is>
          <t>/Users/manczg/Documents/development/financialwell/FinancialWell/Models/ModelCurrencies.swift</t>
        </is>
      </c>
      <c r="C687" t="inlineStr">
        <is>
          <t>solid-06</t>
        </is>
      </c>
      <c r="D687" t="n">
        <v>15</v>
      </c>
      <c r="E687" t="inlineStr">
        <is>
          <t>var useInverse directly mutable</t>
        </is>
      </c>
      <c r="F687" t="b">
        <v>1</v>
      </c>
    </row>
    <row r="688">
      <c r="A688" t="inlineStr">
        <is>
          <t>financialwell</t>
        </is>
      </c>
      <c r="B688" t="inlineStr">
        <is>
          <t>/Users/manczg/Documents/development/financialwell/FinancialWell/Models/ModelCurrencies.swift</t>
        </is>
      </c>
      <c r="C688" t="inlineStr">
        <is>
          <t>solid-06</t>
        </is>
      </c>
      <c r="D688" t="n">
        <v>21</v>
      </c>
      <c r="E688" t="inlineStr">
        <is>
          <t>static var regionCurrency directly mutable</t>
        </is>
      </c>
      <c r="F688" t="b">
        <v>1</v>
      </c>
    </row>
    <row r="689">
      <c r="A689" t="inlineStr">
        <is>
          <t>financialwell</t>
        </is>
      </c>
      <c r="B689" t="inlineStr">
        <is>
          <t>/Users/manczg/Documents/development/financialwell/FinancialWell/Models/ModelCurrencies.swift</t>
        </is>
      </c>
      <c r="C689" t="inlineStr">
        <is>
          <t>solid-06</t>
        </is>
      </c>
      <c r="D689" t="n">
        <v>22</v>
      </c>
      <c r="E689" t="inlineStr">
        <is>
          <t>static var allCurrencies directly mutable</t>
        </is>
      </c>
      <c r="F689" t="b">
        <v>1</v>
      </c>
    </row>
    <row r="690">
      <c r="A690" t="inlineStr">
        <is>
          <t>financialwell</t>
        </is>
      </c>
      <c r="B690" t="inlineStr">
        <is>
          <t>/Users/manczg/Documents/development/financialwell/FinancialWell/Models/ModelCurrencies.swift</t>
        </is>
      </c>
      <c r="C690" t="inlineStr">
        <is>
          <t>solid-06</t>
        </is>
      </c>
      <c r="D690" t="n">
        <v>23</v>
      </c>
      <c r="E690" t="inlineStr">
        <is>
          <t>var currencyDict directly mutable</t>
        </is>
      </c>
      <c r="F690" t="b">
        <v>1</v>
      </c>
    </row>
    <row r="691">
      <c r="A691" t="inlineStr">
        <is>
          <t>financialwell</t>
        </is>
      </c>
      <c r="B691" t="inlineStr">
        <is>
          <t>/Users/manczg/Documents/development/financialwell/FinancialWell/Models/ModelCurrencies.swift</t>
        </is>
      </c>
      <c r="C691" t="inlineStr">
        <is>
          <t>solid-06</t>
        </is>
      </c>
      <c r="D691" t="n">
        <v>24</v>
      </c>
      <c r="E691" t="inlineStr">
        <is>
          <t>var currencyArray directly mutable</t>
        </is>
      </c>
      <c r="F691" t="b">
        <v>1</v>
      </c>
    </row>
    <row r="692">
      <c r="A692" t="inlineStr">
        <is>
          <t>financialwell</t>
        </is>
      </c>
      <c r="B692" t="inlineStr">
        <is>
          <t>/Users/manczg/Documents/development/financialwell/FinancialWell/Models/ModelCurrencies.swift</t>
        </is>
      </c>
      <c r="C692" t="inlineStr">
        <is>
          <t>solid-06</t>
        </is>
      </c>
      <c r="D692" t="n">
        <v>25</v>
      </c>
      <c r="E692" t="inlineStr">
        <is>
          <t>var currencyDG directly mutable</t>
        </is>
      </c>
      <c r="F692" t="b">
        <v>1</v>
      </c>
    </row>
    <row r="693">
      <c r="A693" t="inlineStr">
        <is>
          <t>financialwell</t>
        </is>
      </c>
      <c r="B693" t="inlineStr">
        <is>
          <t>/Users/manczg/Documents/development/financialwell/FinancialWell/Models/ModelCurrencies.swift</t>
        </is>
      </c>
      <c r="C693" t="inlineStr">
        <is>
          <t>solid-06</t>
        </is>
      </c>
      <c r="D693" t="n">
        <v>26</v>
      </c>
      <c r="E693" t="inlineStr">
        <is>
          <t>var waitForCurrencyDG directly mutable</t>
        </is>
      </c>
      <c r="F693" t="b">
        <v>1</v>
      </c>
    </row>
    <row r="694">
      <c r="A694" t="inlineStr">
        <is>
          <t>financialwell</t>
        </is>
      </c>
      <c r="B694" t="inlineStr">
        <is>
          <t>/Users/manczg/Documents/development/financialwell/FinancialWell/Models/ModelCurrencies.swift</t>
        </is>
      </c>
      <c r="C694" t="inlineStr">
        <is>
          <t>solid-07</t>
        </is>
      </c>
      <c r="D694" t="n">
        <v>86</v>
      </c>
      <c r="E694" t="inlineStr">
        <is>
          <t>raw "EUR" string literal used as currency identity</t>
        </is>
      </c>
      <c r="F694" t="b">
        <v>0</v>
      </c>
    </row>
    <row r="695">
      <c r="A695" t="inlineStr">
        <is>
          <t>financialwell</t>
        </is>
      </c>
      <c r="B695" t="inlineStr">
        <is>
          <t>/Users/manczg/Documents/development/financialwell/FinancialWell/Models/ModelCurrencies.swift</t>
        </is>
      </c>
      <c r="C695" t="inlineStr">
        <is>
          <t>solid-07</t>
        </is>
      </c>
      <c r="D695" t="n">
        <v>88</v>
      </c>
      <c r="E695" t="inlineStr">
        <is>
          <t>raw "EUR" string literal comparison</t>
        </is>
      </c>
      <c r="F695" t="b">
        <v>0</v>
      </c>
    </row>
    <row r="696">
      <c r="A696" t="inlineStr">
        <is>
          <t>financialwell</t>
        </is>
      </c>
      <c r="B696" t="inlineStr">
        <is>
          <t>/Users/manczg/Documents/development/financialwell/FinancialWell/Models/ModelCurrencies.swift</t>
        </is>
      </c>
      <c r="C696" t="inlineStr">
        <is>
          <t>solid-07</t>
        </is>
      </c>
      <c r="D696" t="n">
        <v>100</v>
      </c>
      <c r="E696" t="inlineStr">
        <is>
          <t>raw "EUR" string literal comparison</t>
        </is>
      </c>
      <c r="F696" t="b">
        <v>0</v>
      </c>
    </row>
    <row r="697">
      <c r="A697" t="inlineStr">
        <is>
          <t>financialwell</t>
        </is>
      </c>
      <c r="B697" t="inlineStr">
        <is>
          <t>/Users/manczg/Documents/development/financialwell/FinancialWell/Models/ModelCurrencies.swift</t>
        </is>
      </c>
      <c r="C697" t="inlineStr">
        <is>
          <t>solid-07</t>
        </is>
      </c>
      <c r="D697" t="n">
        <v>110</v>
      </c>
      <c r="E697" t="inlineStr">
        <is>
          <t>currency code compared as bare String</t>
        </is>
      </c>
      <c r="F697" t="b">
        <v>0</v>
      </c>
    </row>
    <row r="698">
      <c r="A698" t="inlineStr">
        <is>
          <t>financialwell</t>
        </is>
      </c>
      <c r="B698" t="inlineStr">
        <is>
          <t>/Users/manczg/Documents/development/financialwell/FinancialWell/Models/ModelCurrencies.swift</t>
        </is>
      </c>
      <c r="C698" t="inlineStr">
        <is>
          <t>solid-07</t>
        </is>
      </c>
      <c r="D698" t="n">
        <v>124</v>
      </c>
      <c r="E698" t="inlineStr">
        <is>
          <t>raw "EUR" string literal comparison</t>
        </is>
      </c>
      <c r="F698" t="b">
        <v>0</v>
      </c>
    </row>
    <row r="699">
      <c r="A699" t="inlineStr">
        <is>
          <t>financialwell</t>
        </is>
      </c>
      <c r="B699" t="inlineStr">
        <is>
          <t>/Users/manczg/Documents/development/financialwell/FinancialWell/Models/ModelCurrencies.swift</t>
        </is>
      </c>
      <c r="C699" t="inlineStr">
        <is>
          <t>solid-07</t>
        </is>
      </c>
      <c r="D699" t="n">
        <v>134</v>
      </c>
      <c r="E699" t="inlineStr">
        <is>
          <t>currency code compared as bare String</t>
        </is>
      </c>
      <c r="F699" t="b">
        <v>0</v>
      </c>
    </row>
    <row r="700">
      <c r="A700" t="inlineStr">
        <is>
          <t>financialwell</t>
        </is>
      </c>
      <c r="B700" t="inlineStr">
        <is>
          <t>/Users/manczg/Documents/development/financialwell/FinancialWell/Models/ModelCurrencies.swift</t>
        </is>
      </c>
      <c r="C700" t="inlineStr">
        <is>
          <t>solid-08</t>
        </is>
      </c>
      <c r="D700" t="n">
        <v>14</v>
      </c>
      <c r="E700" t="inlineStr">
        <is>
          <t>baseNumberFormatter is a class instance never reassigned, could be let</t>
        </is>
      </c>
      <c r="F700" t="b">
        <v>1</v>
      </c>
    </row>
    <row r="701">
      <c r="A701" t="inlineStr">
        <is>
          <t>financialwell</t>
        </is>
      </c>
      <c r="B701" t="inlineStr">
        <is>
          <t>/Users/manczg/Documents/development/financialwell/FinancialWell/Models/ModelCurrencies.swift</t>
        </is>
      </c>
      <c r="C701" t="inlineStr">
        <is>
          <t>solid-08</t>
        </is>
      </c>
      <c r="D701" t="n">
        <v>25</v>
      </c>
      <c r="E701" t="inlineStr">
        <is>
          <t>currencyDG is a class instance never reassigned, could be let</t>
        </is>
      </c>
      <c r="F701" t="b">
        <v>1</v>
      </c>
    </row>
    <row r="702">
      <c r="A702" t="inlineStr">
        <is>
          <t>financialwell</t>
        </is>
      </c>
      <c r="B702" t="inlineStr">
        <is>
          <t>/Users/manczg/Documents/development/financialwell/FinancialWell/Models/ModelCurrencies.swift</t>
        </is>
      </c>
      <c r="C702" t="inlineStr">
        <is>
          <t>solid-09</t>
        </is>
      </c>
      <c r="D702" t="n">
        <v>21</v>
      </c>
      <c r="E702" t="inlineStr">
        <is>
          <t>static var regionCurrency is global mutable shared state</t>
        </is>
      </c>
      <c r="F702" t="b">
        <v>1</v>
      </c>
    </row>
    <row r="703">
      <c r="A703" t="inlineStr">
        <is>
          <t>financialwell</t>
        </is>
      </c>
      <c r="B703" t="inlineStr">
        <is>
          <t>/Users/manczg/Documents/development/financialwell/FinancialWell/Models/ModelCurrencies.swift</t>
        </is>
      </c>
      <c r="C703" t="inlineStr">
        <is>
          <t>solid-09</t>
        </is>
      </c>
      <c r="D703" t="n">
        <v>22</v>
      </c>
      <c r="E703" t="inlineStr">
        <is>
          <t>static var allCurrencies is global mutable shared state</t>
        </is>
      </c>
      <c r="F703" t="b">
        <v>1</v>
      </c>
    </row>
    <row r="704">
      <c r="A704" t="inlineStr">
        <is>
          <t>financialwell</t>
        </is>
      </c>
      <c r="B704" t="inlineStr">
        <is>
          <t>/Users/manczg/Documents/development/financialwell/FinancialWell/Models/ModelCurrencies.swift</t>
        </is>
      </c>
      <c r="C704" t="inlineStr">
        <is>
          <t>solid-10</t>
        </is>
      </c>
      <c r="D704" t="n">
        <v>12</v>
      </c>
      <c r="E704" t="inlineStr">
        <is>
          <t>FileManagerWrapper.shared singleton hardcoded instead of injected</t>
        </is>
      </c>
      <c r="F704" t="b">
        <v>0</v>
      </c>
    </row>
    <row r="705">
      <c r="A705" t="inlineStr">
        <is>
          <t>financialwell</t>
        </is>
      </c>
      <c r="B705" t="inlineStr">
        <is>
          <t>/Users/manczg/Documents/development/financialwell/FinancialWell/Models/ModelCurrencies.swift</t>
        </is>
      </c>
      <c r="C705" t="inlineStr">
        <is>
          <t>solid-10</t>
        </is>
      </c>
      <c r="D705" t="n">
        <v>193</v>
      </c>
      <c r="E705" t="inlineStr">
        <is>
          <t>PerformanceLogger() instantiated directly inside method</t>
        </is>
      </c>
      <c r="F705" t="b">
        <v>1</v>
      </c>
    </row>
    <row r="706">
      <c r="A706" t="inlineStr">
        <is>
          <t>financialwell</t>
        </is>
      </c>
      <c r="B706" t="inlineStr">
        <is>
          <t>/Users/manczg/Documents/development/financialwell/FinancialWell/Models/ModelCurrencies.swift</t>
        </is>
      </c>
      <c r="C706" t="inlineStr">
        <is>
          <t>solid-10</t>
        </is>
      </c>
      <c r="D706" t="n">
        <v>329</v>
      </c>
      <c r="E706" t="inlineStr">
        <is>
          <t>PerformanceLogger() instantiated directly inside method</t>
        </is>
      </c>
      <c r="F706" t="b">
        <v>1</v>
      </c>
    </row>
    <row r="707">
      <c r="A707" t="inlineStr">
        <is>
          <t>financialwell</t>
        </is>
      </c>
      <c r="B707" t="inlineStr">
        <is>
          <t>/Users/manczg/Documents/development/financialwell/FinancialWell/Models/ModelCurrencies.swift</t>
        </is>
      </c>
      <c r="C707" t="inlineStr">
        <is>
          <t>solid-10</t>
        </is>
      </c>
      <c r="D707" t="n">
        <v>369</v>
      </c>
      <c r="E707" t="inlineStr">
        <is>
          <t>PerformanceLogger() instantiated directly inside method</t>
        </is>
      </c>
      <c r="F707" t="b">
        <v>1</v>
      </c>
    </row>
    <row r="708">
      <c r="A708" t="inlineStr">
        <is>
          <t>financialwell</t>
        </is>
      </c>
      <c r="B708" t="inlineStr">
        <is>
          <t>/Users/manczg/Documents/development/financialwell/FinancialWell/Models/ModelCurrencies.swift</t>
        </is>
      </c>
      <c r="C708" t="inlineStr">
        <is>
          <t>solid-10</t>
        </is>
      </c>
      <c r="D708" t="n">
        <v>378</v>
      </c>
      <c r="E708" t="inlineStr">
        <is>
          <t>URLSession.shared singleton hardcoded instead of injected</t>
        </is>
      </c>
      <c r="F708" t="b">
        <v>0</v>
      </c>
    </row>
    <row r="709">
      <c r="A709" t="inlineStr">
        <is>
          <t>financialwell</t>
        </is>
      </c>
      <c r="B709" t="inlineStr">
        <is>
          <t>/Users/manczg/Documents/development/financialwell/FinancialWell/Models/ModelCurrencies.swift</t>
        </is>
      </c>
      <c r="C709" t="inlineStr">
        <is>
          <t>solid-12</t>
        </is>
      </c>
      <c r="D709" t="n">
        <v>57</v>
      </c>
      <c r="E709" t="inlineStr">
        <is>
          <t>AppLog.assertion call embedded in domain method isBase</t>
        </is>
      </c>
      <c r="F709" t="b">
        <v>0</v>
      </c>
    </row>
    <row r="710">
      <c r="A710" t="inlineStr">
        <is>
          <t>financialwell</t>
        </is>
      </c>
      <c r="B710" t="inlineStr">
        <is>
          <t>/Users/manczg/Documents/development/financialwell/FinancialWell/Models/ModelCurrencies.swift</t>
        </is>
      </c>
      <c r="C710" t="inlineStr">
        <is>
          <t>solid-12</t>
        </is>
      </c>
      <c r="D710" t="n">
        <v>64</v>
      </c>
      <c r="E710" t="inlineStr">
        <is>
          <t>AppLog.assertion call embedded in domain method isBase</t>
        </is>
      </c>
      <c r="F710" t="b">
        <v>0</v>
      </c>
    </row>
    <row r="711">
      <c r="A711" t="inlineStr">
        <is>
          <t>financialwell</t>
        </is>
      </c>
      <c r="B711" t="inlineStr">
        <is>
          <t>/Users/manczg/Documents/development/financialwell/FinancialWell/Models/ModelCurrencies.swift</t>
        </is>
      </c>
      <c r="C711" t="inlineStr">
        <is>
          <t>solid-12</t>
        </is>
      </c>
      <c r="D711" t="n">
        <v>166</v>
      </c>
      <c r="E711" t="inlineStr">
        <is>
          <t>AppLog.warning embedded in getCountryName</t>
        </is>
      </c>
      <c r="F711" t="b">
        <v>1</v>
      </c>
    </row>
    <row r="712">
      <c r="A712" t="inlineStr">
        <is>
          <t>financialwell</t>
        </is>
      </c>
      <c r="B712" t="inlineStr">
        <is>
          <t>/Users/manczg/Documents/development/financialwell/FinancialWell/Models/ModelCurrencies.swift</t>
        </is>
      </c>
      <c r="C712" t="inlineStr">
        <is>
          <t>solid-12</t>
        </is>
      </c>
      <c r="D712" t="n">
        <v>183</v>
      </c>
      <c r="E712" t="inlineStr">
        <is>
          <t>AppLog.warning embedded in getCountryName</t>
        </is>
      </c>
      <c r="F712" t="b">
        <v>1</v>
      </c>
    </row>
    <row r="713">
      <c r="A713" t="inlineStr">
        <is>
          <t>financialwell</t>
        </is>
      </c>
      <c r="B713" t="inlineStr">
        <is>
          <t>/Users/manczg/Documents/development/financialwell/FinancialWell/Models/ModelCurrencies.swift</t>
        </is>
      </c>
      <c r="C713" t="inlineStr">
        <is>
          <t>solid-12</t>
        </is>
      </c>
      <c r="D713" t="n">
        <v>290</v>
      </c>
      <c r="E713" t="inlineStr">
        <is>
          <t>AppLog.fail embedded in serialize</t>
        </is>
      </c>
      <c r="F713" t="b">
        <v>1</v>
      </c>
    </row>
    <row r="714">
      <c r="A714" t="inlineStr">
        <is>
          <t>financialwell</t>
        </is>
      </c>
      <c r="B714" t="inlineStr">
        <is>
          <t>/Users/manczg/Documents/development/financialwell/FinancialWell/Models/ModelCurrencies.swift</t>
        </is>
      </c>
      <c r="C714" t="inlineStr">
        <is>
          <t>solid-12</t>
        </is>
      </c>
      <c r="D714" t="n">
        <v>321</v>
      </c>
      <c r="E714" t="inlineStr">
        <is>
          <t>AppLog.fail embedded in serialize</t>
        </is>
      </c>
      <c r="F714" t="b">
        <v>1</v>
      </c>
    </row>
    <row r="715">
      <c r="A715" t="inlineStr">
        <is>
          <t>financialwell</t>
        </is>
      </c>
      <c r="B715" t="inlineStr">
        <is>
          <t>/Users/manczg/Documents/development/financialwell/FinancialWell/Models/ModelCurrencies.swift</t>
        </is>
      </c>
      <c r="C715" t="inlineStr">
        <is>
          <t>solid-12</t>
        </is>
      </c>
      <c r="D715" t="n">
        <v>358</v>
      </c>
      <c r="E715" t="inlineStr">
        <is>
          <t>AppLog.fail embedded in localFetch</t>
        </is>
      </c>
      <c r="F715" t="b">
        <v>1</v>
      </c>
    </row>
    <row r="716">
      <c r="A716" t="inlineStr">
        <is>
          <t>financialwell</t>
        </is>
      </c>
      <c r="B716" t="inlineStr">
        <is>
          <t>/Users/manczg/Documents/development/financialwell/FinancialWell/Models/ModelCurrencies.swift</t>
        </is>
      </c>
      <c r="C716" t="inlineStr">
        <is>
          <t>solid-12</t>
        </is>
      </c>
      <c r="D716" t="n">
        <v>381</v>
      </c>
      <c r="E716" t="inlineStr">
        <is>
          <t>AppLog.fail embedded in fetch completion handler</t>
        </is>
      </c>
      <c r="F716" t="b">
        <v>1</v>
      </c>
    </row>
    <row r="717">
      <c r="A717" t="inlineStr">
        <is>
          <t>financialwell</t>
        </is>
      </c>
      <c r="B717" t="inlineStr">
        <is>
          <t>/Users/manczg/Documents/development/financialwell/FinancialWell/Models/ModelCurrencies.swift</t>
        </is>
      </c>
      <c r="C717" t="inlineStr">
        <is>
          <t>solid-12</t>
        </is>
      </c>
      <c r="D717" t="n">
        <v>388</v>
      </c>
      <c r="E717" t="inlineStr">
        <is>
          <t>AppLog.fail embedded in fetch completion handler</t>
        </is>
      </c>
      <c r="F717" t="b">
        <v>1</v>
      </c>
    </row>
    <row r="718">
      <c r="A718" t="inlineStr">
        <is>
          <t>financialwell</t>
        </is>
      </c>
      <c r="B718" t="inlineStr">
        <is>
          <t>/Users/manczg/Documents/development/financialwell/FinancialWell/Models/ModelCurrencies.swift</t>
        </is>
      </c>
      <c r="C718" t="inlineStr">
        <is>
          <t>solid-12</t>
        </is>
      </c>
      <c r="D718" t="n">
        <v>395</v>
      </c>
      <c r="E718" t="inlineStr">
        <is>
          <t>AppLog.warning embedded in fetch completion handler</t>
        </is>
      </c>
      <c r="F718" t="b">
        <v>1</v>
      </c>
    </row>
    <row r="719">
      <c r="A719" t="inlineStr">
        <is>
          <t>financialwell</t>
        </is>
      </c>
      <c r="B719" t="inlineStr">
        <is>
          <t>/Users/manczg/Documents/development/financialwell/FinancialWell/Models/ModelCurrencies.swift</t>
        </is>
      </c>
      <c r="C719" t="inlineStr">
        <is>
          <t>solid-12</t>
        </is>
      </c>
      <c r="D719" t="n">
        <v>403</v>
      </c>
      <c r="E719" t="inlineStr">
        <is>
          <t>AppLog.warning embedded in fetch completion handler</t>
        </is>
      </c>
      <c r="F719" t="b">
        <v>1</v>
      </c>
    </row>
    <row r="720">
      <c r="A720" t="inlineStr">
        <is>
          <t>financialwell</t>
        </is>
      </c>
      <c r="B720" t="inlineStr">
        <is>
          <t>/Users/manczg/Documents/development/financialwell/FinancialWell/Models/ModelCurrencies.swift</t>
        </is>
      </c>
      <c r="C720" t="inlineStr">
        <is>
          <t>solid-12</t>
        </is>
      </c>
      <c r="D720" t="n">
        <v>412</v>
      </c>
      <c r="E720" t="inlineStr">
        <is>
          <t>AppLog.fail embedded in fetch completion handler</t>
        </is>
      </c>
      <c r="F720" t="b">
        <v>1</v>
      </c>
    </row>
    <row r="721">
      <c r="A721" t="inlineStr">
        <is>
          <t>financialwell</t>
        </is>
      </c>
      <c r="B721" t="inlineStr">
        <is>
          <t>/Users/manczg/Documents/development/financialwell/FinancialWell/Models/ModelCurrencies.swift</t>
        </is>
      </c>
      <c r="C721" t="inlineStr">
        <is>
          <t>solid-12</t>
        </is>
      </c>
      <c r="D721" t="n">
        <v>424</v>
      </c>
      <c r="E721" t="inlineStr">
        <is>
          <t>AppLog.info embedded in fetch</t>
        </is>
      </c>
      <c r="F721" t="b">
        <v>1</v>
      </c>
    </row>
    <row r="722">
      <c r="A722" t="inlineStr">
        <is>
          <t>financialwell</t>
        </is>
      </c>
      <c r="B722" t="inlineStr">
        <is>
          <t>/Users/manczg/Documents/development/financialwell/FinancialWell/Models/ModelCurrencies.swift</t>
        </is>
      </c>
      <c r="C722" t="inlineStr">
        <is>
          <t>solid-12</t>
        </is>
      </c>
      <c r="D722" t="n">
        <v>426</v>
      </c>
      <c r="E722" t="inlineStr">
        <is>
          <t>AppLog.info embedded in fetch</t>
        </is>
      </c>
      <c r="F722" t="b">
        <v>1</v>
      </c>
    </row>
    <row r="723">
      <c r="A723" t="inlineStr">
        <is>
          <t>financialwell</t>
        </is>
      </c>
      <c r="B723" t="inlineStr">
        <is>
          <t>/Users/manczg/Documents/development/financialwell/FinancialWell/Models/ModelCurrencies.swift</t>
        </is>
      </c>
      <c r="C723" t="inlineStr">
        <is>
          <t>arch-02</t>
        </is>
      </c>
      <c r="D723" t="n">
        <v>9</v>
      </c>
      <c r="E723" t="inlineStr">
        <is>
          <t>import UIKit in a Models/business-logic file</t>
        </is>
      </c>
      <c r="F723" t="b">
        <v>0</v>
      </c>
    </row>
    <row r="724">
      <c r="A724" t="inlineStr">
        <is>
          <t>financialwell</t>
        </is>
      </c>
      <c r="B724" t="inlineStr">
        <is>
          <t>/Users/manczg/Documents/development/financialwell/FinancialWell/Models/ModelCurrencies.swift</t>
        </is>
      </c>
      <c r="C724" t="inlineStr">
        <is>
          <t>arch-02</t>
        </is>
      </c>
      <c r="D724" t="n">
        <v>11</v>
      </c>
      <c r="E724" t="inlineStr">
        <is>
          <t>class inherits NSObject, coupling domain model to Objective-C runtime/framework</t>
        </is>
      </c>
      <c r="F724" t="b">
        <v>0</v>
      </c>
    </row>
    <row r="725">
      <c r="A725" t="inlineStr">
        <is>
          <t>financialwell</t>
        </is>
      </c>
      <c r="B725" t="inlineStr">
        <is>
          <t>/Users/manczg/Documents/development/financialwell/FinancialWell/Models/ModelCurrencies.swift</t>
        </is>
      </c>
      <c r="C725" t="inlineStr">
        <is>
          <t>arch-08</t>
        </is>
      </c>
      <c r="D725" t="n">
        <v>12</v>
      </c>
      <c r="E725" t="inlineStr">
        <is>
          <t>FileManagerWrapper.shared service-locator style access</t>
        </is>
      </c>
      <c r="F725" t="b">
        <v>1</v>
      </c>
    </row>
    <row r="726">
      <c r="A726" t="inlineStr">
        <is>
          <t>financialwell</t>
        </is>
      </c>
      <c r="B726" t="inlineStr">
        <is>
          <t>/Users/manczg/Documents/development/financialwell/FinancialWell/Models/ModelCurrencies.swift</t>
        </is>
      </c>
      <c r="C726" t="inlineStr">
        <is>
          <t>arch-08</t>
        </is>
      </c>
      <c r="D726" t="n">
        <v>197</v>
      </c>
      <c r="E726" t="inlineStr">
        <is>
          <t>LanguageManager.shared service-locator style access</t>
        </is>
      </c>
      <c r="F726" t="b">
        <v>1</v>
      </c>
    </row>
    <row r="727">
      <c r="A727" t="inlineStr">
        <is>
          <t>financialwell</t>
        </is>
      </c>
      <c r="B727" t="inlineStr">
        <is>
          <t>/Users/manczg/Documents/development/financialwell/FinancialWell/Models/ModelCurrencies.swift</t>
        </is>
      </c>
      <c r="C727" t="inlineStr">
        <is>
          <t>arch-08</t>
        </is>
      </c>
      <c r="D727" t="n">
        <v>246</v>
      </c>
      <c r="E727" t="inlineStr">
        <is>
          <t>LanguageManager.shared service-locator style access</t>
        </is>
      </c>
      <c r="F727" t="b">
        <v>1</v>
      </c>
    </row>
    <row r="728">
      <c r="A728" t="inlineStr">
        <is>
          <t>financialwell</t>
        </is>
      </c>
      <c r="B728" t="inlineStr">
        <is>
          <t>/Users/manczg/Documents/development/financialwell/FinancialWell/Models/ModelCurrencies.swift</t>
        </is>
      </c>
      <c r="C728" t="inlineStr">
        <is>
          <t>arch-08</t>
        </is>
      </c>
      <c r="D728" t="n">
        <v>537</v>
      </c>
      <c r="E728" t="inlineStr">
        <is>
          <t>SettingsViewModel static singleton-style access from a model</t>
        </is>
      </c>
      <c r="F728" t="b">
        <v>1</v>
      </c>
    </row>
    <row r="729">
      <c r="A729" t="inlineStr">
        <is>
          <t>financialwell</t>
        </is>
      </c>
      <c r="B729" t="inlineStr">
        <is>
          <t>/Users/manczg/Documents/development/financialwell/FinancialWell/Models/ModelCurrencies.swift</t>
        </is>
      </c>
      <c r="C729" t="inlineStr">
        <is>
          <t>arch-08</t>
        </is>
      </c>
      <c r="D729" t="n">
        <v>538</v>
      </c>
      <c r="E729" t="inlineStr">
        <is>
          <t>ModelManager.shared service-locator style access</t>
        </is>
      </c>
      <c r="F729" t="b">
        <v>1</v>
      </c>
    </row>
    <row r="730">
      <c r="A730" t="inlineStr">
        <is>
          <t>financialwell</t>
        </is>
      </c>
      <c r="B730" t="inlineStr">
        <is>
          <t>/Users/manczg/Documents/development/financialwell/FinancialWell/Models/ModelCurrencies.swift</t>
        </is>
      </c>
      <c r="C730" t="inlineStr">
        <is>
          <t>arch-11</t>
        </is>
      </c>
      <c r="D730" t="n">
        <v>16</v>
      </c>
      <c r="E730" t="inlineStr">
        <is>
          <t>exchange rate API base URL hardcoded in source</t>
        </is>
      </c>
      <c r="F730" t="b">
        <v>1</v>
      </c>
    </row>
    <row r="731">
      <c r="A731" t="inlineStr">
        <is>
          <t>financialwell</t>
        </is>
      </c>
      <c r="B731" t="inlineStr">
        <is>
          <t>/Users/manczg/Documents/development/financialwell/FinancialWell/Models/ModelCurrencies.swift</t>
        </is>
      </c>
      <c r="C731" t="inlineStr">
        <is>
          <t>safety-02</t>
        </is>
      </c>
      <c r="D731" t="n">
        <v>72</v>
      </c>
      <c r="E731" t="inlineStr">
        <is>
          <t>force unwrap currency!/toCurrency! after non-optional check</t>
        </is>
      </c>
      <c r="F731" t="b">
        <v>1</v>
      </c>
    </row>
    <row r="732">
      <c r="A732" t="inlineStr">
        <is>
          <t>financialwell</t>
        </is>
      </c>
      <c r="B732" t="inlineStr">
        <is>
          <t>/Users/manczg/Documents/development/financialwell/FinancialWell/Models/ModelCurrencies.swift</t>
        </is>
      </c>
      <c r="C732" t="inlineStr">
        <is>
          <t>safety-02</t>
        </is>
      </c>
      <c r="D732" t="n">
        <v>75</v>
      </c>
      <c r="E732" t="inlineStr">
        <is>
          <t>force unwrap currency!/toCurrency! passed onward</t>
        </is>
      </c>
      <c r="F732" t="b">
        <v>1</v>
      </c>
    </row>
    <row r="733">
      <c r="A733" t="inlineStr">
        <is>
          <t>financialwell</t>
        </is>
      </c>
      <c r="B733" t="inlineStr">
        <is>
          <t>/Users/manczg/Documents/development/financialwell/FinancialWell/Models/ModelCurrencies.swift</t>
        </is>
      </c>
      <c r="C733" t="inlineStr">
        <is>
          <t>safety-02</t>
        </is>
      </c>
      <c r="D733" t="n">
        <v>97</v>
      </c>
      <c r="E733" t="inlineStr">
        <is>
          <t>force unwrap exchangePrice!</t>
        </is>
      </c>
      <c r="F733" t="b">
        <v>1</v>
      </c>
    </row>
    <row r="734">
      <c r="A734" t="inlineStr">
        <is>
          <t>financialwell</t>
        </is>
      </c>
      <c r="B734" t="inlineStr">
        <is>
          <t>/Users/manczg/Documents/development/financialwell/FinancialWell/Models/ModelCurrencies.swift</t>
        </is>
      </c>
      <c r="C734" t="inlineStr">
        <is>
          <t>safety-02</t>
        </is>
      </c>
      <c r="D734" t="n">
        <v>116</v>
      </c>
      <c r="E734" t="inlineStr">
        <is>
          <t>force unwrap exchangePrice!</t>
        </is>
      </c>
      <c r="F734" t="b">
        <v>1</v>
      </c>
    </row>
    <row r="735">
      <c r="A735" t="inlineStr">
        <is>
          <t>financialwell</t>
        </is>
      </c>
      <c r="B735" t="inlineStr">
        <is>
          <t>/Users/manczg/Documents/development/financialwell/FinancialWell/Models/ModelCurrencies.swift</t>
        </is>
      </c>
      <c r="C735" t="inlineStr">
        <is>
          <t>safety-02</t>
        </is>
      </c>
      <c r="D735" t="n">
        <v>140</v>
      </c>
      <c r="E735" t="inlineStr">
        <is>
          <t>force unwrap exchangePrice!</t>
        </is>
      </c>
      <c r="F735" t="b">
        <v>1</v>
      </c>
    </row>
    <row r="736">
      <c r="A736" t="inlineStr">
        <is>
          <t>financialwell</t>
        </is>
      </c>
      <c r="B736" t="inlineStr">
        <is>
          <t>/Users/manczg/Documents/development/financialwell/FinancialWell/Models/ModelCurrencies.swift</t>
        </is>
      </c>
      <c r="C736" t="inlineStr">
        <is>
          <t>safety-02</t>
        </is>
      </c>
      <c r="D736" t="n">
        <v>154</v>
      </c>
      <c r="E736" t="inlineStr">
        <is>
          <t>force unwrap exchangePrice!</t>
        </is>
      </c>
      <c r="F736" t="b">
        <v>1</v>
      </c>
    </row>
    <row r="737">
      <c r="A737" t="inlineStr">
        <is>
          <t>financialwell</t>
        </is>
      </c>
      <c r="B737" t="inlineStr">
        <is>
          <t>/Users/manczg/Documents/development/financialwell/FinancialWell/Models/ModelCurrencies.swift</t>
        </is>
      </c>
      <c r="C737" t="inlineStr">
        <is>
          <t>safety-02</t>
        </is>
      </c>
      <c r="D737" t="n">
        <v>211</v>
      </c>
      <c r="E737" t="inlineStr">
        <is>
          <t>force unwrap name!</t>
        </is>
      </c>
      <c r="F737" t="b">
        <v>1</v>
      </c>
    </row>
    <row r="738">
      <c r="A738" t="inlineStr">
        <is>
          <t>financialwell</t>
        </is>
      </c>
      <c r="B738" t="inlineStr">
        <is>
          <t>/Users/manczg/Documents/development/financialwell/FinancialWell/Models/ModelCurrencies.swift</t>
        </is>
      </c>
      <c r="C738" t="inlineStr">
        <is>
          <t>safety-02</t>
        </is>
      </c>
      <c r="D738" t="n">
        <v>306</v>
      </c>
      <c r="E738" t="inlineStr">
        <is>
          <t>force cast as! Double on network/file-derived JSON value</t>
        </is>
      </c>
      <c r="F738" t="b">
        <v>1</v>
      </c>
    </row>
    <row r="739">
      <c r="A739" t="inlineStr">
        <is>
          <t>financialwell</t>
        </is>
      </c>
      <c r="B739" t="inlineStr">
        <is>
          <t>/Users/manczg/Documents/development/financialwell/FinancialWell/Models/ModelCurrencies.swift</t>
        </is>
      </c>
      <c r="C739" t="inlineStr">
        <is>
          <t>safety-02</t>
        </is>
      </c>
      <c r="D739" t="n">
        <v>314</v>
      </c>
      <c r="E739" t="inlineStr">
        <is>
          <t>force unwrap of optional Set union result</t>
        </is>
      </c>
      <c r="F739" t="b">
        <v>1</v>
      </c>
    </row>
    <row r="740">
      <c r="A740" t="inlineStr">
        <is>
          <t>financialwell</t>
        </is>
      </c>
      <c r="B740" t="inlineStr">
        <is>
          <t>/Users/manczg/Documents/development/financialwell/FinancialWell/Models/ModelCurrencies.swift</t>
        </is>
      </c>
      <c r="C740" t="inlineStr">
        <is>
          <t>safety-02</t>
        </is>
      </c>
      <c r="D740" t="n">
        <v>356</v>
      </c>
      <c r="E740" t="inlineStr">
        <is>
          <t>force unwrap data!</t>
        </is>
      </c>
      <c r="F740" t="b">
        <v>1</v>
      </c>
    </row>
    <row r="741">
      <c r="A741" t="inlineStr">
        <is>
          <t>financialwell</t>
        </is>
      </c>
      <c r="B741" t="inlineStr">
        <is>
          <t>/Users/manczg/Documents/development/financialwell/FinancialWell/Models/ModelCurrencies.swift</t>
        </is>
      </c>
      <c r="C741" t="inlineStr">
        <is>
          <t>safety-02</t>
        </is>
      </c>
      <c r="D741" t="n">
        <v>377</v>
      </c>
      <c r="E741" t="inlineStr">
        <is>
          <t>force unwrap apiUrl! building URLRequest from hardcoded string</t>
        </is>
      </c>
      <c r="F741" t="b">
        <v>1</v>
      </c>
    </row>
    <row r="742">
      <c r="A742" t="inlineStr">
        <is>
          <t>financialwell</t>
        </is>
      </c>
      <c r="B742" t="inlineStr">
        <is>
          <t>/Users/manczg/Documents/development/financialwell/FinancialWell/Models/ModelCurrencies.swift</t>
        </is>
      </c>
      <c r="C742" t="inlineStr">
        <is>
          <t>safety-02</t>
        </is>
      </c>
      <c r="D742" t="n">
        <v>381</v>
      </c>
      <c r="E742" t="inlineStr">
        <is>
          <t>force unwrap error!</t>
        </is>
      </c>
      <c r="F742" t="b">
        <v>1</v>
      </c>
    </row>
    <row r="743">
      <c r="A743" t="inlineStr">
        <is>
          <t>financialwell</t>
        </is>
      </c>
      <c r="B743" t="inlineStr">
        <is>
          <t>/Users/manczg/Documents/development/financialwell/FinancialWell/Models/ModelCurrencies.swift</t>
        </is>
      </c>
      <c r="C743" t="inlineStr">
        <is>
          <t>safety-02</t>
        </is>
      </c>
      <c r="D743" t="n">
        <v>468</v>
      </c>
      <c r="E743" t="inlineStr">
        <is>
          <t>force unwrap locale.currencyCode!</t>
        </is>
      </c>
      <c r="F743" t="b">
        <v>1</v>
      </c>
    </row>
    <row r="744">
      <c r="A744" t="inlineStr">
        <is>
          <t>financialwell</t>
        </is>
      </c>
      <c r="B744" t="inlineStr">
        <is>
          <t>/Users/manczg/Documents/development/financialwell/FinancialWell/Models/ModelCurrencies.swift</t>
        </is>
      </c>
      <c r="C744" t="inlineStr">
        <is>
          <t>safety-02</t>
        </is>
      </c>
      <c r="D744" t="n">
        <v>470</v>
      </c>
      <c r="E744" t="inlineStr">
        <is>
          <t>force unwrap name!</t>
        </is>
      </c>
      <c r="F744" t="b">
        <v>1</v>
      </c>
    </row>
    <row r="745">
      <c r="A745" t="inlineStr">
        <is>
          <t>financialwell</t>
        </is>
      </c>
      <c r="B745" t="inlineStr">
        <is>
          <t>/Users/manczg/Documents/development/financialwell/FinancialWell/Models/ModelCurrencies.swift</t>
        </is>
      </c>
      <c r="C745" t="inlineStr">
        <is>
          <t>safety-02</t>
        </is>
      </c>
      <c r="D745" t="n">
        <v>279</v>
      </c>
      <c r="E745" t="inlineStr">
        <is>
          <t>force unwrap formatter.currencyCode!</t>
        </is>
      </c>
      <c r="F745" t="b">
        <v>1</v>
      </c>
    </row>
    <row r="746">
      <c r="A746" t="inlineStr">
        <is>
          <t>financialwell</t>
        </is>
      </c>
      <c r="B746" t="inlineStr">
        <is>
          <t>/Users/manczg/Documents/development/financialwell/FinancialWell/Models/ModelCurrencies.swift</t>
        </is>
      </c>
      <c r="C746" t="inlineStr">
        <is>
          <t>safety-05</t>
        </is>
      </c>
      <c r="D746" t="n">
        <v>331</v>
      </c>
      <c r="E746" t="inlineStr">
        <is>
          <t>check-then-act on shared static allCurrencies without synchronization</t>
        </is>
      </c>
      <c r="F746" t="b">
        <v>0</v>
      </c>
    </row>
    <row r="747">
      <c r="A747" t="inlineStr">
        <is>
          <t>financialwell</t>
        </is>
      </c>
      <c r="B747" t="inlineStr">
        <is>
          <t>/Users/manczg/Documents/development/financialwell/FinancialWell/Models/ModelCurrencies.swift</t>
        </is>
      </c>
      <c r="C747" t="inlineStr">
        <is>
          <t>safety-05</t>
        </is>
      </c>
      <c r="D747" t="n">
        <v>371</v>
      </c>
      <c r="E747" t="inlineStr">
        <is>
          <t>duplicate check-then-act on shared static allCurrencies, races with line 331</t>
        </is>
      </c>
      <c r="F747" t="b">
        <v>0</v>
      </c>
    </row>
    <row r="748">
      <c r="A748" t="inlineStr">
        <is>
          <t>financialwell</t>
        </is>
      </c>
      <c r="B748" t="inlineStr">
        <is>
          <t>/Users/manczg/Documents/development/financialwell/FinancialWell/Models/ModelCurrencies.swift</t>
        </is>
      </c>
      <c r="C748" t="inlineStr">
        <is>
          <t>safety-06</t>
        </is>
      </c>
      <c r="D748" t="n">
        <v>425</v>
      </c>
      <c r="E748" t="inlineStr">
        <is>
          <t>currencyDG.wait() blocks calling thread on network completion</t>
        </is>
      </c>
      <c r="F748" t="b">
        <v>1</v>
      </c>
    </row>
    <row r="749">
      <c r="A749" t="inlineStr">
        <is>
          <t>financialwell</t>
        </is>
      </c>
      <c r="B749" t="inlineStr">
        <is>
          <t>/Users/manczg/Documents/development/financialwell/FinancialWell/Models/ModelCurrencies.swift</t>
        </is>
      </c>
      <c r="C749" t="inlineStr">
        <is>
          <t>safety-08</t>
        </is>
      </c>
      <c r="D749" t="n">
        <v>379</v>
      </c>
      <c r="E749" t="inlineStr">
        <is>
          <t>network dataTask has no explicit timeout or cancellation handling</t>
        </is>
      </c>
      <c r="F749" t="b">
        <v>0</v>
      </c>
    </row>
    <row r="750">
      <c r="A750" t="inlineStr">
        <is>
          <t>financialwell</t>
        </is>
      </c>
      <c r="B750" t="inlineStr">
        <is>
          <t>/Users/manczg/Documents/development/financialwell/FinancialWell/Models/ModelCurrencies.swift</t>
        </is>
      </c>
      <c r="C750" t="inlineStr">
        <is>
          <t>safety-13</t>
        </is>
      </c>
      <c r="D750" t="n">
        <v>57</v>
      </c>
      <c r="E750" t="inlineStr">
        <is>
          <t>assertion used as sole validation of base currency validity</t>
        </is>
      </c>
      <c r="F750" t="b">
        <v>0</v>
      </c>
    </row>
    <row r="751">
      <c r="A751" t="inlineStr">
        <is>
          <t>financialwell</t>
        </is>
      </c>
      <c r="B751" t="inlineStr">
        <is>
          <t>/Users/manczg/Documents/development/financialwell/FinancialWell/Models/ModelCurrencies.swift</t>
        </is>
      </c>
      <c r="C751" t="inlineStr">
        <is>
          <t>safety-13</t>
        </is>
      </c>
      <c r="D751" t="n">
        <v>64</v>
      </c>
      <c r="E751" t="inlineStr">
        <is>
          <t>assertion used as sole validation of base currency validity</t>
        </is>
      </c>
      <c r="F751" t="b">
        <v>0</v>
      </c>
    </row>
    <row r="752">
      <c r="A752" t="inlineStr">
        <is>
          <t>financialwell</t>
        </is>
      </c>
      <c r="B752" t="inlineStr">
        <is>
          <t>/Users/manczg/Documents/development/financialwell/FinancialWell/Models/ModelCurrencies.swift</t>
        </is>
      </c>
      <c r="C752" t="inlineStr">
        <is>
          <t>safety-13</t>
        </is>
      </c>
      <c r="D752" t="n">
        <v>106</v>
      </c>
      <c r="E752" t="inlineStr">
        <is>
          <t>assertionFailure used for control-flow validation, stripped in release</t>
        </is>
      </c>
      <c r="F752" t="b">
        <v>1</v>
      </c>
    </row>
    <row r="753">
      <c r="A753" t="inlineStr">
        <is>
          <t>financialwell</t>
        </is>
      </c>
      <c r="B753" t="inlineStr">
        <is>
          <t>/Users/manczg/Documents/development/financialwell/FinancialWell/Models/ModelCurrencies.swift</t>
        </is>
      </c>
      <c r="C753" t="inlineStr">
        <is>
          <t>safety-13</t>
        </is>
      </c>
      <c r="D753" t="n">
        <v>130</v>
      </c>
      <c r="E753" t="inlineStr">
        <is>
          <t>assertionFailure used for control-flow validation, stripped in release</t>
        </is>
      </c>
      <c r="F753" t="b">
        <v>1</v>
      </c>
    </row>
    <row r="754">
      <c r="A754" t="inlineStr">
        <is>
          <t>financialwell</t>
        </is>
      </c>
      <c r="B754" t="inlineStr">
        <is>
          <t>/Users/manczg/Documents/development/financialwell/FinancialWell/Models/ModelCurrencies.swift</t>
        </is>
      </c>
      <c r="C754" t="inlineStr">
        <is>
          <t>safety-13</t>
        </is>
      </c>
      <c r="D754" t="n">
        <v>156</v>
      </c>
      <c r="E754" t="inlineStr">
        <is>
          <t>assertionFailure used for control-flow validation, stripped in release</t>
        </is>
      </c>
      <c r="F754" t="b">
        <v>1</v>
      </c>
    </row>
    <row r="755">
      <c r="A755" t="inlineStr">
        <is>
          <t>financialwell</t>
        </is>
      </c>
      <c r="B755" t="inlineStr">
        <is>
          <t>/Users/manczg/Documents/development/financialwell/FinancialWell/Models/ModelCurrencies.swift</t>
        </is>
      </c>
      <c r="C755" t="inlineStr">
        <is>
          <t>safety-13</t>
        </is>
      </c>
      <c r="D755" t="n">
        <v>159</v>
      </c>
      <c r="E755" t="inlineStr">
        <is>
          <t>assertionFailure used for control-flow validation, stripped in release</t>
        </is>
      </c>
      <c r="F755" t="b">
        <v>1</v>
      </c>
    </row>
    <row r="756">
      <c r="A756" t="inlineStr">
        <is>
          <t>financialwell</t>
        </is>
      </c>
      <c r="B756" t="inlineStr">
        <is>
          <t>/Users/manczg/Documents/development/financialwell/FinancialWell/Models/ModelCurrencies.swift</t>
        </is>
      </c>
      <c r="C756" t="inlineStr">
        <is>
          <t>safety-13</t>
        </is>
      </c>
      <c r="D756" t="n">
        <v>456</v>
      </c>
      <c r="E756" t="inlineStr">
        <is>
          <t>assertionFailure "must exists" then continues execution</t>
        </is>
      </c>
      <c r="F756" t="b">
        <v>1</v>
      </c>
    </row>
    <row r="757">
      <c r="A757" t="inlineStr">
        <is>
          <t>financialwell</t>
        </is>
      </c>
      <c r="B757" t="inlineStr">
        <is>
          <t>/Users/manczg/Documents/development/financialwell/FinancialWell/Models/ModelCurrencies.swift</t>
        </is>
      </c>
      <c r="C757" t="inlineStr">
        <is>
          <t>safety-13</t>
        </is>
      </c>
      <c r="D757" t="n">
        <v>461</v>
      </c>
      <c r="E757" t="inlineStr">
        <is>
          <t>assert used to validate currencyCode instead of guard</t>
        </is>
      </c>
      <c r="F757" t="b">
        <v>1</v>
      </c>
    </row>
    <row r="758">
      <c r="A758" t="inlineStr">
        <is>
          <t>financialwell</t>
        </is>
      </c>
      <c r="B758" t="inlineStr">
        <is>
          <t>/Users/manczg/Documents/development/financialwell/FinancialWell/Models/ModelCurrencies.swift</t>
        </is>
      </c>
      <c r="C758" t="inlineStr">
        <is>
          <t>safety-13</t>
        </is>
      </c>
      <c r="D758" t="n">
        <v>464</v>
      </c>
      <c r="E758" t="inlineStr">
        <is>
          <t>assert used to validate countryCode instead of guard</t>
        </is>
      </c>
      <c r="F758" t="b">
        <v>1</v>
      </c>
    </row>
    <row r="759">
      <c r="A759" t="inlineStr">
        <is>
          <t>financialwell</t>
        </is>
      </c>
      <c r="B759" t="inlineStr">
        <is>
          <t>/Users/manczg/Documents/development/financialwell/FinancialWell/Models/ModelCurrencies.swift</t>
        </is>
      </c>
      <c r="C759" t="inlineStr">
        <is>
          <t>safety-13</t>
        </is>
      </c>
      <c r="D759" t="n">
        <v>466</v>
      </c>
      <c r="E759" t="inlineStr">
        <is>
          <t>assert used to validate country name instead of guard</t>
        </is>
      </c>
      <c r="F759" t="b">
        <v>1</v>
      </c>
    </row>
    <row r="760">
      <c r="A760" t="inlineStr">
        <is>
          <t>financialwell</t>
        </is>
      </c>
      <c r="B760" t="inlineStr">
        <is>
          <t>/Users/manczg/Documents/development/financialwell/FinancialWell/Models/ModelCurrencies.swift</t>
        </is>
      </c>
      <c r="C760" t="inlineStr">
        <is>
          <t>safety-13</t>
        </is>
      </c>
      <c r="D760" t="n">
        <v>469</v>
      </c>
      <c r="E760" t="inlineStr">
        <is>
          <t>assert used to validate name before force unwrap on next line</t>
        </is>
      </c>
      <c r="F760" t="b">
        <v>1</v>
      </c>
    </row>
    <row r="761">
      <c r="A761" t="inlineStr">
        <is>
          <t>financialwell</t>
        </is>
      </c>
      <c r="B761" t="inlineStr">
        <is>
          <t>/Users/manczg/Documents/development/financialwell/FinancialWell/Models/ModelCurrencies.swift</t>
        </is>
      </c>
      <c r="C761" t="inlineStr">
        <is>
          <t>safety-13</t>
        </is>
      </c>
      <c r="D761" t="n">
        <v>490</v>
      </c>
      <c r="E761" t="inlineStr">
        <is>
          <t>assertion used as sole validation before continuing</t>
        </is>
      </c>
      <c r="F761" t="b">
        <v>0</v>
      </c>
    </row>
    <row r="762">
      <c r="A762" t="inlineStr">
        <is>
          <t>financialwell</t>
        </is>
      </c>
      <c r="B762" t="inlineStr">
        <is>
          <t>/Users/manczg/Documents/development/financialwell/FinancialWell/Models/ModelCurrencies.swift</t>
        </is>
      </c>
      <c r="C762" t="inlineStr">
        <is>
          <t>safety-13</t>
        </is>
      </c>
      <c r="D762" t="n">
        <v>494</v>
      </c>
      <c r="E762" t="inlineStr">
        <is>
          <t>assertion used as sole validation before continuing</t>
        </is>
      </c>
      <c r="F762" t="b">
        <v>0</v>
      </c>
    </row>
    <row r="763">
      <c r="A763" t="inlineStr">
        <is>
          <t>financialwell</t>
        </is>
      </c>
      <c r="B763" t="inlineStr">
        <is>
          <t>/Users/manczg/Documents/development/financialwell/FinancialWell/Models/ModelCurrencies.swift</t>
        </is>
      </c>
      <c r="C763" t="inlineStr">
        <is>
          <t>safety-13</t>
        </is>
      </c>
      <c r="D763" t="n">
        <v>503</v>
      </c>
      <c r="E763" t="inlineStr">
        <is>
          <t>assertion used as sole per-item validation in loop</t>
        </is>
      </c>
      <c r="F763" t="b">
        <v>0</v>
      </c>
    </row>
    <row r="764">
      <c r="A764" t="inlineStr">
        <is>
          <t>financialwell</t>
        </is>
      </c>
      <c r="B764" t="inlineStr">
        <is>
          <t>/Users/manczg/Documents/development/financialwell/FinancialWell/Models/ModelCurrencies.swift</t>
        </is>
      </c>
      <c r="C764" t="inlineStr">
        <is>
          <t>safety-13</t>
        </is>
      </c>
      <c r="D764" t="n">
        <v>506</v>
      </c>
      <c r="E764" t="inlineStr">
        <is>
          <t>assertion used as sole validation of final state</t>
        </is>
      </c>
      <c r="F764" t="b">
        <v>0</v>
      </c>
    </row>
    <row r="765">
      <c r="A765" t="inlineStr">
        <is>
          <t>financialwell</t>
        </is>
      </c>
      <c r="B765" t="inlineStr">
        <is>
          <t>/Users/manczg/Documents/development/financialwell/FinancialWell/Models/ModelCurrencies.swift</t>
        </is>
      </c>
      <c r="C765" t="inlineStr">
        <is>
          <t>safety-14</t>
        </is>
      </c>
      <c r="D765" t="n">
        <v>16</v>
      </c>
      <c r="E765" t="inlineStr">
        <is>
          <t>API key embedded in hardcoded exchange rate URL</t>
        </is>
      </c>
      <c r="F765" t="b">
        <v>0</v>
      </c>
    </row>
    <row r="766">
      <c r="A766" t="inlineStr">
        <is>
          <t>financialwell</t>
        </is>
      </c>
      <c r="B766" t="inlineStr">
        <is>
          <t>/Users/manczg/Documents/development/financialwell/FinancialWell/Models/ModelCurrencies.swift</t>
        </is>
      </c>
      <c r="C766" t="inlineStr">
        <is>
          <t>safety-16</t>
        </is>
      </c>
      <c r="D766" t="n">
        <v>69</v>
      </c>
      <c r="E766" t="inlineStr">
        <is>
          <t>monetary value parameter typed as Double</t>
        </is>
      </c>
      <c r="F766" t="b">
        <v>0</v>
      </c>
    </row>
    <row r="767">
      <c r="A767" t="inlineStr">
        <is>
          <t>financialwell</t>
        </is>
      </c>
      <c r="B767" t="inlineStr">
        <is>
          <t>/Users/manczg/Documents/development/financialwell/FinancialWell/Models/ModelCurrencies.swift</t>
        </is>
      </c>
      <c r="C767" t="inlineStr">
        <is>
          <t>safety-16</t>
        </is>
      </c>
      <c r="D767" t="n">
        <v>78</v>
      </c>
      <c r="E767" t="inlineStr">
        <is>
          <t>monetary value and exchangePrice typed as Double</t>
        </is>
      </c>
      <c r="F767" t="b">
        <v>0</v>
      </c>
    </row>
    <row r="768">
      <c r="A768" t="inlineStr">
        <is>
          <t>financialwell</t>
        </is>
      </c>
      <c r="B768" t="inlineStr">
        <is>
          <t>/Users/manczg/Documents/development/financialwell/FinancialWell/Models/ModelCurrencies.swift</t>
        </is>
      </c>
      <c r="C768" t="inlineStr">
        <is>
          <t>safety-16</t>
        </is>
      </c>
      <c r="D768" t="n">
        <v>298</v>
      </c>
      <c r="E768" t="inlineStr">
        <is>
          <t>euroPrice assigned as Double literal</t>
        </is>
      </c>
      <c r="F768" t="b">
        <v>0</v>
      </c>
    </row>
    <row r="769">
      <c r="A769" t="inlineStr">
        <is>
          <t>financialwell</t>
        </is>
      </c>
      <c r="B769" t="inlineStr">
        <is>
          <t>/Users/manczg/Documents/development/financialwell/FinancialWell/Models/ModelCurrencies.swift</t>
        </is>
      </c>
      <c r="C769" t="inlineStr">
        <is>
          <t>safety-16</t>
        </is>
      </c>
      <c r="D769" t="n">
        <v>306</v>
      </c>
      <c r="E769" t="inlineStr">
        <is>
          <t>euroPrice parsed as Double from JSON</t>
        </is>
      </c>
      <c r="F769" t="b">
        <v>0</v>
      </c>
    </row>
    <row r="770">
      <c r="A770" t="inlineStr">
        <is>
          <t>financialwell</t>
        </is>
      </c>
      <c r="B770" t="inlineStr">
        <is>
          <t>/Users/manczg/Documents/development/financialwell/FinancialWell/Models/ModelCurrencies.swift</t>
        </is>
      </c>
      <c r="C770" t="inlineStr">
        <is>
          <t>safety-16</t>
        </is>
      </c>
      <c r="D770" t="n">
        <v>309</v>
      </c>
      <c r="E770" t="inlineStr">
        <is>
          <t>basePrice assigned as Double literal</t>
        </is>
      </c>
      <c r="F770" t="b">
        <v>0</v>
      </c>
    </row>
    <row r="771">
      <c r="A771" t="inlineStr">
        <is>
          <t>financialwell</t>
        </is>
      </c>
      <c r="B771" t="inlineStr">
        <is>
          <t>/Users/manczg/Documents/development/financialwell/FinancialWell/Models/ModelCurrencies.swift</t>
        </is>
      </c>
      <c r="C771" t="inlineStr">
        <is>
          <t>safety-16</t>
        </is>
      </c>
      <c r="D771" t="n">
        <v>450</v>
      </c>
      <c r="E771" t="inlineStr">
        <is>
          <t>basePrice assigned as Double literal</t>
        </is>
      </c>
      <c r="F771" t="b">
        <v>0</v>
      </c>
    </row>
    <row r="772">
      <c r="A772" t="inlineStr">
        <is>
          <t>financialwell</t>
        </is>
      </c>
      <c r="B772" t="inlineStr">
        <is>
          <t>/Users/manczg/Documents/development/financialwell/FinancialWell/Models/ModelCurrencies.swift</t>
        </is>
      </c>
      <c r="C772" t="inlineStr">
        <is>
          <t>safety-16</t>
        </is>
      </c>
      <c r="D772" t="n">
        <v>472</v>
      </c>
      <c r="E772" t="inlineStr">
        <is>
          <t>basePrice assigned as Double literal</t>
        </is>
      </c>
      <c r="F772" t="b">
        <v>0</v>
      </c>
    </row>
    <row r="773">
      <c r="A773" t="inlineStr">
        <is>
          <t>financialwell</t>
        </is>
      </c>
      <c r="B773" t="inlineStr">
        <is>
          <t>/Users/manczg/Documents/development/financialwell/FinancialWell/Models/ModelCurrencies.swift</t>
        </is>
      </c>
      <c r="C773" t="inlineStr">
        <is>
          <t>safety-16</t>
        </is>
      </c>
      <c r="D773" t="n">
        <v>479</v>
      </c>
      <c r="E773" t="inlineStr">
        <is>
          <t>basePrice assigned as Double literal</t>
        </is>
      </c>
      <c r="F773" t="b">
        <v>0</v>
      </c>
    </row>
    <row r="774">
      <c r="A774" t="inlineStr">
        <is>
          <t>financialwell</t>
        </is>
      </c>
      <c r="B774" t="inlineStr">
        <is>
          <t>/Users/manczg/Documents/development/financialwell/FinancialWell/Models/ModelCurrencies.swift</t>
        </is>
      </c>
      <c r="C774" t="inlineStr">
        <is>
          <t>safety-16</t>
        </is>
      </c>
      <c r="D774" t="n">
        <v>500</v>
      </c>
      <c r="E774" t="inlineStr">
        <is>
          <t>money computed via floating-point division/multiplication</t>
        </is>
      </c>
      <c r="F774" t="b">
        <v>0</v>
      </c>
    </row>
    <row r="775">
      <c r="A775" t="inlineStr">
        <is>
          <t>financialwell</t>
        </is>
      </c>
      <c r="B775" t="inlineStr">
        <is>
          <t>/Users/manczg/Documents/development/financialwell/FinancialWell/Models/ModelCurrencies.swift</t>
        </is>
      </c>
      <c r="C775" t="inlineStr">
        <is>
          <t>ddd-01</t>
        </is>
      </c>
      <c r="D775" t="n">
        <v>211</v>
      </c>
      <c r="E775" t="inlineStr">
        <is>
          <t>external mutation of shared Currency reference's name</t>
        </is>
      </c>
      <c r="F775" t="b">
        <v>0</v>
      </c>
    </row>
    <row r="776">
      <c r="A776" t="inlineStr">
        <is>
          <t>financialwell</t>
        </is>
      </c>
      <c r="B776" t="inlineStr">
        <is>
          <t>/Users/manczg/Documents/development/financialwell/FinancialWell/Models/ModelCurrencies.swift</t>
        </is>
      </c>
      <c r="C776" t="inlineStr">
        <is>
          <t>ddd-01</t>
        </is>
      </c>
      <c r="D776" t="n">
        <v>298</v>
      </c>
      <c r="E776" t="inlineStr">
        <is>
          <t>external mutation of shared Currency reference's euroPrice</t>
        </is>
      </c>
      <c r="F776" t="b">
        <v>0</v>
      </c>
    </row>
    <row r="777">
      <c r="A777" t="inlineStr">
        <is>
          <t>financialwell</t>
        </is>
      </c>
      <c r="B777" t="inlineStr">
        <is>
          <t>/Users/manczg/Documents/development/financialwell/FinancialWell/Models/ModelCurrencies.swift</t>
        </is>
      </c>
      <c r="C777" t="inlineStr">
        <is>
          <t>ddd-01</t>
        </is>
      </c>
      <c r="D777" t="n">
        <v>448</v>
      </c>
      <c r="E777" t="inlineStr">
        <is>
          <t>base aliases curr directly instead of copying, per comment at line 242-244</t>
        </is>
      </c>
      <c r="F777" t="b">
        <v>0</v>
      </c>
    </row>
    <row r="778">
      <c r="A778" t="inlineStr">
        <is>
          <t>financialwell</t>
        </is>
      </c>
      <c r="B778" t="inlineStr">
        <is>
          <t>/Users/manczg/Documents/development/financialwell/FinancialWell/Models/ModelCurrencies.swift</t>
        </is>
      </c>
      <c r="C778" t="inlineStr">
        <is>
          <t>ddd-01</t>
        </is>
      </c>
      <c r="D778" t="n">
        <v>452</v>
      </c>
      <c r="E778" t="inlineStr">
        <is>
          <t>mutation reaches through dict into shared Currency instance</t>
        </is>
      </c>
      <c r="F778" t="b">
        <v>0</v>
      </c>
    </row>
    <row r="779">
      <c r="A779" t="inlineStr">
        <is>
          <t>financialwell</t>
        </is>
      </c>
      <c r="B779" t="inlineStr">
        <is>
          <t>/Users/manczg/Documents/development/financialwell/FinancialWell/Models/ModelCurrencies.swift</t>
        </is>
      </c>
      <c r="C779" t="inlineStr">
        <is>
          <t>ddd-01</t>
        </is>
      </c>
      <c r="D779" t="n">
        <v>477</v>
      </c>
      <c r="E779" t="inlineStr">
        <is>
          <t>inconsistent: here base is copied, unlike aliasing at line 448</t>
        </is>
      </c>
      <c r="F779" t="b">
        <v>0</v>
      </c>
    </row>
    <row r="780">
      <c r="A780" t="inlineStr">
        <is>
          <t>financialwell</t>
        </is>
      </c>
      <c r="B780" t="inlineStr">
        <is>
          <t>/Users/manczg/Documents/development/financialwell/FinancialWell/Models/ModelCurrencies.swift</t>
        </is>
      </c>
      <c r="C780" t="inlineStr">
        <is>
          <t>ddd-06</t>
        </is>
      </c>
      <c r="D780" t="n">
        <v>537</v>
      </c>
      <c r="E780" t="inlineStr">
        <is>
          <t>Model reaches into SettingsViewModel, a UI-layer/different context</t>
        </is>
      </c>
      <c r="F780" t="b">
        <v>0</v>
      </c>
    </row>
    <row r="781">
      <c r="A781" t="inlineStr">
        <is>
          <t>financialwell</t>
        </is>
      </c>
      <c r="B781" t="inlineStr">
        <is>
          <t>/Users/manczg/Documents/development/financialwell/FinancialWell/Models/ModelCurrencies.swift</t>
        </is>
      </c>
      <c r="C781" t="inlineStr">
        <is>
          <t>ddd-06</t>
        </is>
      </c>
      <c r="D781" t="n">
        <v>538</v>
      </c>
      <c r="E781" t="inlineStr">
        <is>
          <t>Model reaches into ModelManager.locationService, a different bounded context</t>
        </is>
      </c>
      <c r="F781" t="b">
        <v>0</v>
      </c>
    </row>
    <row r="782">
      <c r="A782" t="inlineStr">
        <is>
          <t>financialwell</t>
        </is>
      </c>
      <c r="B782" t="inlineStr">
        <is>
          <t>/Users/manczg/Documents/development/financialwell/FinancialWell/Models/TransactionModel.swift</t>
        </is>
      </c>
      <c r="C782" t="inlineStr">
        <is>
          <t>smells-01</t>
        </is>
      </c>
      <c r="D782" t="n">
        <v>1</v>
      </c>
      <c r="E782" t="inlineStr">
        <is>
          <t>file is 533 lines, well beyond typical file-length threshold</t>
        </is>
      </c>
      <c r="F782" t="b">
        <v>0</v>
      </c>
    </row>
    <row r="783">
      <c r="A783" t="inlineStr">
        <is>
          <t>financialwell</t>
        </is>
      </c>
      <c r="B783" t="inlineStr">
        <is>
          <t>/Users/manczg/Documents/development/financialwell/FinancialWell/Models/TransactionModel.swift</t>
        </is>
      </c>
      <c r="C783" t="inlineStr">
        <is>
          <t>clarity-16</t>
        </is>
      </c>
      <c r="D783" t="n">
        <v>432</v>
      </c>
      <c r="E783" t="inlineStr">
        <is>
          <t>set(transaction:tags:) has 6+ guards and nested ifs, very high cyclomatic complexity</t>
        </is>
      </c>
      <c r="F783" t="b">
        <v>1</v>
      </c>
    </row>
    <row r="784">
      <c r="A784" t="inlineStr">
        <is>
          <t>financialwell</t>
        </is>
      </c>
      <c r="B784" t="inlineStr">
        <is>
          <t>/Users/manczg/Documents/development/financialwell/FinancialWell/Models/TransactionModel.swift</t>
        </is>
      </c>
      <c r="C784" t="inlineStr">
        <is>
          <t>clarity-17</t>
        </is>
      </c>
      <c r="D784" t="n">
        <v>432</v>
      </c>
      <c r="E784" t="inlineStr">
        <is>
          <t>set(transaction:tags:) spans ~50 lines, too long for one function</t>
        </is>
      </c>
      <c r="F784" t="b">
        <v>0</v>
      </c>
    </row>
    <row r="785">
      <c r="A785" t="inlineStr">
        <is>
          <t>financialwell</t>
        </is>
      </c>
      <c r="B785" t="inlineStr">
        <is>
          <t>/Users/manczg/Documents/development/financialwell/FinancialWell/Models/TransactionModel.swift</t>
        </is>
      </c>
      <c r="C785" t="inlineStr">
        <is>
          <t>smells-02</t>
        </is>
      </c>
      <c r="D785" t="n">
        <v>211</v>
      </c>
      <c r="E785" t="inlineStr">
        <is>
          <t>updatePrice(from:currency:exchangePrice:setIsExpense:) has 4 params, hurting call-site clarity</t>
        </is>
      </c>
      <c r="F785" t="b">
        <v>1</v>
      </c>
    </row>
    <row r="786">
      <c r="A786" t="inlineStr">
        <is>
          <t>financialwell</t>
        </is>
      </c>
      <c r="B786" t="inlineStr">
        <is>
          <t>/Users/manczg/Documents/development/financialwell/FinancialWell/Models/TransactionModel.swift</t>
        </is>
      </c>
      <c r="C786" t="inlineStr">
        <is>
          <t>smells-03</t>
        </is>
      </c>
      <c r="D786" t="n">
        <v>211</v>
      </c>
      <c r="E786" t="inlineStr">
        <is>
          <t>setIsExpense: Bool? boolean parameter makes call sites unclear</t>
        </is>
      </c>
      <c r="F786" t="b">
        <v>1</v>
      </c>
    </row>
    <row r="787">
      <c r="A787" t="inlineStr">
        <is>
          <t>financialwell</t>
        </is>
      </c>
      <c r="B787" t="inlineStr">
        <is>
          <t>/Users/manczg/Documents/development/financialwell/FinancialWell/Models/TransactionModel.swift</t>
        </is>
      </c>
      <c r="C787" t="inlineStr">
        <is>
          <t>smells-03</t>
        </is>
      </c>
      <c r="D787" t="n">
        <v>231</v>
      </c>
      <c r="E787" t="inlineStr">
        <is>
          <t>setIsExpense: Bool? boolean parameter makes call sites unclear</t>
        </is>
      </c>
      <c r="F787" t="b">
        <v>1</v>
      </c>
    </row>
    <row r="788">
      <c r="A788" t="inlineStr">
        <is>
          <t>financialwell</t>
        </is>
      </c>
      <c r="B788" t="inlineStr">
        <is>
          <t>/Users/manczg/Documents/development/financialwell/FinancialWell/Models/TransactionModel.swift</t>
        </is>
      </c>
      <c r="C788" t="inlineStr">
        <is>
          <t>smells-08</t>
        </is>
      </c>
      <c r="D788" t="n">
        <v>325</v>
      </c>
      <c r="E788" t="inlineStr">
        <is>
          <t>devisaPriceInText returns nil to signal invalid/missing devisa data</t>
        </is>
      </c>
      <c r="F788" t="b">
        <v>1</v>
      </c>
    </row>
    <row r="789">
      <c r="A789" t="inlineStr">
        <is>
          <t>financialwell</t>
        </is>
      </c>
      <c r="B789" t="inlineStr">
        <is>
          <t>/Users/manczg/Documents/development/financialwell/FinancialWell/Models/TransactionModel.swift</t>
        </is>
      </c>
      <c r="C789" t="inlineStr">
        <is>
          <t>smells-10</t>
        </is>
      </c>
      <c r="D789" t="n">
        <v>15</v>
      </c>
      <c r="E789" t="inlineStr">
        <is>
          <t>ModelManager.shared.currencies.getBaseCurrency() train-wreck chain</t>
        </is>
      </c>
      <c r="F789" t="b">
        <v>1</v>
      </c>
    </row>
    <row r="790">
      <c r="A790" t="inlineStr">
        <is>
          <t>financialwell</t>
        </is>
      </c>
      <c r="B790" t="inlineStr">
        <is>
          <t>/Users/manczg/Documents/development/financialwell/FinancialWell/Models/TransactionModel.swift</t>
        </is>
      </c>
      <c r="C790" t="inlineStr">
        <is>
          <t>smells-10</t>
        </is>
      </c>
      <c r="D790" t="n">
        <v>19</v>
      </c>
      <c r="E790" t="inlineStr">
        <is>
          <t>ModelManager.shared.currencies.getDefaultCurrency() train-wreck chain</t>
        </is>
      </c>
      <c r="F790" t="b">
        <v>1</v>
      </c>
    </row>
    <row r="791">
      <c r="A791" t="inlineStr">
        <is>
          <t>financialwell</t>
        </is>
      </c>
      <c r="B791" t="inlineStr">
        <is>
          <t>/Users/manczg/Documents/development/financialwell/FinancialWell/Models/TransactionModel.swift</t>
        </is>
      </c>
      <c r="C791" t="inlineStr">
        <is>
          <t>smells-10</t>
        </is>
      </c>
      <c r="D791" t="n">
        <v>453</v>
      </c>
      <c r="E791" t="inlineStr">
        <is>
          <t>ModelManager.shared.currencies.exchange(...ModelManager.shared.currencies.getBaseCurrency()...) doubled chain</t>
        </is>
      </c>
      <c r="F791" t="b">
        <v>1</v>
      </c>
    </row>
    <row r="792">
      <c r="A792" t="inlineStr">
        <is>
          <t>financialwell</t>
        </is>
      </c>
      <c r="B792" t="inlineStr">
        <is>
          <t>/Users/manczg/Documents/development/financialwell/FinancialWell/Models/TransactionModel.swift</t>
        </is>
      </c>
      <c r="C792" t="inlineStr">
        <is>
          <t>smells-10</t>
        </is>
      </c>
      <c r="D792" t="n">
        <v>460</v>
      </c>
      <c r="E792" t="inlineStr">
        <is>
          <t>ModelManager.shared.currencies.exchange(...) train-wreck chain</t>
        </is>
      </c>
      <c r="F792" t="b">
        <v>1</v>
      </c>
    </row>
    <row r="793">
      <c r="A793" t="inlineStr">
        <is>
          <t>financialwell</t>
        </is>
      </c>
      <c r="B793" t="inlineStr">
        <is>
          <t>/Users/manczg/Documents/development/financialwell/FinancialWell/Models/TransactionModel.swift</t>
        </is>
      </c>
      <c r="C793" t="inlineStr">
        <is>
          <t>smells-10</t>
        </is>
      </c>
      <c r="D793" t="n">
        <v>476</v>
      </c>
      <c r="E793" t="inlineStr">
        <is>
          <t>ModelManager.shared.tags.filter(byTransactionId:) train-wreck chain</t>
        </is>
      </c>
      <c r="F793" t="b">
        <v>1</v>
      </c>
    </row>
    <row r="794">
      <c r="A794" t="inlineStr">
        <is>
          <t>financialwell</t>
        </is>
      </c>
      <c r="B794" t="inlineStr">
        <is>
          <t>/Users/manczg/Documents/development/financialwell/FinancialWell/Models/TransactionModel.swift</t>
        </is>
      </c>
      <c r="C794" t="inlineStr">
        <is>
          <t>solid-06</t>
        </is>
      </c>
      <c r="D794" t="n">
        <v>13</v>
      </c>
      <c r="E794" t="inlineStr">
        <is>
          <t>dbValue is a directly mutable public field bypassing all invariant-preserving setters</t>
        </is>
      </c>
      <c r="F794" t="b">
        <v>1</v>
      </c>
    </row>
    <row r="795">
      <c r="A795" t="inlineStr">
        <is>
          <t>financialwell</t>
        </is>
      </c>
      <c r="B795" t="inlineStr">
        <is>
          <t>/Users/manczg/Documents/development/financialwell/FinancialWell/Models/TransactionModel.swift</t>
        </is>
      </c>
      <c r="C795" t="inlineStr">
        <is>
          <t>solid-06</t>
        </is>
      </c>
      <c r="D795" t="n">
        <v>108</v>
      </c>
      <c r="E795" t="inlineStr">
        <is>
          <t>recurrency is a directly mutable public field</t>
        </is>
      </c>
      <c r="F795" t="b">
        <v>1</v>
      </c>
    </row>
    <row r="796">
      <c r="A796" t="inlineStr">
        <is>
          <t>financialwell</t>
        </is>
      </c>
      <c r="B796" t="inlineStr">
        <is>
          <t>/Users/manczg/Documents/development/financialwell/FinancialWell/Models/TransactionModel.swift</t>
        </is>
      </c>
      <c r="C796" t="inlineStr">
        <is>
          <t>solid-07</t>
        </is>
      </c>
      <c r="D796" t="n">
        <v>185</v>
      </c>
      <c r="E796" t="inlineStr">
        <is>
          <t>currency represented as raw String code parameter, primitive obsession</t>
        </is>
      </c>
      <c r="F796" t="b">
        <v>0</v>
      </c>
    </row>
    <row r="797">
      <c r="A797" t="inlineStr">
        <is>
          <t>financialwell</t>
        </is>
      </c>
      <c r="B797" t="inlineStr">
        <is>
          <t>/Users/manczg/Documents/development/financialwell/FinancialWell/Models/TransactionModel.swift</t>
        </is>
      </c>
      <c r="C797" t="inlineStr">
        <is>
          <t>solid-12</t>
        </is>
      </c>
      <c r="D797" t="n">
        <v>195</v>
      </c>
      <c r="E797" t="inlineStr">
        <is>
          <t>AppLog.assertion call embedded directly in domain model</t>
        </is>
      </c>
      <c r="F797" t="b">
        <v>0</v>
      </c>
    </row>
    <row r="798">
      <c r="A798" t="inlineStr">
        <is>
          <t>financialwell</t>
        </is>
      </c>
      <c r="B798" t="inlineStr">
        <is>
          <t>/Users/manczg/Documents/development/financialwell/FinancialWell/Models/TransactionModel.swift</t>
        </is>
      </c>
      <c r="C798" t="inlineStr">
        <is>
          <t>solid-12</t>
        </is>
      </c>
      <c r="D798" t="n">
        <v>199</v>
      </c>
      <c r="E798" t="inlineStr">
        <is>
          <t>AppLog.warning call embedded directly in domain model</t>
        </is>
      </c>
      <c r="F798" t="b">
        <v>1</v>
      </c>
    </row>
    <row r="799">
      <c r="A799" t="inlineStr">
        <is>
          <t>financialwell</t>
        </is>
      </c>
      <c r="B799" t="inlineStr">
        <is>
          <t>/Users/manczg/Documents/development/financialwell/FinancialWell/Models/TransactionModel.swift</t>
        </is>
      </c>
      <c r="C799" t="inlineStr">
        <is>
          <t>solid-12</t>
        </is>
      </c>
      <c r="D799" t="n">
        <v>204</v>
      </c>
      <c r="E799" t="inlineStr">
        <is>
          <t>AppLog.warning call embedded directly in domain model</t>
        </is>
      </c>
      <c r="F799" t="b">
        <v>1</v>
      </c>
    </row>
    <row r="800">
      <c r="A800" t="inlineStr">
        <is>
          <t>financialwell</t>
        </is>
      </c>
      <c r="B800" t="inlineStr">
        <is>
          <t>/Users/manczg/Documents/development/financialwell/FinancialWell/Models/TransactionModel.swift</t>
        </is>
      </c>
      <c r="C800" t="inlineStr">
        <is>
          <t>solid-12</t>
        </is>
      </c>
      <c r="D800" t="n">
        <v>279</v>
      </c>
      <c r="E800" t="inlineStr">
        <is>
          <t>AppLog.warning call embedded directly in domain model</t>
        </is>
      </c>
      <c r="F800" t="b">
        <v>1</v>
      </c>
    </row>
    <row r="801">
      <c r="A801" t="inlineStr">
        <is>
          <t>financialwell</t>
        </is>
      </c>
      <c r="B801" t="inlineStr">
        <is>
          <t>/Users/manczg/Documents/development/financialwell/FinancialWell/Models/TransactionModel.swift</t>
        </is>
      </c>
      <c r="C801" t="inlineStr">
        <is>
          <t>solid-12</t>
        </is>
      </c>
      <c r="D801" t="n">
        <v>461</v>
      </c>
      <c r="E801" t="inlineStr">
        <is>
          <t>AppLog.warning call embedded directly in domain model</t>
        </is>
      </c>
      <c r="F801" t="b">
        <v>1</v>
      </c>
    </row>
    <row r="802">
      <c r="A802" t="inlineStr">
        <is>
          <t>financialwell</t>
        </is>
      </c>
      <c r="B802" t="inlineStr">
        <is>
          <t>/Users/manczg/Documents/development/financialwell/FinancialWell/Models/TransactionModel.swift</t>
        </is>
      </c>
      <c r="C802" t="inlineStr">
        <is>
          <t>solid-12</t>
        </is>
      </c>
      <c r="D802" t="n">
        <v>501</v>
      </c>
      <c r="E802" t="inlineStr">
        <is>
          <t>AppLog.warning call embedded directly in domain model</t>
        </is>
      </c>
      <c r="F802" t="b">
        <v>1</v>
      </c>
    </row>
    <row r="803">
      <c r="A803" t="inlineStr">
        <is>
          <t>financialwell</t>
        </is>
      </c>
      <c r="B803" t="inlineStr">
        <is>
          <t>/Users/manczg/Documents/development/financialwell/FinancialWell/Models/TransactionModel.swift</t>
        </is>
      </c>
      <c r="C803" t="inlineStr">
        <is>
          <t>arch-08</t>
        </is>
      </c>
      <c r="D803" t="n">
        <v>15</v>
      </c>
      <c r="E803" t="inlineStr">
        <is>
          <t>ModelManager.shared singleton accessed directly from domain model</t>
        </is>
      </c>
      <c r="F803" t="b">
        <v>1</v>
      </c>
    </row>
    <row r="804">
      <c r="A804" t="inlineStr">
        <is>
          <t>financialwell</t>
        </is>
      </c>
      <c r="B804" t="inlineStr">
        <is>
          <t>/Users/manczg/Documents/development/financialwell/FinancialWell/Models/TransactionModel.swift</t>
        </is>
      </c>
      <c r="C804" t="inlineStr">
        <is>
          <t>arch-08</t>
        </is>
      </c>
      <c r="D804" t="n">
        <v>198</v>
      </c>
      <c r="E804" t="inlineStr">
        <is>
          <t>ModelManager.shared singleton accessed directly inside domain logic</t>
        </is>
      </c>
      <c r="F804" t="b">
        <v>1</v>
      </c>
    </row>
    <row r="805">
      <c r="A805" t="inlineStr">
        <is>
          <t>financialwell</t>
        </is>
      </c>
      <c r="B805" t="inlineStr">
        <is>
          <t>/Users/manczg/Documents/development/financialwell/FinancialWell/Models/TransactionModel.swift</t>
        </is>
      </c>
      <c r="C805" t="inlineStr">
        <is>
          <t>arch-08</t>
        </is>
      </c>
      <c r="D805" t="n">
        <v>264</v>
      </c>
      <c r="E805" t="inlineStr">
        <is>
          <t>ModelManager.shared.locationService accessed directly (service locator)</t>
        </is>
      </c>
      <c r="F805" t="b">
        <v>1</v>
      </c>
    </row>
    <row r="806">
      <c r="A806" t="inlineStr">
        <is>
          <t>financialwell</t>
        </is>
      </c>
      <c r="B806" t="inlineStr">
        <is>
          <t>/Users/manczg/Documents/development/financialwell/FinancialWell/Models/TransactionModel.swift</t>
        </is>
      </c>
      <c r="C806" t="inlineStr">
        <is>
          <t>arch-08</t>
        </is>
      </c>
      <c r="D806" t="n">
        <v>433</v>
      </c>
      <c r="E806" t="inlineStr">
        <is>
          <t>ModelManager.shared.currencies accessed directly inside set(transaction:)</t>
        </is>
      </c>
      <c r="F806" t="b">
        <v>1</v>
      </c>
    </row>
    <row r="807">
      <c r="A807" t="inlineStr">
        <is>
          <t>financialwell</t>
        </is>
      </c>
      <c r="B807" t="inlineStr">
        <is>
          <t>/Users/manczg/Documents/development/financialwell/FinancialWell/Models/TransactionModel.swift</t>
        </is>
      </c>
      <c r="C807" t="inlineStr">
        <is>
          <t>arch-08</t>
        </is>
      </c>
      <c r="D807" t="n">
        <v>453</v>
      </c>
      <c r="E807" t="inlineStr">
        <is>
          <t>ModelManager.shared.currencies accessed directly inside set(transaction:)</t>
        </is>
      </c>
      <c r="F807" t="b">
        <v>1</v>
      </c>
    </row>
    <row r="808">
      <c r="A808" t="inlineStr">
        <is>
          <t>financialwell</t>
        </is>
      </c>
      <c r="B808" t="inlineStr">
        <is>
          <t>/Users/manczg/Documents/development/financialwell/FinancialWell/Models/TransactionModel.swift</t>
        </is>
      </c>
      <c r="C808" t="inlineStr">
        <is>
          <t>safety-02</t>
        </is>
      </c>
      <c r="D808" t="n">
        <v>14</v>
      </c>
      <c r="E808" t="inlineStr">
        <is>
          <t>baseCurrency declared as implicitly-unwrapped optional Currency!</t>
        </is>
      </c>
      <c r="F808" t="b">
        <v>0</v>
      </c>
    </row>
    <row r="809">
      <c r="A809" t="inlineStr">
        <is>
          <t>financialwell</t>
        </is>
      </c>
      <c r="B809" t="inlineStr">
        <is>
          <t>/Users/manczg/Documents/development/financialwell/FinancialWell/Models/TransactionModel.swift</t>
        </is>
      </c>
      <c r="C809" t="inlineStr">
        <is>
          <t>safety-02</t>
        </is>
      </c>
      <c r="D809" t="n">
        <v>18</v>
      </c>
      <c r="E809" t="inlineStr">
        <is>
          <t>defaultCurrency declared as implicitly-unwrapped optional Currency!</t>
        </is>
      </c>
      <c r="F809" t="b">
        <v>0</v>
      </c>
    </row>
    <row r="810">
      <c r="A810" t="inlineStr">
        <is>
          <t>financialwell</t>
        </is>
      </c>
      <c r="B810" t="inlineStr">
        <is>
          <t>/Users/manczg/Documents/development/financialwell/FinancialWell/Models/TransactionModel.swift</t>
        </is>
      </c>
      <c r="C810" t="inlineStr">
        <is>
          <t>safety-02</t>
        </is>
      </c>
      <c r="D810" t="n">
        <v>314</v>
      </c>
      <c r="E810" t="inlineStr">
        <is>
          <t>formatter.string(from:)! forced unwrap with no adjacent nil guard</t>
        </is>
      </c>
      <c r="F810" t="b">
        <v>1</v>
      </c>
    </row>
    <row r="811">
      <c r="A811" t="inlineStr">
        <is>
          <t>financialwell</t>
        </is>
      </c>
      <c r="B811" t="inlineStr">
        <is>
          <t>/Users/manczg/Documents/development/financialwell/FinancialWell/Models/TransactionModel.swift</t>
        </is>
      </c>
      <c r="C811" t="inlineStr">
        <is>
          <t>safety-02</t>
        </is>
      </c>
      <c r="D811" t="n">
        <v>397</v>
      </c>
      <c r="E811" t="inlineStr">
        <is>
          <t>tag.category! forced unwrap without a nil check</t>
        </is>
      </c>
      <c r="F811" t="b">
        <v>1</v>
      </c>
    </row>
    <row r="812">
      <c r="A812" t="inlineStr">
        <is>
          <t>financialwell</t>
        </is>
      </c>
      <c r="B812" t="inlineStr">
        <is>
          <t>/Users/manczg/Documents/development/financialwell/FinancialWell/Models/TransactionModel.swift</t>
        </is>
      </c>
      <c r="C812" t="inlineStr">
        <is>
          <t>safety-11</t>
        </is>
      </c>
      <c r="D812" t="n">
        <v>247</v>
      </c>
      <c r="E812" t="inlineStr">
        <is>
          <t>Date() called directly instead of via an injectable clock</t>
        </is>
      </c>
      <c r="F812" t="b">
        <v>1</v>
      </c>
    </row>
    <row r="813">
      <c r="A813" t="inlineStr">
        <is>
          <t>financialwell</t>
        </is>
      </c>
      <c r="B813" t="inlineStr">
        <is>
          <t>/Users/manczg/Documents/development/financialwell/FinancialWell/Models/TransactionModel.swift</t>
        </is>
      </c>
      <c r="C813" t="inlineStr">
        <is>
          <t>safety-11</t>
        </is>
      </c>
      <c r="D813" t="n">
        <v>252</v>
      </c>
      <c r="E813" t="inlineStr">
        <is>
          <t>Date() called directly instead of via an injectable clock</t>
        </is>
      </c>
      <c r="F813" t="b">
        <v>1</v>
      </c>
    </row>
    <row r="814">
      <c r="A814" t="inlineStr">
        <is>
          <t>financialwell</t>
        </is>
      </c>
      <c r="B814" t="inlineStr">
        <is>
          <t>/Users/manczg/Documents/development/financialwell/FinancialWell/Models/TransactionModel.swift</t>
        </is>
      </c>
      <c r="C814" t="inlineStr">
        <is>
          <t>safety-11</t>
        </is>
      </c>
      <c r="D814" t="n">
        <v>344</v>
      </c>
      <c r="E814" t="inlineStr">
        <is>
          <t>Date() called directly instead of via an injectable clock</t>
        </is>
      </c>
      <c r="F814" t="b">
        <v>1</v>
      </c>
    </row>
    <row r="815">
      <c r="A815" t="inlineStr">
        <is>
          <t>financialwell</t>
        </is>
      </c>
      <c r="B815" t="inlineStr">
        <is>
          <t>/Users/manczg/Documents/development/financialwell/FinancialWell/Models/TransactionModel.swift</t>
        </is>
      </c>
      <c r="C815" t="inlineStr">
        <is>
          <t>safety-13</t>
        </is>
      </c>
      <c r="D815" t="n">
        <v>195</v>
      </c>
      <c r="E815" t="inlineStr">
        <is>
          <t>AppLog.assertion used as validation instead of real error handling</t>
        </is>
      </c>
      <c r="F815" t="b">
        <v>0</v>
      </c>
    </row>
    <row r="816">
      <c r="A816" t="inlineStr">
        <is>
          <t>financialwell</t>
        </is>
      </c>
      <c r="B816" t="inlineStr">
        <is>
          <t>/Users/manczg/Documents/development/financialwell/FinancialWell/Models/TransactionModel.swift</t>
        </is>
      </c>
      <c r="C816" t="inlineStr">
        <is>
          <t>safety-13</t>
        </is>
      </c>
      <c r="D816" t="n">
        <v>200</v>
      </c>
      <c r="E816" t="inlineStr">
        <is>
          <t>AppLog.assertion used as validation instead of real error handling</t>
        </is>
      </c>
      <c r="F816" t="b">
        <v>0</v>
      </c>
    </row>
    <row r="817">
      <c r="A817" t="inlineStr">
        <is>
          <t>financialwell</t>
        </is>
      </c>
      <c r="B817" t="inlineStr">
        <is>
          <t>/Users/manczg/Documents/development/financialwell/FinancialWell/Models/TransactionModel.swift</t>
        </is>
      </c>
      <c r="C817" t="inlineStr">
        <is>
          <t>safety-13</t>
        </is>
      </c>
      <c r="D817" t="n">
        <v>205</v>
      </c>
      <c r="E817" t="inlineStr">
        <is>
          <t>AppLog.assertion used as validation instead of real error handling</t>
        </is>
      </c>
      <c r="F817" t="b">
        <v>0</v>
      </c>
    </row>
    <row r="818">
      <c r="A818" t="inlineStr">
        <is>
          <t>financialwell</t>
        </is>
      </c>
      <c r="B818" t="inlineStr">
        <is>
          <t>/Users/manczg/Documents/development/financialwell/FinancialWell/Models/TransactionModel.swift</t>
        </is>
      </c>
      <c r="C818" t="inlineStr">
        <is>
          <t>safety-13</t>
        </is>
      </c>
      <c r="D818" t="n">
        <v>273</v>
      </c>
      <c r="E818" t="inlineStr">
        <is>
          <t>AppLog.assertion used as validation instead of real error handling</t>
        </is>
      </c>
      <c r="F818" t="b">
        <v>0</v>
      </c>
    </row>
    <row r="819">
      <c r="A819" t="inlineStr">
        <is>
          <t>financialwell</t>
        </is>
      </c>
      <c r="B819" t="inlineStr">
        <is>
          <t>/Users/manczg/Documents/development/financialwell/FinancialWell/Models/TransactionModel.swift</t>
        </is>
      </c>
      <c r="C819" t="inlineStr">
        <is>
          <t>safety-13</t>
        </is>
      </c>
      <c r="D819" t="n">
        <v>409</v>
      </c>
      <c r="E819" t="inlineStr">
        <is>
          <t>AppLog.assertion used as validation instead of real error handling</t>
        </is>
      </c>
      <c r="F819" t="b">
        <v>0</v>
      </c>
    </row>
    <row r="820">
      <c r="A820" t="inlineStr">
        <is>
          <t>financialwell</t>
        </is>
      </c>
      <c r="B820" t="inlineStr">
        <is>
          <t>/Users/manczg/Documents/development/financialwell/FinancialWell/Models/TransactionModel.swift</t>
        </is>
      </c>
      <c r="C820" t="inlineStr">
        <is>
          <t>safety-13</t>
        </is>
      </c>
      <c r="D820" t="n">
        <v>410</v>
      </c>
      <c r="E820" t="inlineStr">
        <is>
          <t>AppLog.assertion used as validation instead of real error handling</t>
        </is>
      </c>
      <c r="F820" t="b">
        <v>0</v>
      </c>
    </row>
    <row r="821">
      <c r="A821" t="inlineStr">
        <is>
          <t>financialwell</t>
        </is>
      </c>
      <c r="B821" t="inlineStr">
        <is>
          <t>/Users/manczg/Documents/development/financialwell/FinancialWell/Models/TransactionModel.swift</t>
        </is>
      </c>
      <c r="C821" t="inlineStr">
        <is>
          <t>safety-13</t>
        </is>
      </c>
      <c r="D821" t="n">
        <v>434</v>
      </c>
      <c r="E821" t="inlineStr">
        <is>
          <t>AppLog.assertion(false) used as validation instead of throwing an error</t>
        </is>
      </c>
      <c r="F821" t="b">
        <v>0</v>
      </c>
    </row>
    <row r="822">
      <c r="A822" t="inlineStr">
        <is>
          <t>financialwell</t>
        </is>
      </c>
      <c r="B822" t="inlineStr">
        <is>
          <t>/Users/manczg/Documents/development/financialwell/FinancialWell/Models/TransactionModel.swift</t>
        </is>
      </c>
      <c r="C822" t="inlineStr">
        <is>
          <t>safety-13</t>
        </is>
      </c>
      <c r="D822" t="n">
        <v>438</v>
      </c>
      <c r="E822" t="inlineStr">
        <is>
          <t>AppLog.assertion(false) used as validation instead of throwing an error</t>
        </is>
      </c>
      <c r="F822" t="b">
        <v>0</v>
      </c>
    </row>
    <row r="823">
      <c r="A823" t="inlineStr">
        <is>
          <t>financialwell</t>
        </is>
      </c>
      <c r="B823" t="inlineStr">
        <is>
          <t>/Users/manczg/Documents/development/financialwell/FinancialWell/Models/TransactionModel.swift</t>
        </is>
      </c>
      <c r="C823" t="inlineStr">
        <is>
          <t>safety-13</t>
        </is>
      </c>
      <c r="D823" t="n">
        <v>442</v>
      </c>
      <c r="E823" t="inlineStr">
        <is>
          <t>AppLog.assertion(false) used as validation instead of throwing an error</t>
        </is>
      </c>
      <c r="F823" t="b">
        <v>0</v>
      </c>
    </row>
    <row r="824">
      <c r="A824" t="inlineStr">
        <is>
          <t>financialwell</t>
        </is>
      </c>
      <c r="B824" t="inlineStr">
        <is>
          <t>/Users/manczg/Documents/development/financialwell/FinancialWell/Models/TransactionModel.swift</t>
        </is>
      </c>
      <c r="C824" t="inlineStr">
        <is>
          <t>smells-21</t>
        </is>
      </c>
      <c r="D824" t="n">
        <v>310</v>
      </c>
      <c r="E824" t="inlineStr">
        <is>
          <t>as! forced downcast to NumberFormatter, type-system escape hatch</t>
        </is>
      </c>
      <c r="F824" t="b">
        <v>0</v>
      </c>
    </row>
    <row r="825">
      <c r="A825" t="inlineStr">
        <is>
          <t>financialwell</t>
        </is>
      </c>
      <c r="B825" t="inlineStr">
        <is>
          <t>/Users/manczg/Documents/development/financialwell/FinancialWell/Models/TransactionModel.swift</t>
        </is>
      </c>
      <c r="C825" t="inlineStr">
        <is>
          <t>clarity-06</t>
        </is>
      </c>
      <c r="D825" t="n">
        <v>398</v>
      </c>
      <c r="E825" t="inlineStr">
        <is>
          <t>local variable named tmp is a noise word</t>
        </is>
      </c>
      <c r="F825" t="b">
        <v>0</v>
      </c>
    </row>
    <row r="826">
      <c r="A826" t="inlineStr">
        <is>
          <t>financialwell</t>
        </is>
      </c>
      <c r="B826" t="inlineStr">
        <is>
          <t>/Users/manczg/Documents/development/financialwell/FinancialWell/Models/TransactionModel.swift</t>
        </is>
      </c>
      <c r="C826" t="inlineStr">
        <is>
          <t>clarity-09</t>
        </is>
      </c>
      <c r="D826" t="n">
        <v>273</v>
      </c>
      <c r="E826" t="inlineStr">
        <is>
          <t>long compound boolean condition inline in assertion, not extracted</t>
        </is>
      </c>
      <c r="F826" t="b">
        <v>1</v>
      </c>
    </row>
    <row r="827">
      <c r="A827" t="inlineStr">
        <is>
          <t>financialwell</t>
        </is>
      </c>
      <c r="B827" t="inlineStr">
        <is>
          <t>/Users/manczg/Documents/development/financialwell/FinancialWell/Models/TransactionModel.swift</t>
        </is>
      </c>
      <c r="C827" t="inlineStr">
        <is>
          <t>clarity-09</t>
        </is>
      </c>
      <c r="D827" t="n">
        <v>278</v>
      </c>
      <c r="E827" t="inlineStr">
        <is>
          <t>complex boolean condition inline, not extracted to a named predicate</t>
        </is>
      </c>
      <c r="F827" t="b">
        <v>1</v>
      </c>
    </row>
    <row r="828">
      <c r="A828" t="inlineStr">
        <is>
          <t>financialwell</t>
        </is>
      </c>
      <c r="B828" t="inlineStr">
        <is>
          <t>/Users/manczg/Documents/development/financialwell/FinancialWell/Models/TransactionModel.swift</t>
        </is>
      </c>
      <c r="C828" t="inlineStr">
        <is>
          <t>clarity-09</t>
        </is>
      </c>
      <c r="D828" t="n">
        <v>520</v>
      </c>
      <c r="E828" t="inlineStr">
        <is>
          <t>four-clause boolean guard condition not extracted</t>
        </is>
      </c>
      <c r="F828" t="b">
        <v>1</v>
      </c>
    </row>
    <row r="829">
      <c r="A829" t="inlineStr">
        <is>
          <t>financialwell</t>
        </is>
      </c>
      <c r="B829" t="inlineStr">
        <is>
          <t>/Users/manczg/Documents/development/financialwell/FinancialWell/Models/TransactionModel.swift</t>
        </is>
      </c>
      <c r="C829" t="inlineStr">
        <is>
          <t>ddd-07</t>
        </is>
      </c>
      <c r="D829" t="n">
        <v>94</v>
      </c>
      <c r="E829" t="inlineStr">
        <is>
          <t>tags getter returns internal _tags array of mutable reference-type elements directly</t>
        </is>
      </c>
      <c r="F829" t="b">
        <v>0</v>
      </c>
    </row>
    <row r="830">
      <c r="A830" t="inlineStr">
        <is>
          <t>financialwell</t>
        </is>
      </c>
      <c r="B830" t="inlineStr">
        <is>
          <t>/Users/manczg/Documents/development/financialwell/FinancialWell/Import/Import.swift</t>
        </is>
      </c>
      <c r="C830" t="inlineStr">
        <is>
          <t>clarity-16</t>
        </is>
      </c>
      <c r="D830" t="n">
        <v>22</v>
      </c>
      <c r="E830" t="inlineStr">
        <is>
          <t>skipAlreadyImported has deeply nested loops/conditionals, very high cyclomatic complexity</t>
        </is>
      </c>
      <c r="F830" t="b">
        <v>1</v>
      </c>
    </row>
    <row r="831">
      <c r="A831" t="inlineStr">
        <is>
          <t>financialwell</t>
        </is>
      </c>
      <c r="B831" t="inlineStr">
        <is>
          <t>/Users/manczg/Documents/development/financialwell/FinancialWell/Import/Import.swift</t>
        </is>
      </c>
      <c r="C831" t="inlineStr">
        <is>
          <t>clarity-17</t>
        </is>
      </c>
      <c r="D831" t="n">
        <v>22</v>
      </c>
      <c r="E831" t="inlineStr">
        <is>
          <t>skipAlreadyImported spans ~65 lines, too long for one function</t>
        </is>
      </c>
      <c r="F831" t="b">
        <v>0</v>
      </c>
    </row>
    <row r="832">
      <c r="A832" t="inlineStr">
        <is>
          <t>financialwell</t>
        </is>
      </c>
      <c r="B832" t="inlineStr">
        <is>
          <t>/Users/manczg/Documents/development/financialwell/FinancialWell/Import/Import.swift</t>
        </is>
      </c>
      <c r="C832" t="inlineStr">
        <is>
          <t>smells-02</t>
        </is>
      </c>
      <c r="D832" t="n">
        <v>22</v>
      </c>
      <c r="E832" t="inlineStr">
        <is>
          <t>skipAlreadyImported takes 4 params, two of them inout</t>
        </is>
      </c>
      <c r="F832" t="b">
        <v>1</v>
      </c>
    </row>
    <row r="833">
      <c r="A833" t="inlineStr">
        <is>
          <t>financialwell</t>
        </is>
      </c>
      <c r="B833" t="inlineStr">
        <is>
          <t>/Users/manczg/Documents/development/financialwell/FinancialWell/Import/Import.swift</t>
        </is>
      </c>
      <c r="C833" t="inlineStr">
        <is>
          <t>smells-10</t>
        </is>
      </c>
      <c r="D833" t="n">
        <v>30</v>
      </c>
      <c r="E833" t="inlineStr">
        <is>
          <t>ModelManager.shared.transactions.fetchImported(...) train-wreck chain</t>
        </is>
      </c>
      <c r="F833" t="b">
        <v>1</v>
      </c>
    </row>
    <row r="834">
      <c r="A834" t="inlineStr">
        <is>
          <t>financialwell</t>
        </is>
      </c>
      <c r="B834" t="inlineStr">
        <is>
          <t>/Users/manczg/Documents/development/financialwell/FinancialWell/Import/Import.swift</t>
        </is>
      </c>
      <c r="C834" t="inlineStr">
        <is>
          <t>smells-12</t>
        </is>
      </c>
      <c r="D834" t="n">
        <v>143</v>
      </c>
      <c r="E834" t="inlineStr">
        <is>
          <t>catch block only prints the error and continues, swallowing the failure</t>
        </is>
      </c>
      <c r="F834" t="b">
        <v>1</v>
      </c>
    </row>
    <row r="835">
      <c r="A835" t="inlineStr">
        <is>
          <t>financialwell</t>
        </is>
      </c>
      <c r="B835" t="inlineStr">
        <is>
          <t>/Users/manczg/Documents/development/financialwell/FinancialWell/Import/Import.swift</t>
        </is>
      </c>
      <c r="C835" t="inlineStr">
        <is>
          <t>smells-12</t>
        </is>
      </c>
      <c r="D835" t="n">
        <v>152</v>
      </c>
      <c r="E835" t="inlineStr">
        <is>
          <t>empty catch block silently swallows removeFile error</t>
        </is>
      </c>
      <c r="F835" t="b">
        <v>1</v>
      </c>
    </row>
    <row r="836">
      <c r="A836" t="inlineStr">
        <is>
          <t>financialwell</t>
        </is>
      </c>
      <c r="B836" t="inlineStr">
        <is>
          <t>/Users/manczg/Documents/development/financialwell/FinancialWell/Import/Import.swift</t>
        </is>
      </c>
      <c r="C836" t="inlineStr">
        <is>
          <t>smells-23</t>
        </is>
      </c>
      <c r="D836" t="n">
        <v>144</v>
      </c>
      <c r="E836" t="inlineStr">
        <is>
          <t>print(error.localizedDescription) is a debug leftover instead of proper logging</t>
        </is>
      </c>
      <c r="F836" t="b">
        <v>0</v>
      </c>
    </row>
    <row r="837">
      <c r="A837" t="inlineStr">
        <is>
          <t>financialwell</t>
        </is>
      </c>
      <c r="B837" t="inlineStr">
        <is>
          <t>/Users/manczg/Documents/development/financialwell/FinancialWell/Import/Import.swift</t>
        </is>
      </c>
      <c r="C837" t="inlineStr">
        <is>
          <t>solid-06</t>
        </is>
      </c>
      <c r="D837" t="n">
        <v>118</v>
      </c>
      <c r="E837" t="inlineStr">
        <is>
          <t>linkedHeaderIDs is a directly mutable public field</t>
        </is>
      </c>
      <c r="F837" t="b">
        <v>1</v>
      </c>
    </row>
    <row r="838">
      <c r="A838" t="inlineStr">
        <is>
          <t>financialwell</t>
        </is>
      </c>
      <c r="B838" t="inlineStr">
        <is>
          <t>/Users/manczg/Documents/development/financialwell/FinancialWell/Import/Import.swift</t>
        </is>
      </c>
      <c r="C838" t="inlineStr">
        <is>
          <t>solid-06</t>
        </is>
      </c>
      <c r="D838" t="n">
        <v>121</v>
      </c>
      <c r="E838" t="inlineStr">
        <is>
          <t>supportedFormatProtocols is a directly mutable public field</t>
        </is>
      </c>
      <c r="F838" t="b">
        <v>1</v>
      </c>
    </row>
    <row r="839">
      <c r="A839" t="inlineStr">
        <is>
          <t>financialwell</t>
        </is>
      </c>
      <c r="B839" t="inlineStr">
        <is>
          <t>/Users/manczg/Documents/development/financialwell/FinancialWell/Import/Import.swift</t>
        </is>
      </c>
      <c r="C839" t="inlineStr">
        <is>
          <t>solid-10</t>
        </is>
      </c>
      <c r="D839" t="n">
        <v>126</v>
      </c>
      <c r="E839" t="inlineStr">
        <is>
          <t>ImportFromKoin() instantiated directly instead of injected</t>
        </is>
      </c>
      <c r="F839" t="b">
        <v>0</v>
      </c>
    </row>
    <row r="840">
      <c r="A840" t="inlineStr">
        <is>
          <t>financialwell</t>
        </is>
      </c>
      <c r="B840" t="inlineStr">
        <is>
          <t>/Users/manczg/Documents/development/financialwell/FinancialWell/Import/Import.swift</t>
        </is>
      </c>
      <c r="C840" t="inlineStr">
        <is>
          <t>solid-10</t>
        </is>
      </c>
      <c r="D840" t="n">
        <v>127</v>
      </c>
      <c r="E840" t="inlineStr">
        <is>
          <t>ImportFromMoneyTrackerPro() instantiated directly instead of injected</t>
        </is>
      </c>
      <c r="F840" t="b">
        <v>0</v>
      </c>
    </row>
    <row r="841">
      <c r="A841" t="inlineStr">
        <is>
          <t>financialwell</t>
        </is>
      </c>
      <c r="B841" t="inlineStr">
        <is>
          <t>/Users/manczg/Documents/development/financialwell/FinancialWell/Import/Import.swift</t>
        </is>
      </c>
      <c r="C841" t="inlineStr">
        <is>
          <t>arch-08</t>
        </is>
      </c>
      <c r="D841" t="n">
        <v>117</v>
      </c>
      <c r="E841" t="inlineStr">
        <is>
          <t>FileManagerWrapper.shared singleton assigned directly (service locator)</t>
        </is>
      </c>
      <c r="F841" t="b">
        <v>1</v>
      </c>
    </row>
    <row r="842">
      <c r="A842" t="inlineStr">
        <is>
          <t>financialwell</t>
        </is>
      </c>
      <c r="B842" t="inlineStr">
        <is>
          <t>/Users/manczg/Documents/development/financialwell/FinancialWell/Import/Import.swift</t>
        </is>
      </c>
      <c r="C842" t="inlineStr">
        <is>
          <t>arch-08</t>
        </is>
      </c>
      <c r="D842" t="n">
        <v>30</v>
      </c>
      <c r="E842" t="inlineStr">
        <is>
          <t>ModelManager.shared accessed directly inside business logic</t>
        </is>
      </c>
      <c r="F842" t="b">
        <v>1</v>
      </c>
    </row>
    <row r="843">
      <c r="A843" t="inlineStr">
        <is>
          <t>financialwell</t>
        </is>
      </c>
      <c r="B843" t="inlineStr">
        <is>
          <t>/Users/manczg/Documents/development/financialwell/FinancialWell/Import/Import.swift</t>
        </is>
      </c>
      <c r="C843" t="inlineStr">
        <is>
          <t>safety-02</t>
        </is>
      </c>
      <c r="D843" t="n">
        <v>40</v>
      </c>
      <c r="E843" t="inlineStr">
        <is>
          <t>transaction.account.id! / category.id! forced unwrap with no adjacent nil-check</t>
        </is>
      </c>
      <c r="F843" t="b">
        <v>1</v>
      </c>
    </row>
    <row r="844">
      <c r="A844" t="inlineStr">
        <is>
          <t>financialwell</t>
        </is>
      </c>
      <c r="B844" t="inlineStr">
        <is>
          <t>/Users/manczg/Documents/development/financialwell/FinancialWell/ViewModels/AccountEditViewModel.swift</t>
        </is>
      </c>
      <c r="C844" t="inlineStr">
        <is>
          <t>safety-02</t>
        </is>
      </c>
      <c r="D844" t="n">
        <v>12</v>
      </c>
      <c r="E844" t="inlineStr">
        <is>
          <t>parent declared as implicitly-unwrapped optional AccountViewModel!</t>
        </is>
      </c>
      <c r="F844" t="b">
        <v>0</v>
      </c>
    </row>
    <row r="845">
      <c r="A845" t="inlineStr">
        <is>
          <t>financialwell</t>
        </is>
      </c>
      <c r="B845" t="inlineStr">
        <is>
          <t>/Users/manczg/Documents/development/financialwell/FinancialWell/ViewModels/AccountEditViewModel.swift</t>
        </is>
      </c>
      <c r="C845" t="inlineStr">
        <is>
          <t>safety-02</t>
        </is>
      </c>
      <c r="D845" t="n">
        <v>15</v>
      </c>
      <c r="E845" t="inlineStr">
        <is>
          <t>selectedItem declared as implicitly-unwrapped optional Account!</t>
        </is>
      </c>
      <c r="F845" t="b">
        <v>0</v>
      </c>
    </row>
    <row r="846">
      <c r="A846" t="inlineStr">
        <is>
          <t>financialwell</t>
        </is>
      </c>
      <c r="B846" t="inlineStr">
        <is>
          <t>/Users/manczg/Documents/development/financialwell/FinancialWell/ViewModels/AccountEditViewModel.swift</t>
        </is>
      </c>
      <c r="C846" t="inlineStr">
        <is>
          <t>safety-02</t>
        </is>
      </c>
      <c r="D846" t="n">
        <v>60</v>
      </c>
      <c r="E846" t="inlineStr">
        <is>
          <t>isAccountPersistable accesses selectedItem without the precondition guard used elsewhere</t>
        </is>
      </c>
      <c r="F846" t="b">
        <v>0</v>
      </c>
    </row>
    <row r="847">
      <c r="A847" t="inlineStr">
        <is>
          <t>financialwell</t>
        </is>
      </c>
      <c r="B847" t="inlineStr">
        <is>
          <t>/Users/manczg/Documents/development/financialwell/FinancialWell/ViewModels/AccountEditViewModel.swift</t>
        </is>
      </c>
      <c r="C847" t="inlineStr">
        <is>
          <t>safety-13</t>
        </is>
      </c>
      <c r="D847" t="n">
        <v>18</v>
      </c>
      <c r="E847" t="inlineStr">
        <is>
          <t>precondition used as production validation instead of proper error handling</t>
        </is>
      </c>
      <c r="F847" t="b">
        <v>0</v>
      </c>
    </row>
    <row r="848">
      <c r="A848" t="inlineStr">
        <is>
          <t>financialwell</t>
        </is>
      </c>
      <c r="B848" t="inlineStr">
        <is>
          <t>/Users/manczg/Documents/development/financialwell/FinancialWell/ViewModels/AccountEditViewModel.swift</t>
        </is>
      </c>
      <c r="C848" t="inlineStr">
        <is>
          <t>safety-13</t>
        </is>
      </c>
      <c r="D848" t="n">
        <v>19</v>
      </c>
      <c r="E848" t="inlineStr">
        <is>
          <t>precondition used as production validation instead of proper error handling</t>
        </is>
      </c>
      <c r="F848" t="b">
        <v>0</v>
      </c>
    </row>
    <row r="849">
      <c r="A849" t="inlineStr">
        <is>
          <t>financialwell</t>
        </is>
      </c>
      <c r="B849" t="inlineStr">
        <is>
          <t>/Users/manczg/Documents/development/financialwell/FinancialWell/ViewModels/AccountEditViewModel.swift</t>
        </is>
      </c>
      <c r="C849" t="inlineStr">
        <is>
          <t>safety-13</t>
        </is>
      </c>
      <c r="D849" t="n">
        <v>25</v>
      </c>
      <c r="E849" t="inlineStr">
        <is>
          <t>precondition used as production validation instead of proper error handling</t>
        </is>
      </c>
      <c r="F849" t="b">
        <v>0</v>
      </c>
    </row>
    <row r="850">
      <c r="A850" t="inlineStr">
        <is>
          <t>financialwell</t>
        </is>
      </c>
      <c r="B850" t="inlineStr">
        <is>
          <t>/Users/manczg/Documents/development/financialwell/FinancialWell/ViewModels/AccountEditViewModel.swift</t>
        </is>
      </c>
      <c r="C850" t="inlineStr">
        <is>
          <t>safety-13</t>
        </is>
      </c>
      <c r="D850" t="n">
        <v>26</v>
      </c>
      <c r="E850" t="inlineStr">
        <is>
          <t>precondition used as production validation instead of proper error handling</t>
        </is>
      </c>
      <c r="F850" t="b">
        <v>0</v>
      </c>
    </row>
    <row r="851">
      <c r="A851" t="inlineStr">
        <is>
          <t>financialwell</t>
        </is>
      </c>
      <c r="B851" t="inlineStr">
        <is>
          <t>/Users/manczg/Documents/development/financialwell/FinancialWell/ViewModels/AccountEditViewModel.swift</t>
        </is>
      </c>
      <c r="C851" t="inlineStr">
        <is>
          <t>safety-13</t>
        </is>
      </c>
      <c r="D851" t="n">
        <v>32</v>
      </c>
      <c r="E851" t="inlineStr">
        <is>
          <t>precondition used as production validation instead of proper error handling</t>
        </is>
      </c>
      <c r="F851" t="b">
        <v>0</v>
      </c>
    </row>
    <row r="852">
      <c r="A852" t="inlineStr">
        <is>
          <t>financialwell</t>
        </is>
      </c>
      <c r="B852" t="inlineStr">
        <is>
          <t>/Users/manczg/Documents/development/financialwell/FinancialWell/ViewModels/AccountEditViewModel.swift</t>
        </is>
      </c>
      <c r="C852" t="inlineStr">
        <is>
          <t>safety-13</t>
        </is>
      </c>
      <c r="D852" t="n">
        <v>33</v>
      </c>
      <c r="E852" t="inlineStr">
        <is>
          <t>precondition used as production validation instead of proper error handling</t>
        </is>
      </c>
      <c r="F852" t="b">
        <v>0</v>
      </c>
    </row>
    <row r="853">
      <c r="A853" t="inlineStr">
        <is>
          <t>financialwell</t>
        </is>
      </c>
      <c r="B853" t="inlineStr">
        <is>
          <t>/Users/manczg/Documents/development/financialwell/FinancialWell/ViewModels/AccountEditViewModel.swift</t>
        </is>
      </c>
      <c r="C853" t="inlineStr">
        <is>
          <t>safety-13</t>
        </is>
      </c>
      <c r="D853" t="n">
        <v>48</v>
      </c>
      <c r="E853" t="inlineStr">
        <is>
          <t>precondition used as production validation instead of proper error handling</t>
        </is>
      </c>
      <c r="F853" t="b">
        <v>0</v>
      </c>
    </row>
    <row r="854">
      <c r="A854" t="inlineStr">
        <is>
          <t>financialwell</t>
        </is>
      </c>
      <c r="B854" t="inlineStr">
        <is>
          <t>/Users/manczg/Documents/development/financialwell/FinancialWell/ViewModels/AccountEditViewModel.swift</t>
        </is>
      </c>
      <c r="C854" t="inlineStr">
        <is>
          <t>safety-13</t>
        </is>
      </c>
      <c r="D854" t="n">
        <v>49</v>
      </c>
      <c r="E854" t="inlineStr">
        <is>
          <t>precondition used as production validation instead of proper error handling</t>
        </is>
      </c>
      <c r="F854" t="b">
        <v>0</v>
      </c>
    </row>
    <row r="855">
      <c r="A855" t="inlineStr">
        <is>
          <t>financialwell</t>
        </is>
      </c>
      <c r="B855" t="inlineStr">
        <is>
          <t>/Users/manczg/Documents/development/financialwell/FinancialWell/ViewModels/AccountEditViewModel.swift</t>
        </is>
      </c>
      <c r="C855" t="inlineStr">
        <is>
          <t>safety-13</t>
        </is>
      </c>
      <c r="D855" t="n">
        <v>64</v>
      </c>
      <c r="E855" t="inlineStr">
        <is>
          <t>precondition used as production validation instead of proper error handling</t>
        </is>
      </c>
      <c r="F855" t="b">
        <v>0</v>
      </c>
    </row>
    <row r="856">
      <c r="A856" t="inlineStr">
        <is>
          <t>financialwell</t>
        </is>
      </c>
      <c r="B856" t="inlineStr">
        <is>
          <t>/Users/manczg/Documents/development/financialwell/FinancialWell/ViewModels/AccountEditViewModel.swift</t>
        </is>
      </c>
      <c r="C856" t="inlineStr">
        <is>
          <t>safety-13</t>
        </is>
      </c>
      <c r="D856" t="n">
        <v>65</v>
      </c>
      <c r="E856" t="inlineStr">
        <is>
          <t>precondition used as production validation instead of proper error handling</t>
        </is>
      </c>
      <c r="F856" t="b">
        <v>0</v>
      </c>
    </row>
    <row r="857">
      <c r="A857" t="inlineStr">
        <is>
          <t>financialwell</t>
        </is>
      </c>
      <c r="B857" t="inlineStr">
        <is>
          <t>/Users/manczg/Documents/development/financialwell/FinancialWell/ViewModels/AccountEditViewModel.swift</t>
        </is>
      </c>
      <c r="C857" t="inlineStr">
        <is>
          <t>solid-06</t>
        </is>
      </c>
      <c r="D857" t="n">
        <v>12</v>
      </c>
      <c r="E857" t="inlineStr">
        <is>
          <t>parent is a directly mutable public field</t>
        </is>
      </c>
      <c r="F857" t="b">
        <v>1</v>
      </c>
    </row>
    <row r="858">
      <c r="A858" t="inlineStr">
        <is>
          <t>financialwell</t>
        </is>
      </c>
      <c r="B858" t="inlineStr">
        <is>
          <t>/Users/manczg/Documents/development/financialwell/FinancialWell/ViewModels/AccountEditViewModel.swift</t>
        </is>
      </c>
      <c r="C858" t="inlineStr">
        <is>
          <t>solid-06</t>
        </is>
      </c>
      <c r="D858" t="n">
        <v>14</v>
      </c>
      <c r="E858" t="inlineStr">
        <is>
          <t>accountChoosableImages is a directly mutable public field</t>
        </is>
      </c>
      <c r="F858" t="b">
        <v>1</v>
      </c>
    </row>
    <row r="859">
      <c r="A859" t="inlineStr">
        <is>
          <t>financialwell</t>
        </is>
      </c>
      <c r="B859" t="inlineStr">
        <is>
          <t>/Users/manczg/Documents/development/financialwell/FinancialWell/ViewModels/AccountEditViewModel.swift</t>
        </is>
      </c>
      <c r="C859" t="inlineStr">
        <is>
          <t>solid-06</t>
        </is>
      </c>
      <c r="D859" t="n">
        <v>15</v>
      </c>
      <c r="E859" t="inlineStr">
        <is>
          <t>selectedItem is a directly mutable public field</t>
        </is>
      </c>
      <c r="F859" t="b">
        <v>1</v>
      </c>
    </row>
    <row r="860">
      <c r="A860" t="inlineStr">
        <is>
          <t>financialwell</t>
        </is>
      </c>
      <c r="B860" t="inlineStr">
        <is>
          <t>/Users/manczg/Documents/development/financialwell/FinancialWell/Import/ImportTransactionsImportFailedViewController.swift</t>
        </is>
      </c>
      <c r="C860" t="inlineStr">
        <is>
          <t>solid-10</t>
        </is>
      </c>
      <c r="D860" t="n">
        <v>12</v>
      </c>
      <c r="E860" t="inlineStr">
        <is>
          <t>ImportViewModel() instantiated directly instead of injected</t>
        </is>
      </c>
      <c r="F860" t="b">
        <v>1</v>
      </c>
    </row>
    <row r="861">
      <c r="A861" t="inlineStr">
        <is>
          <t>financialwell</t>
        </is>
      </c>
      <c r="B861" t="inlineStr">
        <is>
          <t>/Users/manczg/Documents/development/financialwell/FinancialWell/Import/ImportTransactionsImportFailedViewController.swift</t>
        </is>
      </c>
      <c r="C861" t="inlineStr">
        <is>
          <t>solid-06</t>
        </is>
      </c>
      <c r="D861" t="n">
        <v>13</v>
      </c>
      <c r="E861" t="inlineStr">
        <is>
          <t>message is a directly mutable public field</t>
        </is>
      </c>
      <c r="F861" t="b">
        <v>1</v>
      </c>
    </row>
    <row r="862">
      <c r="A862" t="inlineStr">
        <is>
          <t>financialwell</t>
        </is>
      </c>
      <c r="B862" t="inlineStr">
        <is>
          <t>/Users/manczg/Documents/development/financialwell/UITests/FrenchLocaleE2ESmokeTests.swift</t>
        </is>
      </c>
      <c r="C862" t="inlineStr">
        <is>
          <t>smells-01</t>
        </is>
      </c>
      <c r="D862" t="n">
        <v>1</v>
      </c>
      <c r="E862" t="inlineStr">
        <is>
          <t>file is 729 lines, well past reasonable single-test-file size</t>
        </is>
      </c>
      <c r="F862" t="b">
        <v>0</v>
      </c>
    </row>
    <row r="863">
      <c r="A863" t="inlineStr">
        <is>
          <t>financialwell</t>
        </is>
      </c>
      <c r="B863" t="inlineStr">
        <is>
          <t>/Users/manczg/Documents/development/financialwell/UITests/Authentication/LockScreenUITests.swift</t>
        </is>
      </c>
      <c r="C863" t="inlineStr">
        <is>
          <t>smells-01</t>
        </is>
      </c>
      <c r="D863" t="n">
        <v>1</v>
      </c>
      <c r="E863" t="inlineStr">
        <is>
          <t>file is 702 lines, well past reasonable single-test-file size</t>
        </is>
      </c>
      <c r="F863" t="b">
        <v>0</v>
      </c>
    </row>
    <row r="864">
      <c r="A864" t="inlineStr">
        <is>
          <t>financialwell</t>
        </is>
      </c>
      <c r="B864" t="inlineStr">
        <is>
          <t>/Users/manczg/Documents/development/financialwell/UITests/FrenchLocaleE2ESmokeTests.swift</t>
        </is>
      </c>
      <c r="C864" t="inlineStr">
        <is>
          <t>clarity-17</t>
        </is>
      </c>
      <c r="D864" t="n">
        <v>210</v>
      </c>
      <c r="E864" t="inlineStr">
        <is>
          <t>testOnboardingFlowInFrench spans ~152 lines (210-362)</t>
        </is>
      </c>
      <c r="F864" t="b">
        <v>1</v>
      </c>
    </row>
    <row r="865">
      <c r="A865" t="inlineStr">
        <is>
          <t>financialwell</t>
        </is>
      </c>
      <c r="B865" t="inlineStr">
        <is>
          <t>/Users/manczg/Documents/development/financialwell/UITests/FrenchLocaleE2ESmokeTests.swift</t>
        </is>
      </c>
      <c r="C865" t="inlineStr">
        <is>
          <t>clarity-17</t>
        </is>
      </c>
      <c r="D865" t="n">
        <v>367</v>
      </c>
      <c r="E865" t="inlineStr">
        <is>
          <t>testAddTransactionInFrench spans ~61 lines (367-428)</t>
        </is>
      </c>
      <c r="F865" t="b">
        <v>0</v>
      </c>
    </row>
    <row r="866">
      <c r="A866" t="inlineStr">
        <is>
          <t>financialwell</t>
        </is>
      </c>
      <c r="B866" t="inlineStr">
        <is>
          <t>/Users/manczg/Documents/development/financialwell/UITests/FrenchLocaleE2ESmokeTests.swift</t>
        </is>
      </c>
      <c r="C866" t="inlineStr">
        <is>
          <t>clarity-17</t>
        </is>
      </c>
      <c r="D866" t="n">
        <v>524</v>
      </c>
      <c r="E866" t="inlineStr">
        <is>
          <t>testLanguageSwitcherInFrench spans ~59 lines (524-583)</t>
        </is>
      </c>
      <c r="F866" t="b">
        <v>0</v>
      </c>
    </row>
    <row r="867">
      <c r="A867" t="inlineStr">
        <is>
          <t>financialwell</t>
        </is>
      </c>
      <c r="B867" t="inlineStr">
        <is>
          <t>/Users/manczg/Documents/development/financialwell/UITests/FrenchLocaleE2ESmokeTests.swift</t>
        </is>
      </c>
      <c r="C867" t="inlineStr">
        <is>
          <t>clarity-17</t>
        </is>
      </c>
      <c r="D867" t="n">
        <v>624</v>
      </c>
      <c r="E867" t="inlineStr">
        <is>
          <t>testNoEnglishFallbackStringsInFrench spans ~55 lines (624-679)</t>
        </is>
      </c>
      <c r="F867" t="b">
        <v>0</v>
      </c>
    </row>
    <row r="868">
      <c r="A868" t="inlineStr">
        <is>
          <t>financialwell</t>
        </is>
      </c>
      <c r="B868" t="inlineStr">
        <is>
          <t>/Users/manczg/Documents/development/financialwell/UITests/FrenchLocaleE2ESmokeTests.swift</t>
        </is>
      </c>
      <c r="C868" t="inlineStr">
        <is>
          <t>clarity-16</t>
        </is>
      </c>
      <c r="D868" t="n">
        <v>210</v>
      </c>
      <c r="E868" t="inlineStr">
        <is>
          <t>testOnboardingFlowInFrench chains 9 sequential if-blocks each with nested branches, ~20+ decision points</t>
        </is>
      </c>
      <c r="F868" t="b">
        <v>1</v>
      </c>
    </row>
    <row r="869">
      <c r="A869" t="inlineStr">
        <is>
          <t>financialwell</t>
        </is>
      </c>
      <c r="B869" t="inlineStr">
        <is>
          <t>/Users/manczg/Documents/development/financialwell/UITests/FrenchLocaleE2ESmokeTests.swift</t>
        </is>
      </c>
      <c r="C869" t="inlineStr">
        <is>
          <t>clarity-09</t>
        </is>
      </c>
      <c r="D869" t="n">
        <v>223</v>
      </c>
      <c r="E869" t="inlineStr">
        <is>
          <t>inline OR of two staticTexts existence checks not extracted to a named condition</t>
        </is>
      </c>
      <c r="F869" t="b">
        <v>0</v>
      </c>
    </row>
    <row r="870">
      <c r="A870" t="inlineStr">
        <is>
          <t>financialwell</t>
        </is>
      </c>
      <c r="B870" t="inlineStr">
        <is>
          <t>/Users/manczg/Documents/development/financialwell/UITests/Authentication/LockScreenUITests.swift</t>
        </is>
      </c>
      <c r="C870" t="inlineStr">
        <is>
          <t>clarity-09</t>
        </is>
      </c>
      <c r="D870" t="n">
        <v>321</v>
      </c>
      <c r="E870" t="inlineStr">
        <is>
          <t>inline compound `retryButton.waitForExistence(...) &amp;&amp; attempt &lt; 5` not extracted</t>
        </is>
      </c>
      <c r="F870" t="b">
        <v>0</v>
      </c>
    </row>
    <row r="871">
      <c r="A871" t="inlineStr">
        <is>
          <t>financialwell</t>
        </is>
      </c>
      <c r="B871" t="inlineStr">
        <is>
          <t>/Users/manczg/Documents/development/financialwell/UITests/Authentication/LockScreenUITests.swift</t>
        </is>
      </c>
      <c r="C871" t="inlineStr">
        <is>
          <t>clarity-09</t>
        </is>
      </c>
      <c r="D871" t="n">
        <v>542</v>
      </c>
      <c r="E871" t="inlineStr">
        <is>
          <t>inline OR of two string-contains checks not extracted to a named condition</t>
        </is>
      </c>
      <c r="F871" t="b">
        <v>0</v>
      </c>
    </row>
    <row r="872">
      <c r="A872" t="inlineStr">
        <is>
          <t>financialwell</t>
        </is>
      </c>
      <c r="B872" t="inlineStr">
        <is>
          <t>/Users/manczg/Documents/development/financialwell/UITests/FrenchLocaleE2ESmokeTests.swift</t>
        </is>
      </c>
      <c r="C872" t="inlineStr">
        <is>
          <t>tests-04</t>
        </is>
      </c>
      <c r="D872" t="n">
        <v>135</v>
      </c>
      <c r="E872" t="inlineStr">
        <is>
          <t>sleep(1) hardcoded wait instead of expectation-based sync</t>
        </is>
      </c>
      <c r="F872" t="b">
        <v>1</v>
      </c>
    </row>
    <row r="873">
      <c r="A873" t="inlineStr">
        <is>
          <t>financialwell</t>
        </is>
      </c>
      <c r="B873" t="inlineStr">
        <is>
          <t>/Users/manczg/Documents/development/financialwell/UITests/FrenchLocaleE2ESmokeTests.swift</t>
        </is>
      </c>
      <c r="C873" t="inlineStr">
        <is>
          <t>tests-04</t>
        </is>
      </c>
      <c r="D873" t="n">
        <v>154</v>
      </c>
      <c r="E873" t="inlineStr">
        <is>
          <t>sleep(1) hardcoded wait instead of expectation-based sync</t>
        </is>
      </c>
      <c r="F873" t="b">
        <v>1</v>
      </c>
    </row>
    <row r="874">
      <c r="A874" t="inlineStr">
        <is>
          <t>financialwell</t>
        </is>
      </c>
      <c r="B874" t="inlineStr">
        <is>
          <t>/Users/manczg/Documents/development/financialwell/UITests/FrenchLocaleE2ESmokeTests.swift</t>
        </is>
      </c>
      <c r="C874" t="inlineStr">
        <is>
          <t>tests-04</t>
        </is>
      </c>
      <c r="D874" t="n">
        <v>229</v>
      </c>
      <c r="E874" t="inlineStr">
        <is>
          <t>sleep(1) hardcoded wait after tap instead of waiting on next element</t>
        </is>
      </c>
      <c r="F874" t="b">
        <v>1</v>
      </c>
    </row>
    <row r="875">
      <c r="A875" t="inlineStr">
        <is>
          <t>financialwell</t>
        </is>
      </c>
      <c r="B875" t="inlineStr">
        <is>
          <t>/Users/manczg/Documents/development/financialwell/UITests/FrenchLocaleE2ESmokeTests.swift</t>
        </is>
      </c>
      <c r="C875" t="inlineStr">
        <is>
          <t>tests-04</t>
        </is>
      </c>
      <c r="D875" t="n">
        <v>240</v>
      </c>
      <c r="E875" t="inlineStr">
        <is>
          <t>sleep(1) hardcoded wait in fallback branch</t>
        </is>
      </c>
      <c r="F875" t="b">
        <v>1</v>
      </c>
    </row>
    <row r="876">
      <c r="A876" t="inlineStr">
        <is>
          <t>financialwell</t>
        </is>
      </c>
      <c r="B876" t="inlineStr">
        <is>
          <t>/Users/manczg/Documents/development/financialwell/UITests/FrenchLocaleE2ESmokeTests.swift</t>
        </is>
      </c>
      <c r="C876" t="inlineStr">
        <is>
          <t>tests-04</t>
        </is>
      </c>
      <c r="D876" t="n">
        <v>247</v>
      </c>
      <c r="E876" t="inlineStr">
        <is>
          <t>sleep(1) hardcoded wait in fallback branch</t>
        </is>
      </c>
      <c r="F876" t="b">
        <v>1</v>
      </c>
    </row>
    <row r="877">
      <c r="A877" t="inlineStr">
        <is>
          <t>financialwell</t>
        </is>
      </c>
      <c r="B877" t="inlineStr">
        <is>
          <t>/Users/manczg/Documents/development/financialwell/UITests/FrenchLocaleE2ESmokeTests.swift</t>
        </is>
      </c>
      <c r="C877" t="inlineStr">
        <is>
          <t>tests-04</t>
        </is>
      </c>
      <c r="D877" t="n">
        <v>259</v>
      </c>
      <c r="E877" t="inlineStr">
        <is>
          <t>assertion only runs if element happens to exist — no else/fail path, test silently passes if screen never appears</t>
        </is>
      </c>
      <c r="F877" t="b">
        <v>0</v>
      </c>
    </row>
    <row r="878">
      <c r="A878" t="inlineStr">
        <is>
          <t>financialwell</t>
        </is>
      </c>
      <c r="B878" t="inlineStr">
        <is>
          <t>/Users/manczg/Documents/development/financialwell/UITests/FrenchLocaleE2ESmokeTests.swift</t>
        </is>
      </c>
      <c r="C878" t="inlineStr">
        <is>
          <t>tests-04</t>
        </is>
      </c>
      <c r="D878" t="n">
        <v>272</v>
      </c>
      <c r="E878" t="inlineStr">
        <is>
          <t>assertion only runs if element happens to exist — no else/fail path, test silently passes if screen never appears</t>
        </is>
      </c>
      <c r="F878" t="b">
        <v>0</v>
      </c>
    </row>
    <row r="879">
      <c r="A879" t="inlineStr">
        <is>
          <t>financialwell</t>
        </is>
      </c>
      <c r="B879" t="inlineStr">
        <is>
          <t>/Users/manczg/Documents/development/financialwell/UITests/FrenchLocaleE2ESmokeTests.swift</t>
        </is>
      </c>
      <c r="C879" t="inlineStr">
        <is>
          <t>tests-04</t>
        </is>
      </c>
      <c r="D879" t="n">
        <v>282</v>
      </c>
      <c r="E879" t="inlineStr">
        <is>
          <t>assertion only runs if element happens to exist — no else/fail path, test silently passes if screen never appears</t>
        </is>
      </c>
      <c r="F879" t="b">
        <v>0</v>
      </c>
    </row>
    <row r="880">
      <c r="A880" t="inlineStr">
        <is>
          <t>financialwell</t>
        </is>
      </c>
      <c r="B880" t="inlineStr">
        <is>
          <t>/Users/manczg/Documents/development/financialwell/UITests/FrenchLocaleE2ESmokeTests.swift</t>
        </is>
      </c>
      <c r="C880" t="inlineStr">
        <is>
          <t>tests-04</t>
        </is>
      </c>
      <c r="D880" t="n">
        <v>292</v>
      </c>
      <c r="E880" t="inlineStr">
        <is>
          <t>assertion only runs if element happens to exist — no else/fail path, test silently passes if screen never appears</t>
        </is>
      </c>
      <c r="F880" t="b">
        <v>0</v>
      </c>
    </row>
    <row r="881">
      <c r="A881" t="inlineStr">
        <is>
          <t>financialwell</t>
        </is>
      </c>
      <c r="B881" t="inlineStr">
        <is>
          <t>/Users/manczg/Documents/development/financialwell/UITests/FrenchLocaleE2ESmokeTests.swift</t>
        </is>
      </c>
      <c r="C881" t="inlineStr">
        <is>
          <t>tests-04</t>
        </is>
      </c>
      <c r="D881" t="n">
        <v>304</v>
      </c>
      <c r="E881" t="inlineStr">
        <is>
          <t>assertion only runs if element happens to exist — no else/fail path, test silently passes if screen never appears</t>
        </is>
      </c>
      <c r="F881" t="b">
        <v>0</v>
      </c>
    </row>
    <row r="882">
      <c r="A882" t="inlineStr">
        <is>
          <t>financialwell</t>
        </is>
      </c>
      <c r="B882" t="inlineStr">
        <is>
          <t>/Users/manczg/Documents/development/financialwell/UITests/FrenchLocaleE2ESmokeTests.swift</t>
        </is>
      </c>
      <c r="C882" t="inlineStr">
        <is>
          <t>tests-04</t>
        </is>
      </c>
      <c r="D882" t="n">
        <v>318</v>
      </c>
      <c r="E882" t="inlineStr">
        <is>
          <t>assertion only runs if element happens to exist — no else/fail path, test silently passes if screen never appears</t>
        </is>
      </c>
      <c r="F882" t="b">
        <v>0</v>
      </c>
    </row>
    <row r="883">
      <c r="A883" t="inlineStr">
        <is>
          <t>financialwell</t>
        </is>
      </c>
      <c r="B883" t="inlineStr">
        <is>
          <t>/Users/manczg/Documents/development/financialwell/UITests/FrenchLocaleE2ESmokeTests.swift</t>
        </is>
      </c>
      <c r="C883" t="inlineStr">
        <is>
          <t>tests-04</t>
        </is>
      </c>
      <c r="D883" t="n">
        <v>330</v>
      </c>
      <c r="E883" t="inlineStr">
        <is>
          <t>assertion only runs if element happens to exist — no else/fail path, test silently passes if screen never appears</t>
        </is>
      </c>
      <c r="F883" t="b">
        <v>0</v>
      </c>
    </row>
    <row r="884">
      <c r="A884" t="inlineStr">
        <is>
          <t>financialwell</t>
        </is>
      </c>
      <c r="B884" t="inlineStr">
        <is>
          <t>/Users/manczg/Documents/development/financialwell/UITests/FrenchLocaleE2ESmokeTests.swift</t>
        </is>
      </c>
      <c r="C884" t="inlineStr">
        <is>
          <t>tests-04</t>
        </is>
      </c>
      <c r="D884" t="n">
        <v>347</v>
      </c>
      <c r="E884" t="inlineStr">
        <is>
          <t>assertion only runs if element happens to exist — no else/fail path, test silently passes if screen never appears</t>
        </is>
      </c>
      <c r="F884" t="b">
        <v>0</v>
      </c>
    </row>
    <row r="885">
      <c r="A885" t="inlineStr">
        <is>
          <t>financialwell</t>
        </is>
      </c>
      <c r="B885" t="inlineStr">
        <is>
          <t>/Users/manczg/Documents/development/financialwell/UITests/FrenchLocaleE2ESmokeTests.swift</t>
        </is>
      </c>
      <c r="C885" t="inlineStr">
        <is>
          <t>tests-04</t>
        </is>
      </c>
      <c r="D885" t="n">
        <v>443</v>
      </c>
      <c r="E885" t="inlineStr">
        <is>
          <t>sleep(2) hardcoded wait before checking report elements</t>
        </is>
      </c>
      <c r="F885" t="b">
        <v>1</v>
      </c>
    </row>
    <row r="886">
      <c r="A886" t="inlineStr">
        <is>
          <t>financialwell</t>
        </is>
      </c>
      <c r="B886" t="inlineStr">
        <is>
          <t>/Users/manczg/Documents/development/financialwell/UITests/FrenchLocaleE2ESmokeTests.swift</t>
        </is>
      </c>
      <c r="C886" t="inlineStr">
        <is>
          <t>tests-04</t>
        </is>
      </c>
      <c r="D886" t="n">
        <v>546</v>
      </c>
      <c r="E886" t="inlineStr">
        <is>
          <t>sleep(1) hardcoded wait after table scroll</t>
        </is>
      </c>
      <c r="F886" t="b">
        <v>1</v>
      </c>
    </row>
    <row r="887">
      <c r="A887" t="inlineStr">
        <is>
          <t>financialwell</t>
        </is>
      </c>
      <c r="B887" t="inlineStr">
        <is>
          <t>/Users/manczg/Documents/development/financialwell/UITests/Authentication/LockScreenUITests.swift</t>
        </is>
      </c>
      <c r="C887" t="inlineStr">
        <is>
          <t>tests-04</t>
        </is>
      </c>
      <c r="D887" t="n">
        <v>79</v>
      </c>
      <c r="E887" t="inlineStr">
        <is>
          <t>sleep(1) hardcoded wait in backgroundApp() instead of state-based wait</t>
        </is>
      </c>
      <c r="F887" t="b">
        <v>1</v>
      </c>
    </row>
    <row r="888">
      <c r="A888" t="inlineStr">
        <is>
          <t>financialwell</t>
        </is>
      </c>
      <c r="B888" t="inlineStr">
        <is>
          <t>/Users/manczg/Documents/development/financialwell/UITests/Authentication/LockScreenUITests.swift</t>
        </is>
      </c>
      <c r="C888" t="inlineStr">
        <is>
          <t>tests-04</t>
        </is>
      </c>
      <c r="D888" t="n">
        <v>87</v>
      </c>
      <c r="E888" t="inlineStr">
        <is>
          <t>sleep(1) hardcoded wait in foregroundApp() instead of state-based wait</t>
        </is>
      </c>
      <c r="F888" t="b">
        <v>1</v>
      </c>
    </row>
    <row r="889">
      <c r="A889" t="inlineStr">
        <is>
          <t>financialwell</t>
        </is>
      </c>
      <c r="B889" t="inlineStr">
        <is>
          <t>/Users/manczg/Documents/development/financialwell/UITests/Authentication/LockScreenUITests.swift</t>
        </is>
      </c>
      <c r="C889" t="inlineStr">
        <is>
          <t>tests-04</t>
        </is>
      </c>
      <c r="D889" t="n">
        <v>168</v>
      </c>
      <c r="E889" t="inlineStr">
        <is>
          <t>sleep(2) waiting for a manually-triggered biometric prompt, non-deterministic</t>
        </is>
      </c>
      <c r="F889" t="b">
        <v>1</v>
      </c>
    </row>
    <row r="890">
      <c r="A890" t="inlineStr">
        <is>
          <t>financialwell</t>
        </is>
      </c>
      <c r="B890" t="inlineStr">
        <is>
          <t>/Users/manczg/Documents/development/financialwell/UITests/Authentication/LockScreenUITests.swift</t>
        </is>
      </c>
      <c r="C890" t="inlineStr">
        <is>
          <t>tests-04</t>
        </is>
      </c>
      <c r="D890" t="n">
        <v>200</v>
      </c>
      <c r="E890" t="inlineStr">
        <is>
          <t>sleep(2) waiting for manually-triggered biometric failure, non-deterministic</t>
        </is>
      </c>
      <c r="F890" t="b">
        <v>1</v>
      </c>
    </row>
    <row r="891">
      <c r="A891" t="inlineStr">
        <is>
          <t>financialwell</t>
        </is>
      </c>
      <c r="B891" t="inlineStr">
        <is>
          <t>/Users/manczg/Documents/development/financialwell/UITests/Authentication/LockScreenUITests.swift</t>
        </is>
      </c>
      <c r="C891" t="inlineStr">
        <is>
          <t>tests-04</t>
        </is>
      </c>
      <c r="D891" t="n">
        <v>234</v>
      </c>
      <c r="E891" t="inlineStr">
        <is>
          <t>sleep(2) waiting for manual biometric intervention</t>
        </is>
      </c>
      <c r="F891" t="b">
        <v>1</v>
      </c>
    </row>
    <row r="892">
      <c r="A892" t="inlineStr">
        <is>
          <t>financialwell</t>
        </is>
      </c>
      <c r="B892" t="inlineStr">
        <is>
          <t>/Users/manczg/Documents/development/financialwell/UITests/Authentication/LockScreenUITests.swift</t>
        </is>
      </c>
      <c r="C892" t="inlineStr">
        <is>
          <t>tests-04</t>
        </is>
      </c>
      <c r="D892" t="n">
        <v>245</v>
      </c>
      <c r="E892" t="inlineStr">
        <is>
          <t>sleep(1) hardcoded wait after retry tap</t>
        </is>
      </c>
      <c r="F892" t="b">
        <v>1</v>
      </c>
    </row>
    <row r="893">
      <c r="A893" t="inlineStr">
        <is>
          <t>financialwell</t>
        </is>
      </c>
      <c r="B893" t="inlineStr">
        <is>
          <t>/Users/manczg/Documents/development/financialwell/UITests/Authentication/LockScreenUITests.swift</t>
        </is>
      </c>
      <c r="C893" t="inlineStr">
        <is>
          <t>tests-04</t>
        </is>
      </c>
      <c r="D893" t="n">
        <v>315</v>
      </c>
      <c r="E893" t="inlineStr">
        <is>
          <t>sleep(2) inside 5-iteration loop waiting on manual biometric simulation</t>
        </is>
      </c>
      <c r="F893" t="b">
        <v>1</v>
      </c>
    </row>
    <row r="894">
      <c r="A894" t="inlineStr">
        <is>
          <t>financialwell</t>
        </is>
      </c>
      <c r="B894" t="inlineStr">
        <is>
          <t>/Users/manczg/Documents/development/financialwell/UITests/Authentication/LockScreenUITests.swift</t>
        </is>
      </c>
      <c r="C894" t="inlineStr">
        <is>
          <t>tests-04</t>
        </is>
      </c>
      <c r="D894" t="n">
        <v>358</v>
      </c>
      <c r="E894" t="inlineStr">
        <is>
          <t>sleep(2) waiting for app state after passcode tap</t>
        </is>
      </c>
      <c r="F894" t="b">
        <v>1</v>
      </c>
    </row>
    <row r="895">
      <c r="A895" t="inlineStr">
        <is>
          <t>financialwell</t>
        </is>
      </c>
      <c r="B895" t="inlineStr">
        <is>
          <t>/Users/manczg/Documents/development/financialwell/UITests/Authentication/LockScreenUITests.swift</t>
        </is>
      </c>
      <c r="C895" t="inlineStr">
        <is>
          <t>tests-04</t>
        </is>
      </c>
      <c r="D895" t="n">
        <v>384</v>
      </c>
      <c r="E895" t="inlineStr">
        <is>
          <t>sleep(3) waiting on manual passcode entry, non-deterministic</t>
        </is>
      </c>
      <c r="F895" t="b">
        <v>1</v>
      </c>
    </row>
    <row r="896">
      <c r="A896" t="inlineStr">
        <is>
          <t>financialwell</t>
        </is>
      </c>
      <c r="B896" t="inlineStr">
        <is>
          <t>/Users/manczg/Documents/development/financialwell/UITests/Authentication/LockScreenUITests.swift</t>
        </is>
      </c>
      <c r="C896" t="inlineStr">
        <is>
          <t>tests-04</t>
        </is>
      </c>
      <c r="D896" t="n">
        <v>446</v>
      </c>
      <c r="E896" t="inlineStr">
        <is>
          <t>sleep(1) hardcoded wait in setupPIN() confirmation step</t>
        </is>
      </c>
      <c r="F896" t="b">
        <v>1</v>
      </c>
    </row>
    <row r="897">
      <c r="A897" t="inlineStr">
        <is>
          <t>financialwell</t>
        </is>
      </c>
      <c r="B897" t="inlineStr">
        <is>
          <t>/Users/manczg/Documents/development/financialwell/UITests/Authentication/LockScreenUITests.swift</t>
        </is>
      </c>
      <c r="C897" t="inlineStr">
        <is>
          <t>tests-04</t>
        </is>
      </c>
      <c r="D897" t="n">
        <v>454</v>
      </c>
      <c r="E897" t="inlineStr">
        <is>
          <t>sleep(1) hardcoded wait in setupPIN() completion step</t>
        </is>
      </c>
      <c r="F897" t="b">
        <v>1</v>
      </c>
    </row>
    <row r="898">
      <c r="A898" t="inlineStr">
        <is>
          <t>financialwell</t>
        </is>
      </c>
      <c r="B898" t="inlineStr">
        <is>
          <t>/Users/manczg/Documents/development/financialwell/UITests/Authentication/LockScreenUITests.swift</t>
        </is>
      </c>
      <c r="C898" t="inlineStr">
        <is>
          <t>tests-04</t>
        </is>
      </c>
      <c r="D898" t="n">
        <v>512</v>
      </c>
      <c r="E898" t="inlineStr">
        <is>
          <t>sleep(1) hardcoded wait instead of waiting for pinTitle to disappear</t>
        </is>
      </c>
      <c r="F898" t="b">
        <v>1</v>
      </c>
    </row>
    <row r="899">
      <c r="A899" t="inlineStr">
        <is>
          <t>financialwell</t>
        </is>
      </c>
      <c r="B899" t="inlineStr">
        <is>
          <t>/Users/manczg/Documents/development/financialwell/UITests/Authentication/LockScreenUITests.swift</t>
        </is>
      </c>
      <c r="C899" t="inlineStr">
        <is>
          <t>tests-04</t>
        </is>
      </c>
      <c r="D899" t="n">
        <v>536</v>
      </c>
      <c r="E899" t="inlineStr">
        <is>
          <t>sleep(1) hardcoded wait before checking error message</t>
        </is>
      </c>
      <c r="F899" t="b">
        <v>1</v>
      </c>
    </row>
    <row r="900">
      <c r="A900" t="inlineStr">
        <is>
          <t>financialwell</t>
        </is>
      </c>
      <c r="B900" t="inlineStr">
        <is>
          <t>/Users/manczg/Documents/development/financialwell/UITests/Authentication/LockScreenUITests.swift</t>
        </is>
      </c>
      <c r="C900" t="inlineStr">
        <is>
          <t>tests-04</t>
        </is>
      </c>
      <c r="D900" t="n">
        <v>602</v>
      </c>
      <c r="E900" t="inlineStr">
        <is>
          <t>sleep(1) hardcoded wait before checking error message</t>
        </is>
      </c>
      <c r="F900" t="b">
        <v>1</v>
      </c>
    </row>
    <row r="901">
      <c r="A901" t="inlineStr">
        <is>
          <t>financialwell</t>
        </is>
      </c>
      <c r="B901" t="inlineStr">
        <is>
          <t>/Users/manczg/Documents/development/financialwell/UITests/Authentication/LockScreenUITests.swift</t>
        </is>
      </c>
      <c r="C901" t="inlineStr">
        <is>
          <t>tests-04</t>
        </is>
      </c>
      <c r="D901" t="n">
        <v>647</v>
      </c>
      <c r="E901" t="inlineStr">
        <is>
          <t>sleep(2) waiting on manual/system biometric dialog, non-deterministic</t>
        </is>
      </c>
      <c r="F901" t="b">
        <v>1</v>
      </c>
    </row>
    <row r="902">
      <c r="A902" t="inlineStr">
        <is>
          <t>financialwell</t>
        </is>
      </c>
      <c r="B902" t="inlineStr">
        <is>
          <t>/Users/manczg/Documents/development/financialwell/UITests/Authentication/LockScreenUITests.swift</t>
        </is>
      </c>
      <c r="C902" t="inlineStr">
        <is>
          <t>tests-08</t>
        </is>
      </c>
      <c r="D902" t="n">
        <v>349</v>
      </c>
      <c r="E902" t="inlineStr">
        <is>
          <t>XCTSkip used because precondition (5 biometric failures) is never actually triggered</t>
        </is>
      </c>
      <c r="F902" t="b">
        <v>1</v>
      </c>
    </row>
    <row r="903">
      <c r="A903" t="inlineStr">
        <is>
          <t>financialwell</t>
        </is>
      </c>
      <c r="B903" t="inlineStr">
        <is>
          <t>/Users/manczg/Documents/development/financialwell/UITests/Authentication/LockScreenUITests.swift</t>
        </is>
      </c>
      <c r="C903" t="inlineStr">
        <is>
          <t>tests-08</t>
        </is>
      </c>
      <c r="D903" t="n">
        <v>376</v>
      </c>
      <c r="E903" t="inlineStr">
        <is>
          <t>XCTSkip used because precondition (5 biometric failures) is never actually triggered</t>
        </is>
      </c>
      <c r="F903" t="b">
        <v>1</v>
      </c>
    </row>
    <row r="904">
      <c r="A904" t="inlineStr">
        <is>
          <t>financialwell</t>
        </is>
      </c>
      <c r="B904" t="inlineStr">
        <is>
          <t>/Users/manczg/Documents/development/financialwell/UITests/Authentication/LockScreenUITests.swift</t>
        </is>
      </c>
      <c r="C904" t="inlineStr">
        <is>
          <t>tests-08</t>
        </is>
      </c>
      <c r="D904" t="n">
        <v>408</v>
      </c>
      <c r="E904" t="inlineStr">
        <is>
          <t>XCTSkip used because precondition (5 biometric failures) is never actually triggered</t>
        </is>
      </c>
      <c r="F904" t="b">
        <v>1</v>
      </c>
    </row>
    <row r="905">
      <c r="A905" t="inlineStr">
        <is>
          <t>financialwell</t>
        </is>
      </c>
      <c r="B905" t="inlineStr">
        <is>
          <t>/Users/manczg/Documents/development/financialwell/UITests/Authentication/LockScreenUITests.swift</t>
        </is>
      </c>
      <c r="C905" t="inlineStr">
        <is>
          <t>tests-09</t>
        </is>
      </c>
      <c r="D905" t="n">
        <v>123</v>
      </c>
      <c r="E905" t="inlineStr">
        <is>
          <t>XCTAssertTrue(true, ...) is a tautology, asserts nothing meaningful</t>
        </is>
      </c>
      <c r="F905" t="b">
        <v>1</v>
      </c>
    </row>
    <row r="906">
      <c r="A906" t="inlineStr">
        <is>
          <t>financialwell</t>
        </is>
      </c>
      <c r="B906" t="inlineStr">
        <is>
          <t>/Users/manczg/Documents/development/financialwell/UITests/Authentication/LockScreenUITests.swift</t>
        </is>
      </c>
      <c r="C906" t="inlineStr">
        <is>
          <t>smells-23</t>
        </is>
      </c>
      <c r="D906" t="n">
        <v>423</v>
      </c>
      <c r="E906" t="inlineStr">
        <is>
          <t>print() debug statement left in test code</t>
        </is>
      </c>
      <c r="F906" t="b">
        <v>0</v>
      </c>
    </row>
    <row r="907">
      <c r="A907" t="inlineStr">
        <is>
          <t>dddd</t>
        </is>
      </c>
      <c r="B907" t="inlineStr">
        <is>
          <t>/Users/manczg/Documents/development/dddd/src/metrics/pr-cycle-time-dashboard.ts</t>
        </is>
      </c>
      <c r="C907" t="inlineStr">
        <is>
          <t>smells-01</t>
        </is>
      </c>
      <c r="D907" t="n">
        <v>1</v>
      </c>
      <c r="E907" t="inlineStr">
        <is>
          <t>834-line file exceeds reasonable single-file size</t>
        </is>
      </c>
      <c r="F907" t="b">
        <v>0</v>
      </c>
    </row>
    <row r="908">
      <c r="A908" t="inlineStr">
        <is>
          <t>dddd</t>
        </is>
      </c>
      <c r="B908" t="inlineStr">
        <is>
          <t>/Users/manczg/Documents/development/dddd/src/metrics/pr-cycle-time-dashboard.ts</t>
        </is>
      </c>
      <c r="C908" t="inlineStr">
        <is>
          <t>clarity-17</t>
        </is>
      </c>
      <c r="D908" t="n">
        <v>349</v>
      </c>
      <c r="E908" t="inlineStr">
        <is>
          <t>getPrCycleTimeDashboard spans ~474 lines (349-822)</t>
        </is>
      </c>
      <c r="F908" t="b">
        <v>1</v>
      </c>
    </row>
    <row r="909">
      <c r="A909" t="inlineStr">
        <is>
          <t>dddd</t>
        </is>
      </c>
      <c r="B909" t="inlineStr">
        <is>
          <t>/Users/manczg/Documents/development/dddd/src/metrics/pr-cycle-time-dashboard.ts</t>
        </is>
      </c>
      <c r="C909" t="inlineStr">
        <is>
          <t>clarity-16</t>
        </is>
      </c>
      <c r="D909" t="n">
        <v>349</v>
      </c>
      <c r="E909" t="inlineStr">
        <is>
          <t>getPrCycleTimeDashboard has very high cyclomatic complexity from dozens of branches/loops</t>
        </is>
      </c>
      <c r="F909" t="b">
        <v>1</v>
      </c>
    </row>
    <row r="910">
      <c r="A910" t="inlineStr">
        <is>
          <t>dddd</t>
        </is>
      </c>
      <c r="B910" t="inlineStr">
        <is>
          <t>/Users/manczg/Documents/development/dddd/src/metrics/pr-cycle-time-dashboard.ts</t>
        </is>
      </c>
      <c r="C910" t="inlineStr">
        <is>
          <t>clarity-09</t>
        </is>
      </c>
      <c r="D910" t="n">
        <v>509</v>
      </c>
      <c r="E910" t="inlineStr">
        <is>
          <t>4-term boolean condition inlined in if() instead of a named predicate</t>
        </is>
      </c>
      <c r="F910" t="b">
        <v>1</v>
      </c>
    </row>
    <row r="911">
      <c r="A911" t="inlineStr">
        <is>
          <t>dddd</t>
        </is>
      </c>
      <c r="B911" t="inlineStr">
        <is>
          <t>/Users/manczg/Documents/development/dddd/src/metrics/pr-cycle-time-dashboard.ts</t>
        </is>
      </c>
      <c r="C911" t="inlineStr">
        <is>
          <t>arch-02</t>
        </is>
      </c>
      <c r="D911" t="n">
        <v>1</v>
      </c>
      <c r="E911" t="inlineStr">
        <is>
          <t>metrics/business module imports drizzle-orm query operators directly</t>
        </is>
      </c>
      <c r="F911" t="b">
        <v>1</v>
      </c>
    </row>
    <row r="912">
      <c r="A912" t="inlineStr">
        <is>
          <t>dddd</t>
        </is>
      </c>
      <c r="B912" t="inlineStr">
        <is>
          <t>/Users/manczg/Documents/development/dddd/src/metrics/pr-cycle-time-dashboard.ts</t>
        </is>
      </c>
      <c r="C912" t="inlineStr">
        <is>
          <t>arch-02</t>
        </is>
      </c>
      <c r="D912" t="n">
        <v>356</v>
      </c>
      <c r="E912" t="inlineStr">
        <is>
          <t>raw drizzle select/where query embedded directly in business computation function</t>
        </is>
      </c>
      <c r="F912" t="b">
        <v>0</v>
      </c>
    </row>
    <row r="913">
      <c r="A913" t="inlineStr">
        <is>
          <t>dddd</t>
        </is>
      </c>
      <c r="B913" t="inlineStr">
        <is>
          <t>/Users/manczg/Documents/development/dddd/src/metrics/pr-cycle-time-dashboard.ts</t>
        </is>
      </c>
      <c r="C913" t="inlineStr">
        <is>
          <t>arch-02</t>
        </is>
      </c>
      <c r="D913" t="n">
        <v>469</v>
      </c>
      <c r="E913" t="inlineStr">
        <is>
          <t>raw drizzle select/orderBy/limit query embedded directly in business function</t>
        </is>
      </c>
      <c r="F913" t="b">
        <v>0</v>
      </c>
    </row>
    <row r="914">
      <c r="A914" t="inlineStr">
        <is>
          <t>dddd</t>
        </is>
      </c>
      <c r="B914" t="inlineStr">
        <is>
          <t>/Users/manczg/Documents/development/dddd/src/metrics/pr-cycle-time-dashboard.ts</t>
        </is>
      </c>
      <c r="C914" t="inlineStr">
        <is>
          <t>smells-21</t>
        </is>
      </c>
      <c r="D914" t="n">
        <v>291</v>
      </c>
      <c r="E914" t="inlineStr">
        <is>
          <t>unchecked cast row.state as PullRequestRecord['state'] bypasses type safety</t>
        </is>
      </c>
      <c r="F914" t="b">
        <v>1</v>
      </c>
    </row>
    <row r="915">
      <c r="A915" t="inlineStr">
        <is>
          <t>dddd</t>
        </is>
      </c>
      <c r="B915" t="inlineStr">
        <is>
          <t>/Users/manczg/Documents/development/dddd/src/metrics/pr-cycle-time-dashboard.ts</t>
        </is>
      </c>
      <c r="C915" t="inlineStr">
        <is>
          <t>smells-21</t>
        </is>
      </c>
      <c r="D915" t="n">
        <v>646</v>
      </c>
      <c r="E915" t="inlineStr">
        <is>
          <t>unchecked cast r.state as ReviewRow['state'] bypasses type safety</t>
        </is>
      </c>
      <c r="F915" t="b">
        <v>1</v>
      </c>
    </row>
    <row r="916">
      <c r="A916" t="inlineStr">
        <is>
          <t>dddd</t>
        </is>
      </c>
      <c r="B916" t="inlineStr">
        <is>
          <t>/Users/manczg/Documents/development/dddd/src/metrics/pr-cycle-time-dashboard.ts</t>
        </is>
      </c>
      <c r="C916" t="inlineStr">
        <is>
          <t>smells-21</t>
        </is>
      </c>
      <c r="D916" t="n">
        <v>671</v>
      </c>
      <c r="E916" t="inlineStr">
        <is>
          <t>p.mergedAt as Date escape hatch asserts non-null without a runtime check at this line</t>
        </is>
      </c>
      <c r="F916" t="b">
        <v>1</v>
      </c>
    </row>
    <row r="917">
      <c r="A917" t="inlineStr">
        <is>
          <t>dddd</t>
        </is>
      </c>
      <c r="B917" t="inlineStr">
        <is>
          <t>/Users/manczg/Documents/development/dddd/src/metrics/pr-cycle-time-dashboard.ts</t>
        </is>
      </c>
      <c r="C917" t="inlineStr">
        <is>
          <t>smells-21</t>
        </is>
      </c>
      <c r="D917" t="n">
        <v>790</v>
      </c>
      <c r="E917" t="inlineStr">
        <is>
          <t>r.lastReviewSyncedAt as Date escape hatch asserts non-null without a runtime check at this line</t>
        </is>
      </c>
      <c r="F917" t="b">
        <v>1</v>
      </c>
    </row>
    <row r="918">
      <c r="A918" t="inlineStr">
        <is>
          <t>dddd</t>
        </is>
      </c>
      <c r="B918" t="inlineStr">
        <is>
          <t>/Users/manczg/Documents/development/dddd/src/metrics/pr-cycle-time-dashboard.ts</t>
        </is>
      </c>
      <c r="C918" t="inlineStr">
        <is>
          <t>solid-07</t>
        </is>
      </c>
      <c r="D918" t="n">
        <v>64</v>
      </c>
      <c r="E918" t="inlineStr">
        <is>
          <t>PrCycleTimeException models hours/percentages as raw numbers instead of value types</t>
        </is>
      </c>
      <c r="F918" t="b">
        <v>0</v>
      </c>
    </row>
    <row r="919">
      <c r="A919" t="inlineStr">
        <is>
          <t>dddd</t>
        </is>
      </c>
      <c r="B919" t="inlineStr">
        <is>
          <t>/Users/manczg/Documents/development/dddd/src/components/dashboard/PrCycleTimeDashboard.tsx</t>
        </is>
      </c>
      <c r="C919" t="inlineStr">
        <is>
          <t>smells-01</t>
        </is>
      </c>
      <c r="D919" t="n">
        <v>1</v>
      </c>
      <c r="E919" t="inlineStr">
        <is>
          <t>700-line component file</t>
        </is>
      </c>
      <c r="F919" t="b">
        <v>0</v>
      </c>
    </row>
    <row r="920">
      <c r="A920" t="inlineStr">
        <is>
          <t>dddd</t>
        </is>
      </c>
      <c r="B920" t="inlineStr">
        <is>
          <t>/Users/manczg/Documents/development/dddd/src/components/dashboard/PrCycleTimeDashboard.tsx</t>
        </is>
      </c>
      <c r="C920" t="inlineStr">
        <is>
          <t>clarity-17</t>
        </is>
      </c>
      <c r="D920" t="n">
        <v>240</v>
      </c>
      <c r="E920" t="inlineStr">
        <is>
          <t>PrCycleTimeDashboard component body spans ~333 lines</t>
        </is>
      </c>
      <c r="F920" t="b">
        <v>1</v>
      </c>
    </row>
    <row r="921">
      <c r="A921" t="inlineStr">
        <is>
          <t>dddd</t>
        </is>
      </c>
      <c r="B921" t="inlineStr">
        <is>
          <t>/Users/manczg/Documents/development/dddd/src/components/dashboard/PrCycleTimeDashboard.tsx</t>
        </is>
      </c>
      <c r="C921" t="inlineStr">
        <is>
          <t>clarity-16</t>
        </is>
      </c>
      <c r="D921" t="n">
        <v>240</v>
      </c>
      <c r="E921" t="inlineStr">
        <is>
          <t>PrCycleTimeDashboard has high cyclomatic complexity from many render-state branches</t>
        </is>
      </c>
      <c r="F921" t="b">
        <v>1</v>
      </c>
    </row>
    <row r="922">
      <c r="A922" t="inlineStr">
        <is>
          <t>dddd</t>
        </is>
      </c>
      <c r="B922" t="inlineStr">
        <is>
          <t>/Users/manczg/Documents/development/dddd/src/components/dashboard/PrCycleTimeDashboard.tsx</t>
        </is>
      </c>
      <c r="C922" t="inlineStr">
        <is>
          <t>clarity-09</t>
        </is>
      </c>
      <c r="D922" t="n">
        <v>383</v>
      </c>
      <c r="E922" t="inlineStr">
        <is>
          <t>inline 3-term boolean (baselinePending &amp;&amp; !noRepos &amp;&amp; !noMerged) not extracted</t>
        </is>
      </c>
      <c r="F922" t="b">
        <v>1</v>
      </c>
    </row>
    <row r="923">
      <c r="A923" t="inlineStr">
        <is>
          <t>dddd</t>
        </is>
      </c>
      <c r="B923" t="inlineStr">
        <is>
          <t>/Users/manczg/Documents/development/dddd/src/components/dashboard/PrCycleTimeDashboard.tsx</t>
        </is>
      </c>
      <c r="C923" t="inlineStr">
        <is>
          <t>clarity-09</t>
        </is>
      </c>
      <c r="D923" t="n">
        <v>444</v>
      </c>
      <c r="E923" t="inlineStr">
        <is>
          <t>inline 2-term boolean duplicating a similar condition, not extracted</t>
        </is>
      </c>
      <c r="F923" t="b">
        <v>0</v>
      </c>
    </row>
    <row r="924">
      <c r="A924" t="inlineStr">
        <is>
          <t>dddd</t>
        </is>
      </c>
      <c r="B924" t="inlineStr">
        <is>
          <t>/Users/manczg/Documents/development/dddd/src/components/dashboard/PrCycleTimeDashboard.tsx</t>
        </is>
      </c>
      <c r="C924" t="inlineStr">
        <is>
          <t>solid-15</t>
        </is>
      </c>
      <c r="D924" t="n">
        <v>134</v>
      </c>
      <c r="E924" t="inlineStr">
        <is>
          <t>switch on e.type to pick exception title, duplicated across sibling functions</t>
        </is>
      </c>
      <c r="F924" t="b">
        <v>1</v>
      </c>
    </row>
    <row r="925">
      <c r="A925" t="inlineStr">
        <is>
          <t>dddd</t>
        </is>
      </c>
      <c r="B925" t="inlineStr">
        <is>
          <t>/Users/manczg/Documents/development/dddd/src/components/dashboard/PrCycleTimeDashboard.tsx</t>
        </is>
      </c>
      <c r="C925" t="inlineStr">
        <is>
          <t>solid-15</t>
        </is>
      </c>
      <c r="D925" t="n">
        <v>148</v>
      </c>
      <c r="E925" t="inlineStr">
        <is>
          <t>switch on e.type to pick exception metric text</t>
        </is>
      </c>
      <c r="F925" t="b">
        <v>1</v>
      </c>
    </row>
    <row r="926">
      <c r="A926" t="inlineStr">
        <is>
          <t>dddd</t>
        </is>
      </c>
      <c r="B926" t="inlineStr">
        <is>
          <t>/Users/manczg/Documents/development/dddd/src/components/dashboard/PrCycleTimeDashboard.tsx</t>
        </is>
      </c>
      <c r="C926" t="inlineStr">
        <is>
          <t>solid-15</t>
        </is>
      </c>
      <c r="D926" t="n">
        <v>172</v>
      </c>
      <c r="E926" t="inlineStr">
        <is>
          <t>switch on e.type to pick exception recommendation text</t>
        </is>
      </c>
      <c r="F926" t="b">
        <v>1</v>
      </c>
    </row>
    <row r="927">
      <c r="A927" t="inlineStr">
        <is>
          <t>dddd</t>
        </is>
      </c>
      <c r="B927" t="inlineStr">
        <is>
          <t>/Users/manczg/Documents/development/dddd/src/components/dashboard/PrCycleTimeDashboard.tsx</t>
        </is>
      </c>
      <c r="C927" t="inlineStr">
        <is>
          <t>safety-03</t>
        </is>
      </c>
      <c r="D927" t="n">
        <v>329</v>
      </c>
      <c r="E927" t="inlineStr">
        <is>
          <t>void onRefresh() fire-and-forget with no .catch/error handling</t>
        </is>
      </c>
      <c r="F927" t="b">
        <v>1</v>
      </c>
    </row>
    <row r="928">
      <c r="A928" t="inlineStr">
        <is>
          <t>dddd</t>
        </is>
      </c>
      <c r="B928" t="inlineStr">
        <is>
          <t>/Users/manczg/Documents/development/dddd/src/components/dashboard/PrCycleTimeDashboard.tsx</t>
        </is>
      </c>
      <c r="C928" t="inlineStr">
        <is>
          <t>safety-03</t>
        </is>
      </c>
      <c r="D928" t="n">
        <v>353</v>
      </c>
      <c r="E928" t="inlineStr">
        <is>
          <t>void onRefresh?.() fire-and-forget with no .catch/error handling</t>
        </is>
      </c>
      <c r="F928" t="b">
        <v>1</v>
      </c>
    </row>
    <row r="929">
      <c r="A929" t="inlineStr">
        <is>
          <t>dddd</t>
        </is>
      </c>
      <c r="B929" t="inlineStr">
        <is>
          <t>/Users/manczg/Documents/development/dddd/src/collector/github-client.ts</t>
        </is>
      </c>
      <c r="C929" t="inlineStr">
        <is>
          <t>safety-10</t>
        </is>
      </c>
      <c r="D929" t="n">
        <v>264</v>
      </c>
      <c r="E929" t="inlineStr">
        <is>
          <t>catch rethrows new GitHubSyncError without passing the original JSON.parse error as cause</t>
        </is>
      </c>
      <c r="F929" t="b">
        <v>0</v>
      </c>
    </row>
    <row r="930">
      <c r="A930" t="inlineStr">
        <is>
          <t>dddd</t>
        </is>
      </c>
      <c r="B930" t="inlineStr">
        <is>
          <t>/Users/manczg/Documents/development/dddd/src/collector/github-client.ts</t>
        </is>
      </c>
      <c r="C930" t="inlineStr">
        <is>
          <t>safety-10</t>
        </is>
      </c>
      <c r="D930" t="n">
        <v>314</v>
      </c>
      <c r="E930" t="inlineStr">
        <is>
          <t>catch rethrows new GitHubSyncError on abort without passing the original err as cause</t>
        </is>
      </c>
      <c r="F930" t="b">
        <v>0</v>
      </c>
    </row>
    <row r="931">
      <c r="A931" t="inlineStr">
        <is>
          <t>dddd</t>
        </is>
      </c>
      <c r="B931" t="inlineStr">
        <is>
          <t>/Users/manczg/Documents/development/dddd/src/collector/github-client.ts</t>
        </is>
      </c>
      <c r="C931" t="inlineStr">
        <is>
          <t>smells-12</t>
        </is>
      </c>
      <c r="D931" t="n">
        <v>77</v>
      </c>
      <c r="E931" t="inlineStr">
        <is>
          <t>catch swallows URL parse error, silently returns false with no logging</t>
        </is>
      </c>
      <c r="F931" t="b">
        <v>0</v>
      </c>
    </row>
    <row r="932">
      <c r="A932" t="inlineStr">
        <is>
          <t>dddd</t>
        </is>
      </c>
      <c r="B932" t="inlineStr">
        <is>
          <t>/Users/manczg/Documents/development/dddd/src/collector/github-client.ts</t>
        </is>
      </c>
      <c r="C932" t="inlineStr">
        <is>
          <t>clarity-17</t>
        </is>
      </c>
      <c r="D932" t="n">
        <v>96</v>
      </c>
      <c r="E932" t="inlineStr">
        <is>
          <t>normalizePullRequest is ~72 lines of sequential validation</t>
        </is>
      </c>
      <c r="F932" t="b">
        <v>0</v>
      </c>
    </row>
    <row r="933">
      <c r="A933" t="inlineStr">
        <is>
          <t>dddd</t>
        </is>
      </c>
      <c r="B933" t="inlineStr">
        <is>
          <t>/Users/manczg/Documents/development/dddd/src/collector/github-client.ts</t>
        </is>
      </c>
      <c r="C933" t="inlineStr">
        <is>
          <t>clarity-16</t>
        </is>
      </c>
      <c r="D933" t="n">
        <v>96</v>
      </c>
      <c r="E933" t="inlineStr">
        <is>
          <t>normalizePullRequest has ~12 sequential branch/throw conditions</t>
        </is>
      </c>
      <c r="F933" t="b">
        <v>1</v>
      </c>
    </row>
    <row r="934">
      <c r="A934" t="inlineStr">
        <is>
          <t>dddd</t>
        </is>
      </c>
      <c r="B934" t="inlineStr">
        <is>
          <t>/Users/manczg/Documents/development/dddd/src/collector/github-client.ts</t>
        </is>
      </c>
      <c r="C934" t="inlineStr">
        <is>
          <t>clarity-17</t>
        </is>
      </c>
      <c r="D934" t="n">
        <v>480</v>
      </c>
      <c r="E934" t="inlineStr">
        <is>
          <t>listPullRequests spans ~107 lines with nested pagination/error logic</t>
        </is>
      </c>
      <c r="F934" t="b">
        <v>0</v>
      </c>
    </row>
    <row r="935">
      <c r="A935" t="inlineStr">
        <is>
          <t>dddd</t>
        </is>
      </c>
      <c r="B935" t="inlineStr">
        <is>
          <t>/Users/manczg/Documents/development/dddd/src/collector/github-client.ts</t>
        </is>
      </c>
      <c r="C935" t="inlineStr">
        <is>
          <t>clarity-16</t>
        </is>
      </c>
      <c r="D935" t="n">
        <v>480</v>
      </c>
      <c r="E935" t="inlineStr">
        <is>
          <t>listPullRequests has high cyclomatic complexity from loop plus multiple status/bound branches</t>
        </is>
      </c>
      <c r="F935" t="b">
        <v>1</v>
      </c>
    </row>
    <row r="936">
      <c r="A936" t="inlineStr">
        <is>
          <t>dddd</t>
        </is>
      </c>
      <c r="B936" t="inlineStr">
        <is>
          <t>/Users/manczg/Documents/development/dddd/src/components/dashboard/weekly-trend-chart.tsx</t>
        </is>
      </c>
      <c r="C936" t="inlineStr">
        <is>
          <t>smells-01</t>
        </is>
      </c>
      <c r="D936" t="n">
        <v>1</v>
      </c>
      <c r="E936" t="inlineStr">
        <is>
          <t>526-line file</t>
        </is>
      </c>
      <c r="F936" t="b">
        <v>0</v>
      </c>
    </row>
    <row r="937">
      <c r="A937" t="inlineStr">
        <is>
          <t>dddd</t>
        </is>
      </c>
      <c r="B937" t="inlineStr">
        <is>
          <t>/Users/manczg/Documents/development/dddd/src/components/dashboard/weekly-trend-chart.tsx</t>
        </is>
      </c>
      <c r="C937" t="inlineStr">
        <is>
          <t>clarity-17</t>
        </is>
      </c>
      <c r="D937" t="n">
        <v>145</v>
      </c>
      <c r="E937" t="inlineStr">
        <is>
          <t>WeeklyTrendChart component spans ~380 lines</t>
        </is>
      </c>
      <c r="F937" t="b">
        <v>1</v>
      </c>
    </row>
    <row r="938">
      <c r="A938" t="inlineStr">
        <is>
          <t>dddd</t>
        </is>
      </c>
      <c r="B938" t="inlineStr">
        <is>
          <t>/Users/manczg/Documents/development/dddd/src/components/dashboard/weekly-trend-chart.tsx</t>
        </is>
      </c>
      <c r="C938" t="inlineStr">
        <is>
          <t>clarity-16</t>
        </is>
      </c>
      <c r="D938" t="n">
        <v>145</v>
      </c>
      <c r="E938" t="inlineStr">
        <is>
          <t>WeeklyTrendChart has very high cyclomatic complexity from linesMode/comparison branching throughout</t>
        </is>
      </c>
      <c r="F938" t="b">
        <v>1</v>
      </c>
    </row>
    <row r="939">
      <c r="A939" t="inlineStr">
        <is>
          <t>dddd</t>
        </is>
      </c>
      <c r="B939" t="inlineStr">
        <is>
          <t>/Users/manczg/Documents/development/dddd/src/components/dashboard/weekly-trend-chart.tsx</t>
        </is>
      </c>
      <c r="C939" t="inlineStr">
        <is>
          <t>clarity-09</t>
        </is>
      </c>
      <c r="D939" t="n">
        <v>151</v>
      </c>
      <c r="E939" t="inlineStr">
        <is>
          <t>5-term boolean expression inlined for lineComparisonBucketCount, not a named predicate</t>
        </is>
      </c>
      <c r="F939" t="b">
        <v>1</v>
      </c>
    </row>
    <row r="940">
      <c r="A940" t="inlineStr">
        <is>
          <t>dddd</t>
        </is>
      </c>
      <c r="B940" t="inlineStr">
        <is>
          <t>/Users/manczg/Documents/development/dddd/src/components/dashboard/weekly-trend-chart.tsx</t>
        </is>
      </c>
      <c r="C940" t="inlineStr">
        <is>
          <t>safety-02</t>
        </is>
      </c>
      <c r="D940" t="n">
        <v>122</v>
      </c>
      <c r="E940" t="inlineStr">
        <is>
          <t>non-null assertion points[j]! forces unwrap without a guard</t>
        </is>
      </c>
      <c r="F940" t="b">
        <v>1</v>
      </c>
    </row>
    <row r="941">
      <c r="A941" t="inlineStr">
        <is>
          <t>dddd</t>
        </is>
      </c>
      <c r="B941" t="inlineStr">
        <is>
          <t>/Users/manczg/Documents/development/dddd/src/components/dashboard/weekly-trend-chart.tsx</t>
        </is>
      </c>
      <c r="C941" t="inlineStr">
        <is>
          <t>safety-02</t>
        </is>
      </c>
      <c r="D941" t="n">
        <v>132</v>
      </c>
      <c r="E941" t="inlineStr">
        <is>
          <t>non-null assertion current.at(-1)! forces unwrap</t>
        </is>
      </c>
      <c r="F941" t="b">
        <v>0</v>
      </c>
    </row>
    <row r="942">
      <c r="A942" t="inlineStr">
        <is>
          <t>dddd</t>
        </is>
      </c>
      <c r="B942" t="inlineStr">
        <is>
          <t>/Users/manczg/Documents/development/dddd/src/components/dashboard/weekly-trend-chart.tsx</t>
        </is>
      </c>
      <c r="C942" t="inlineStr">
        <is>
          <t>safety-02</t>
        </is>
      </c>
      <c r="D942" t="n">
        <v>216</v>
      </c>
      <c r="E942" t="inlineStr">
        <is>
          <t>non-null assertion lineComparisonBucketCount! relies on a distant invariant</t>
        </is>
      </c>
      <c r="F942" t="b">
        <v>1</v>
      </c>
    </row>
    <row r="943">
      <c r="A943" t="inlineStr">
        <is>
          <t>dddd</t>
        </is>
      </c>
      <c r="B943" t="inlineStr">
        <is>
          <t>/Users/manczg/Documents/development/dddd/src/components/dashboard/weekly-trend-chart.tsx</t>
        </is>
      </c>
      <c r="C943" t="inlineStr">
        <is>
          <t>safety-07</t>
        </is>
      </c>
      <c r="D943" t="n">
        <v>84</v>
      </c>
      <c r="E943" t="inlineStr">
        <is>
          <t>eslint-disable-next-line suppresses react-refresh/only-export-components warning</t>
        </is>
      </c>
      <c r="F943" t="b">
        <v>1</v>
      </c>
    </row>
    <row r="944">
      <c r="A944" t="inlineStr">
        <is>
          <t>dddd</t>
        </is>
      </c>
      <c r="B944" t="inlineStr">
        <is>
          <t>/Users/manczg/Documents/development/dddd/src/collector/pr-size-sync.ts</t>
        </is>
      </c>
      <c r="C944" t="inlineStr">
        <is>
          <t>solid-09</t>
        </is>
      </c>
      <c r="D944" t="n">
        <v>44</v>
      </c>
      <c r="E944" t="inlineStr">
        <is>
          <t>module-level mutable let gitExecOverride is global test-hook state</t>
        </is>
      </c>
      <c r="F944" t="b">
        <v>1</v>
      </c>
    </row>
    <row r="945">
      <c r="A945" t="inlineStr">
        <is>
          <t>dddd</t>
        </is>
      </c>
      <c r="B945" t="inlineStr">
        <is>
          <t>/Users/manczg/Documents/development/dddd/src/collector/pr-size-sync.ts</t>
        </is>
      </c>
      <c r="C945" t="inlineStr">
        <is>
          <t>solid-09</t>
        </is>
      </c>
      <c r="D945" t="n">
        <v>45</v>
      </c>
      <c r="E945" t="inlineStr">
        <is>
          <t>module-level mutable let fetchRepoOverride is global test-hook state</t>
        </is>
      </c>
      <c r="F945" t="b">
        <v>1</v>
      </c>
    </row>
    <row r="946">
      <c r="A946" t="inlineStr">
        <is>
          <t>dddd</t>
        </is>
      </c>
      <c r="B946" t="inlineStr">
        <is>
          <t>/Users/manczg/Documents/development/dddd/src/collector/pr-size-sync.ts</t>
        </is>
      </c>
      <c r="C946" t="inlineStr">
        <is>
          <t>solid-09</t>
        </is>
      </c>
      <c r="D946" t="n">
        <v>46</v>
      </c>
      <c r="E946" t="inlineStr">
        <is>
          <t>module-level mutable let detectMergeStrategyOverride is global test-hook state</t>
        </is>
      </c>
      <c r="F946" t="b">
        <v>1</v>
      </c>
    </row>
    <row r="947">
      <c r="A947" t="inlineStr">
        <is>
          <t>dddd</t>
        </is>
      </c>
      <c r="B947" t="inlineStr">
        <is>
          <t>/Users/manczg/Documents/development/dddd/src/collector/pr-size-sync.ts</t>
        </is>
      </c>
      <c r="C947" t="inlineStr">
        <is>
          <t>solid-09</t>
        </is>
      </c>
      <c r="D947" t="n">
        <v>47</v>
      </c>
      <c r="E947" t="inlineStr">
        <is>
          <t>module-level mutable let findCommitForPrOverride is global test-hook state</t>
        </is>
      </c>
      <c r="F947" t="b">
        <v>1</v>
      </c>
    </row>
    <row r="948">
      <c r="A948" t="inlineStr">
        <is>
          <t>dddd</t>
        </is>
      </c>
      <c r="B948" t="inlineStr">
        <is>
          <t>/Users/manczg/Documents/development/dddd/src/collector/pr-size-sync.ts</t>
        </is>
      </c>
      <c r="C948" t="inlineStr">
        <is>
          <t>smells-02</t>
        </is>
      </c>
      <c r="D948" t="n">
        <v>401</v>
      </c>
      <c r="E948" t="inlineStr">
        <is>
          <t>computeSizeForPr takes 6 positional parameters</t>
        </is>
      </c>
      <c r="F948" t="b">
        <v>0</v>
      </c>
    </row>
    <row r="949">
      <c r="A949" t="inlineStr">
        <is>
          <t>dddd</t>
        </is>
      </c>
      <c r="B949" t="inlineStr">
        <is>
          <t>/Users/manczg/Documents/development/dddd/src/collector/pr-size-sync.ts</t>
        </is>
      </c>
      <c r="C949" t="inlineStr">
        <is>
          <t>smells-12</t>
        </is>
      </c>
      <c r="D949" t="n">
        <v>218</v>
      </c>
      <c r="E949" t="inlineStr">
        <is>
          <t>catch swallows any non-exit-1 error as 'unavailable' with no logging or rethrow</t>
        </is>
      </c>
      <c r="F949" t="b">
        <v>0</v>
      </c>
    </row>
    <row r="950">
      <c r="A950" t="inlineStr">
        <is>
          <t>dddd</t>
        </is>
      </c>
      <c r="B950" t="inlineStr">
        <is>
          <t>/Users/manczg/Documents/development/dddd/src/collector/pr-size-sync.ts</t>
        </is>
      </c>
      <c r="C950" t="inlineStr">
        <is>
          <t>clarity-17</t>
        </is>
      </c>
      <c r="D950" t="n">
        <v>425</v>
      </c>
      <c r="E950" t="inlineStr">
        <is>
          <t>syncRepositoryPrSizes spans ~93 lines</t>
        </is>
      </c>
      <c r="F950" t="b">
        <v>0</v>
      </c>
    </row>
    <row r="951">
      <c r="A951" t="inlineStr">
        <is>
          <t>dddd</t>
        </is>
      </c>
      <c r="B951" t="inlineStr">
        <is>
          <t>/Users/manczg/Documents/development/dddd/src/collector/pr-size-sync.ts</t>
        </is>
      </c>
      <c r="C951" t="inlineStr">
        <is>
          <t>clarity-16</t>
        </is>
      </c>
      <c r="D951" t="n">
        <v>425</v>
      </c>
      <c r="E951" t="inlineStr">
        <is>
          <t>syncRepositoryPrSizes has high cyclomatic complexity from nested try/catch, conditional sha backfill, and loop</t>
        </is>
      </c>
      <c r="F951" t="b">
        <v>1</v>
      </c>
    </row>
    <row r="952">
      <c r="A952" t="inlineStr">
        <is>
          <t>dddd</t>
        </is>
      </c>
      <c r="B952" t="inlineStr">
        <is>
          <t>/Users/manczg/Documents/development/dddd/src/components/dashboard/FirstReviewExceptionsPanel.tsx</t>
        </is>
      </c>
      <c r="C952" t="inlineStr">
        <is>
          <t>solid-15</t>
        </is>
      </c>
      <c r="D952" t="n">
        <v>11</v>
      </c>
      <c r="E952" t="inlineStr">
        <is>
          <t>if-chain dispatch on e.type to select title text</t>
        </is>
      </c>
      <c r="F952" t="b">
        <v>1</v>
      </c>
    </row>
    <row r="953">
      <c r="A953" t="inlineStr">
        <is>
          <t>dddd</t>
        </is>
      </c>
      <c r="B953" t="inlineStr">
        <is>
          <t>/Users/manczg/Documents/development/dddd/src/components/dashboard/FirstReviewExceptionsPanel.tsx</t>
        </is>
      </c>
      <c r="C953" t="inlineStr">
        <is>
          <t>solid-15</t>
        </is>
      </c>
      <c r="D953" t="n">
        <v>17</v>
      </c>
      <c r="E953" t="inlineStr">
        <is>
          <t>if-chain dispatch on e.type to select metric text</t>
        </is>
      </c>
      <c r="F953" t="b">
        <v>1</v>
      </c>
    </row>
    <row r="954">
      <c r="A954" t="inlineStr">
        <is>
          <t>dddd</t>
        </is>
      </c>
      <c r="B954" t="inlineStr">
        <is>
          <t>/Users/manczg/Documents/development/dddd/src/components/dashboard/FirstReviewExceptionsPanel.tsx</t>
        </is>
      </c>
      <c r="C954" t="inlineStr">
        <is>
          <t>solid-15</t>
        </is>
      </c>
      <c r="D954" t="n">
        <v>29</v>
      </c>
      <c r="E954" t="inlineStr">
        <is>
          <t>if-chain dispatch on e.type to select recommendation text</t>
        </is>
      </c>
      <c r="F954" t="b">
        <v>1</v>
      </c>
    </row>
    <row r="955">
      <c r="A955" t="inlineStr">
        <is>
          <t>dddd</t>
        </is>
      </c>
      <c r="B955" t="inlineStr">
        <is>
          <t>/Users/manczg/Documents/development/dddd/src/components/dashboard/FirstReviewExceptionsPanel.tsx</t>
        </is>
      </c>
      <c r="C955" t="inlineStr">
        <is>
          <t>solid-15</t>
        </is>
      </c>
      <c r="D955" t="n">
        <v>35</v>
      </c>
      <c r="E955" t="inlineStr">
        <is>
          <t>if-chain dispatch on e.type to select trend rendering</t>
        </is>
      </c>
      <c r="F955" t="b">
        <v>0</v>
      </c>
    </row>
    <row r="956">
      <c r="A956" t="inlineStr">
        <is>
          <t>dddd</t>
        </is>
      </c>
      <c r="B956" t="inlineStr">
        <is>
          <t>/Users/manczg/Documents/development/dddd/tests/metrics/pr-cycle-time-dashboard.test.ts</t>
        </is>
      </c>
      <c r="C956" t="inlineStr">
        <is>
          <t>smells-01</t>
        </is>
      </c>
      <c r="D956" t="n">
        <v>1</v>
      </c>
      <c r="E956" t="inlineStr">
        <is>
          <t>1149-line test file, far past a reasonable file length</t>
        </is>
      </c>
      <c r="F956" t="b">
        <v>1</v>
      </c>
    </row>
    <row r="957">
      <c r="A957" t="inlineStr">
        <is>
          <t>dddd</t>
        </is>
      </c>
      <c r="B957" t="inlineStr">
        <is>
          <t>/Users/manczg/Documents/development/dddd/tests/metrics/pr-cycle-time-dashboard.test.ts</t>
        </is>
      </c>
      <c r="C957" t="inlineStr">
        <is>
          <t>clarity-17</t>
        </is>
      </c>
      <c r="D957" t="n">
        <v>27</v>
      </c>
      <c r="E957" t="inlineStr">
        <is>
          <t>describe() callback body spans lines 27-1149 (~1120 lines)</t>
        </is>
      </c>
      <c r="F957" t="b">
        <v>1</v>
      </c>
    </row>
    <row r="958">
      <c r="A958" t="inlineStr">
        <is>
          <t>dddd</t>
        </is>
      </c>
      <c r="B958" t="inlineStr">
        <is>
          <t>/Users/manczg/Documents/development/dddd/tests/metrics/pr-cycle-time-dashboard.test.ts</t>
        </is>
      </c>
      <c r="C958" t="inlineStr">
        <is>
          <t>tests-06</t>
        </is>
      </c>
      <c r="D958" t="n">
        <v>28</v>
      </c>
      <c r="E958" t="inlineStr">
        <is>
          <t>db/testRoot/mappingPath/mappingDir held in describe-scope let, shared and mutated across every test</t>
        </is>
      </c>
      <c r="F958" t="b">
        <v>0</v>
      </c>
    </row>
    <row r="959">
      <c r="A959" t="inlineStr">
        <is>
          <t>dddd</t>
        </is>
      </c>
      <c r="B959" t="inlineStr">
        <is>
          <t>/Users/manczg/Documents/development/dddd/tests/metrics/pr-cycle-time-dashboard.test.ts</t>
        </is>
      </c>
      <c r="C959" t="inlineStr">
        <is>
          <t>safety-02</t>
        </is>
      </c>
      <c r="D959" t="n">
        <v>36</v>
      </c>
      <c r="E959" t="inlineStr">
        <is>
          <t>databaseUrl! force-unwraps a value typed as possibly undefined (process.env...?.trim())</t>
        </is>
      </c>
      <c r="F959" t="b">
        <v>1</v>
      </c>
    </row>
    <row r="960">
      <c r="A960" t="inlineStr">
        <is>
          <t>dddd</t>
        </is>
      </c>
      <c r="B960" t="inlineStr">
        <is>
          <t>/Users/manczg/Documents/development/dddd/tests/metrics/pr-cycle-time-dashboard.test.ts</t>
        </is>
      </c>
      <c r="C960" t="inlineStr">
        <is>
          <t>safety-02</t>
        </is>
      </c>
      <c r="D960" t="n">
        <v>692</v>
      </c>
      <c r="E960" t="inlineStr">
        <is>
          <t>array index [0]! force-unwraps a query result that could be empty</t>
        </is>
      </c>
      <c r="F960" t="b">
        <v>1</v>
      </c>
    </row>
    <row r="961">
      <c r="A961" t="inlineStr">
        <is>
          <t>dddd</t>
        </is>
      </c>
      <c r="B961" t="inlineStr">
        <is>
          <t>/Users/manczg/Documents/development/dddd/tests/components/pr-cycle-time-dashboard.test.tsx</t>
        </is>
      </c>
      <c r="C961" t="inlineStr">
        <is>
          <t>smells-01</t>
        </is>
      </c>
      <c r="D961" t="n">
        <v>1</v>
      </c>
      <c r="E961" t="inlineStr">
        <is>
          <t>1031-line test file, far past a reasonable file length</t>
        </is>
      </c>
      <c r="F961" t="b">
        <v>1</v>
      </c>
    </row>
    <row r="962">
      <c r="A962" t="inlineStr">
        <is>
          <t>dddd</t>
        </is>
      </c>
      <c r="B962" t="inlineStr">
        <is>
          <t>/Users/manczg/Documents/development/dddd/tests/components/pr-cycle-time-dashboard.test.tsx</t>
        </is>
      </c>
      <c r="C962" t="inlineStr">
        <is>
          <t>clarity-17</t>
        </is>
      </c>
      <c r="D962" t="n">
        <v>114</v>
      </c>
      <c r="E962" t="inlineStr">
        <is>
          <t>describe.sequential() callback body spans lines 114-1031 (~917 lines)</t>
        </is>
      </c>
      <c r="F962" t="b">
        <v>1</v>
      </c>
    </row>
    <row r="963">
      <c r="A963" t="inlineStr">
        <is>
          <t>dddd</t>
        </is>
      </c>
      <c r="B963" t="inlineStr">
        <is>
          <t>/Users/manczg/Documents/development/dddd/tests/components/pr-cycle-time-dashboard.test.tsx</t>
        </is>
      </c>
      <c r="C963" t="inlineStr">
        <is>
          <t>smells-21</t>
        </is>
      </c>
      <c r="D963" t="n">
        <v>655</v>
      </c>
      <c r="E963" t="inlineStr">
        <is>
          <t>`as never` cast used to smuggle extra untyped fields (authorLogin/assigneeLogin/reviewerLogin) past the type checker</t>
        </is>
      </c>
      <c r="F963" t="b">
        <v>1</v>
      </c>
    </row>
    <row r="964">
      <c r="A964" t="inlineStr">
        <is>
          <t>udemy-top-down-shooter</t>
        </is>
      </c>
      <c r="B964" t="inlineStr">
        <is>
          <t>/Users/manczg/Documents/development/udemy-top-down-shooter/Assets/Player.cs</t>
        </is>
      </c>
      <c r="C964" t="inlineStr">
        <is>
          <t>solid-06</t>
        </is>
      </c>
      <c r="D964" t="n">
        <v>7</v>
      </c>
      <c r="E964" t="inlineStr">
        <is>
          <t>public non-readonly field `PlayerControls controls` exposed directly</t>
        </is>
      </c>
      <c r="F964" t="b">
        <v>1</v>
      </c>
    </row>
    <row r="965">
      <c r="A965" t="inlineStr">
        <is>
          <t>udemy-top-down-shooter</t>
        </is>
      </c>
      <c r="B965" t="inlineStr">
        <is>
          <t>/Users/manczg/Documents/development/udemy-top-down-shooter/Assets/Player.cs</t>
        </is>
      </c>
      <c r="C965" t="inlineStr">
        <is>
          <t>solid-10</t>
        </is>
      </c>
      <c r="D965" t="n">
        <v>10</v>
      </c>
      <c r="E965" t="inlineStr">
        <is>
          <t>`controls = new PlayerControls();` hardcodes dependency creation instead of injecting it</t>
        </is>
      </c>
      <c r="F965" t="b">
        <v>1</v>
      </c>
    </row>
    <row r="966">
      <c r="A966" t="inlineStr">
        <is>
          <t>udemy-top-down-shooter</t>
        </is>
      </c>
      <c r="B966" t="inlineStr">
        <is>
          <t>/Users/manczg/Documents/development/udemy-top-down-shooter/Assets/PlayerMovement.cs</t>
        </is>
      </c>
      <c r="C966" t="inlineStr">
        <is>
          <t>safety-02</t>
        </is>
      </c>
      <c r="D966" t="n">
        <v>63</v>
      </c>
      <c r="E966" t="inlineStr">
        <is>
          <t>`Camera.main.ScreenPointToRay` dereferences Camera.main which can be null with no check</t>
        </is>
      </c>
      <c r="F966" t="b">
        <v>0</v>
      </c>
    </row>
    <row r="967">
      <c r="A967" t="inlineStr">
        <is>
          <t>udemy-top-down-shooter</t>
        </is>
      </c>
      <c r="B967" t="inlineStr">
        <is>
          <t>/Users/manczg/Documents/development/udemy-top-down-shooter/Assets/PlayerMovement.cs</t>
        </is>
      </c>
      <c r="C967" t="inlineStr">
        <is>
          <t>safety-02</t>
        </is>
      </c>
      <c r="D967" t="n">
        <v>98</v>
      </c>
      <c r="E967" t="inlineStr">
        <is>
          <t>`player.controls` dereferences player from unchecked GetComponent&lt;Player&gt;() at line 30</t>
        </is>
      </c>
      <c r="F967" t="b">
        <v>0</v>
      </c>
    </row>
    <row r="968">
      <c r="A968" t="inlineStr">
        <is>
          <t>udemy-top-down-shooter</t>
        </is>
      </c>
      <c r="B968" t="inlineStr">
        <is>
          <t>/Users/manczg/Documents/development/udemy-top-down-shooter/Assets/PlayerMovement.cs</t>
        </is>
      </c>
      <c r="C968" t="inlineStr">
        <is>
          <t>safety-02</t>
        </is>
      </c>
      <c r="D968" t="n">
        <v>54</v>
      </c>
      <c r="E968" t="inlineStr">
        <is>
          <t>`animator.SetFloat` dereferences animator from unchecked GetComponentInChildren at line 35</t>
        </is>
      </c>
      <c r="F968" t="b">
        <v>0</v>
      </c>
    </row>
    <row r="969">
      <c r="A969" t="inlineStr">
        <is>
          <t>udemy-top-down-shooter</t>
        </is>
      </c>
      <c r="B969" t="inlineStr">
        <is>
          <t>/Users/manczg/Documents/development/udemy-top-down-shooter/Assets/PlayerMovement.cs</t>
        </is>
      </c>
      <c r="C969" t="inlineStr">
        <is>
          <t>safety-02</t>
        </is>
      </c>
      <c r="D969" t="n">
        <v>88</v>
      </c>
      <c r="E969" t="inlineStr">
        <is>
          <t>`characterController.isGrounded` dereferences characterController from unchecked GetComponent at line 32</t>
        </is>
      </c>
      <c r="F969" t="b">
        <v>0</v>
      </c>
    </row>
    <row r="970">
      <c r="A970" t="inlineStr">
        <is>
          <t>udemy-top-down-shooter</t>
        </is>
      </c>
      <c r="B970" t="inlineStr">
        <is>
          <t>/Users/manczg/Documents/development/udemy-top-down-shooter/Assets/PlayerMovement.cs</t>
        </is>
      </c>
      <c r="C970" t="inlineStr">
        <is>
          <t>smells-10</t>
        </is>
      </c>
      <c r="D970" t="n">
        <v>100</v>
      </c>
      <c r="E970" t="inlineStr">
        <is>
          <t>`controls.Character.Movement.performed` train-wreck chain</t>
        </is>
      </c>
      <c r="F970" t="b">
        <v>1</v>
      </c>
    </row>
    <row r="971">
      <c r="A971" t="inlineStr">
        <is>
          <t>udemy-top-down-shooter</t>
        </is>
      </c>
      <c r="B971" t="inlineStr">
        <is>
          <t>/Users/manczg/Documents/development/udemy-top-down-shooter/Assets/PlayerMovement.cs</t>
        </is>
      </c>
      <c r="C971" t="inlineStr">
        <is>
          <t>smells-10</t>
        </is>
      </c>
      <c r="D971" t="n">
        <v>101</v>
      </c>
      <c r="E971" t="inlineStr">
        <is>
          <t>`controls.Character.Movement.canceled` train-wreck chain</t>
        </is>
      </c>
      <c r="F971" t="b">
        <v>1</v>
      </c>
    </row>
    <row r="972">
      <c r="A972" t="inlineStr">
        <is>
          <t>udemy-top-down-shooter</t>
        </is>
      </c>
      <c r="B972" t="inlineStr">
        <is>
          <t>/Users/manczg/Documents/development/udemy-top-down-shooter/Assets/PlayerMovement.cs</t>
        </is>
      </c>
      <c r="C972" t="inlineStr">
        <is>
          <t>smells-10</t>
        </is>
      </c>
      <c r="D972" t="n">
        <v>103</v>
      </c>
      <c r="E972" t="inlineStr">
        <is>
          <t>`controls.Character.Aim.performed` train-wreck chain</t>
        </is>
      </c>
      <c r="F972" t="b">
        <v>1</v>
      </c>
    </row>
    <row r="973">
      <c r="A973" t="inlineStr">
        <is>
          <t>udemy-top-down-shooter</t>
        </is>
      </c>
      <c r="B973" t="inlineStr">
        <is>
          <t>/Users/manczg/Documents/development/udemy-top-down-shooter/Assets/PlayerMovement.cs</t>
        </is>
      </c>
      <c r="C973" t="inlineStr">
        <is>
          <t>smells-10</t>
        </is>
      </c>
      <c r="D973" t="n">
        <v>104</v>
      </c>
      <c r="E973" t="inlineStr">
        <is>
          <t>`controls.Character.Aim.canceled` train-wreck chain</t>
        </is>
      </c>
      <c r="F973" t="b">
        <v>1</v>
      </c>
    </row>
    <row r="974">
      <c r="A974" t="inlineStr">
        <is>
          <t>udemy-top-down-shooter</t>
        </is>
      </c>
      <c r="B974" t="inlineStr">
        <is>
          <t>/Users/manczg/Documents/development/udemy-top-down-shooter/Assets/PlayerMovement.cs</t>
        </is>
      </c>
      <c r="C974" t="inlineStr">
        <is>
          <t>smells-10</t>
        </is>
      </c>
      <c r="D974" t="n">
        <v>109</v>
      </c>
      <c r="E974" t="inlineStr">
        <is>
          <t>`controls.Character.Run.performed` train-wreck chain</t>
        </is>
      </c>
      <c r="F974" t="b">
        <v>1</v>
      </c>
    </row>
    <row r="975">
      <c r="A975" t="inlineStr">
        <is>
          <t>udemy-top-down-shooter</t>
        </is>
      </c>
      <c r="B975" t="inlineStr">
        <is>
          <t>/Users/manczg/Documents/development/udemy-top-down-shooter/Assets/PlayerMovement.cs</t>
        </is>
      </c>
      <c r="C975" t="inlineStr">
        <is>
          <t>smells-10</t>
        </is>
      </c>
      <c r="D975" t="n">
        <v>114</v>
      </c>
      <c r="E975" t="inlineStr">
        <is>
          <t>`controls.Character.Run.canceled` train-wreck chain</t>
        </is>
      </c>
      <c r="F975" t="b">
        <v>1</v>
      </c>
    </row>
    <row r="976">
      <c r="A976" t="inlineStr">
        <is>
          <t>udemy-top-down-shooter</t>
        </is>
      </c>
      <c r="B976" t="inlineStr">
        <is>
          <t>/Users/manczg/Documents/development/udemy-top-down-shooter/Assets/WeaponVisualController.cs</t>
        </is>
      </c>
      <c r="C976" t="inlineStr">
        <is>
          <t>safety-02</t>
        </is>
      </c>
      <c r="D976" t="n">
        <v>65</v>
      </c>
      <c r="E976" t="inlineStr">
        <is>
          <t>`currentGun.GetComponentInChildren&lt;LeftHandTargetTransform&gt;().transform` dereferenced with no null check</t>
        </is>
      </c>
      <c r="F976" t="b">
        <v>0</v>
      </c>
    </row>
    <row r="977">
      <c r="A977" t="inlineStr">
        <is>
          <t>udemy-top-down-shooter</t>
        </is>
      </c>
      <c r="B977" t="inlineStr">
        <is>
          <t>/Users/manczg/Documents/development/udemy-top-down-shooter/Assets/WeaponVisualController.cs</t>
        </is>
      </c>
      <c r="C977" t="inlineStr">
        <is>
          <t>smells-10</t>
        </is>
      </c>
      <c r="D977" t="n">
        <v>65</v>
      </c>
      <c r="E977" t="inlineStr">
        <is>
          <t>`currentGun.GetComponentInChildren&lt;LeftHandTargetTransform&gt;().transform` train-wreck chain</t>
        </is>
      </c>
      <c r="F977" t="b">
        <v>0</v>
      </c>
    </row>
    <row r="978">
      <c r="A978" t="inlineStr">
        <is>
          <t>udemy-top-down-shooter</t>
        </is>
      </c>
      <c r="B978" t="inlineStr">
        <is>
          <t>/Users/manczg/Documents/development/udemy-top-down-shooter/Assets/PlayerWeaponController.cs</t>
        </is>
      </c>
      <c r="C978" t="inlineStr">
        <is>
          <t>safety-02</t>
        </is>
      </c>
      <c r="D978" t="n">
        <v>13</v>
      </c>
      <c r="E978" t="inlineStr">
        <is>
          <t>`player.controls...` dereferences player from unchecked GetComponent&lt;Player&gt;() at line 11</t>
        </is>
      </c>
      <c r="F978" t="b">
        <v>0</v>
      </c>
    </row>
    <row r="979">
      <c r="A979" t="inlineStr">
        <is>
          <t>udemy-top-down-shooter</t>
        </is>
      </c>
      <c r="B979" t="inlineStr">
        <is>
          <t>/Users/manczg/Documents/development/udemy-top-down-shooter/Assets/PlayerWeaponController.cs</t>
        </is>
      </c>
      <c r="C979" t="inlineStr">
        <is>
          <t>smells-10</t>
        </is>
      </c>
      <c r="D979" t="n">
        <v>13</v>
      </c>
      <c r="E979" t="inlineStr">
        <is>
          <t>`player.controls.Character.Fire.performed` train-wreck chain</t>
        </is>
      </c>
      <c r="F979" t="b">
        <v>1</v>
      </c>
    </row>
    <row r="980">
      <c r="A980" t="inlineStr">
        <is>
          <t>udemy-top-down-shooter</t>
        </is>
      </c>
      <c r="B980" t="inlineStr">
        <is>
          <t>/Users/manczg/Documents/development/udemy-top-down-shooter/Assets/PlayerWeaponController.cs</t>
        </is>
      </c>
      <c r="C980" t="inlineStr">
        <is>
          <t>safety-02</t>
        </is>
      </c>
      <c r="D980" t="n">
        <v>19</v>
      </c>
      <c r="E980" t="inlineStr">
        <is>
          <t>`GetComponentInChildren&lt;Animator&gt;().SetTrigger("Fire")` dereferenced with no null check</t>
        </is>
      </c>
      <c r="F9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2026-08-26T09:47:30Z</dcterms:created>
  <dcterms:modified xsi:type="dcterms:W3CDTF">2026-08-26T09:47:30Z</dcterms:modified>
</cp:coreProperties>
</file>